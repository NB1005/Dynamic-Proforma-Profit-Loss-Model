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vontier.sharepoint.com/sites/FPPAnalyst/Shared Documents/templates/"/>
    </mc:Choice>
  </mc:AlternateContent>
  <xr:revisionPtr revIDLastSave="16" documentId="8_{AF53B7D1-0F18-491B-A706-FDB6B2F0522F}" xr6:coauthVersionLast="47" xr6:coauthVersionMax="47" xr10:uidLastSave="{4A53EF89-27B8-46BD-877E-ADE0184E4ADD}"/>
  <bookViews>
    <workbookView xWindow="28785" yWindow="-120" windowWidth="29040" windowHeight="15720" tabRatio="925" xr2:uid="{9492C4D6-DA9B-4877-B0AF-32288B04F460}"/>
  </bookViews>
  <sheets>
    <sheet name="Overview" sheetId="41" r:id="rId1"/>
    <sheet name="FAQs" sheetId="42" r:id="rId2"/>
    <sheet name="Inputs" sheetId="30" r:id="rId3"/>
    <sheet name="Checklist" sheetId="40" r:id="rId4"/>
    <sheet name="Compare" sheetId="39" r:id="rId5"/>
    <sheet name="Scenarios" sheetId="18" r:id="rId6"/>
    <sheet name="1. Margins" sheetId="15" r:id="rId7"/>
    <sheet name="2. OHCOGS" sheetId="23" r:id="rId8"/>
    <sheet name="3. Opex" sheetId="16" r:id="rId9"/>
    <sheet name="4. Investments" sheetId="32" r:id="rId10"/>
    <sheet name="5. Balance Sheet" sheetId="33" r:id="rId11"/>
    <sheet name="6. Tax" sheetId="34" r:id="rId12"/>
    <sheet name="7. Non-Opex" sheetId="35" r:id="rId13"/>
    <sheet name="Glossary" sheetId="44" r:id="rId14"/>
  </sheets>
  <externalReferences>
    <externalReference r:id="rId15"/>
    <externalReference r:id="rId16"/>
  </externalReferences>
  <definedNames>
    <definedName name="_xlnm._FilterDatabase" localSheetId="3" hidden="1">Checklist!$B$9:$H$54</definedName>
    <definedName name="curr" localSheetId="1">[2]Lists!$B$7:$B$32</definedName>
    <definedName name="curr" localSheetId="13">[2]Lists!$B$7:$B$32</definedName>
    <definedName name="curr" localSheetId="0">[2]Lists!$B$7:$B$32</definedName>
    <definedName name="curr">[1]Lists!$B$7:$B$32</definedName>
    <definedName name="curr_table" localSheetId="1">[2]Lists!$B$7:$F$32</definedName>
    <definedName name="curr_table" localSheetId="13">[2]Lists!$B$7:$F$32</definedName>
    <definedName name="curr_table" localSheetId="0">[2]Lists!$B$7:$F$32</definedName>
    <definedName name="curr_table">[1]Lists!$B$7:$F$32</definedName>
    <definedName name="status" localSheetId="1">[2]Lists!$H$7:$H$9</definedName>
    <definedName name="status" localSheetId="13">[2]Lists!$H$7:$H$9</definedName>
    <definedName name="status" localSheetId="0">[2]Lists!$H$7:$H$9</definedName>
    <definedName name="status">[1]Lists!$H$7:$H$9</definedName>
    <definedName name="TV_growth" localSheetId="3">'[1]A. Cover'!$D$13</definedName>
    <definedName name="TV_growth" localSheetId="1">'[2]A. Cover'!$D$13</definedName>
    <definedName name="TV_growth" localSheetId="13">'[2]A. Cover'!$D$13</definedName>
    <definedName name="TV_growth" localSheetId="0">'[2]A. Cover'!$D$13</definedName>
    <definedName name="tv_growth">Inputs!$C$19</definedName>
    <definedName name="wacc" localSheetId="3">'[1]A. Cover'!$D$12</definedName>
    <definedName name="wacc" localSheetId="1">'[2]A. Cover'!$D$12</definedName>
    <definedName name="wacc" localSheetId="13">'[2]A. Cover'!$D$12</definedName>
    <definedName name="wacc" localSheetId="0">'[2]A. Cover'!$D$12</definedName>
    <definedName name="wacc">Inputs!$C$18</definedName>
    <definedName name="years" localSheetId="1">[2]Lists!$J$7:$J$12</definedName>
    <definedName name="years" localSheetId="13">[2]Lists!$J$7:$J$12</definedName>
    <definedName name="years" localSheetId="0">[2]Lists!$J$7:$J$12</definedName>
    <definedName name="years">[1]Lists!$J$7:$J$12</definedName>
    <definedName name="Yr0" localSheetId="1">'[2]A. Cover'!$D$9</definedName>
    <definedName name="Yr0" localSheetId="13">'[2]A. Cover'!$D$9</definedName>
    <definedName name="Yr0" localSheetId="0">'[2]A. Cover'!$D$9</definedName>
    <definedName name="Yr0">'[1]A. Cover'!$D$9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 i="39" l="1" a="1"/>
  <c r="X6" i="39" s="1"/>
  <c r="AB197" i="35"/>
  <c r="M197" i="35"/>
  <c r="AB178" i="35"/>
  <c r="M178" i="35"/>
  <c r="AB155" i="35"/>
  <c r="M155" i="35"/>
  <c r="AB136" i="35"/>
  <c r="M136" i="35"/>
  <c r="AB113" i="35"/>
  <c r="M113" i="35"/>
  <c r="AB94" i="35"/>
  <c r="M94" i="35"/>
  <c r="AB71" i="35"/>
  <c r="M71" i="35"/>
  <c r="AB52" i="35"/>
  <c r="M52" i="35"/>
  <c r="AB29" i="35"/>
  <c r="M29" i="35"/>
  <c r="AB10" i="35"/>
  <c r="M10" i="35"/>
  <c r="M239" i="35"/>
  <c r="M220" i="35"/>
  <c r="AB102" i="34"/>
  <c r="M102" i="34"/>
  <c r="AB79" i="34"/>
  <c r="M79" i="34"/>
  <c r="AB56" i="34"/>
  <c r="M56" i="34"/>
  <c r="AB33" i="34"/>
  <c r="M33" i="34"/>
  <c r="AB10" i="34"/>
  <c r="M10" i="34"/>
  <c r="M125" i="34"/>
  <c r="AB387" i="33"/>
  <c r="M387" i="33"/>
  <c r="AB368" i="33"/>
  <c r="M368" i="33"/>
  <c r="AB349" i="33"/>
  <c r="M349" i="33"/>
  <c r="AB330" i="33"/>
  <c r="M330" i="33"/>
  <c r="AB307" i="33"/>
  <c r="M307" i="33"/>
  <c r="AB288" i="33"/>
  <c r="M288" i="33"/>
  <c r="AB269" i="33"/>
  <c r="M269" i="33"/>
  <c r="AB250" i="33"/>
  <c r="M250" i="33"/>
  <c r="AB227" i="33"/>
  <c r="M227" i="33"/>
  <c r="AB208" i="33"/>
  <c r="M208" i="33"/>
  <c r="AB189" i="33"/>
  <c r="M189" i="33"/>
  <c r="AB170" i="33"/>
  <c r="M170" i="33"/>
  <c r="AB147" i="33"/>
  <c r="M147" i="33"/>
  <c r="F149" i="33"/>
  <c r="F150" i="33"/>
  <c r="F151" i="33"/>
  <c r="F152" i="33"/>
  <c r="F153" i="33"/>
  <c r="F154" i="33"/>
  <c r="F155" i="33"/>
  <c r="F156" i="33"/>
  <c r="F157" i="33"/>
  <c r="F158" i="33"/>
  <c r="F172" i="33"/>
  <c r="F173" i="33"/>
  <c r="F174" i="33"/>
  <c r="F175" i="33"/>
  <c r="F176" i="33"/>
  <c r="F177" i="33"/>
  <c r="AB128" i="33"/>
  <c r="M128" i="33"/>
  <c r="AB109" i="33"/>
  <c r="M109" i="33"/>
  <c r="AB90" i="33"/>
  <c r="M90" i="33"/>
  <c r="AB67" i="33"/>
  <c r="M67" i="33"/>
  <c r="AB48" i="33"/>
  <c r="M48" i="33"/>
  <c r="AB29" i="33"/>
  <c r="M29" i="33"/>
  <c r="AB10" i="33"/>
  <c r="M10" i="33"/>
  <c r="M467" i="33"/>
  <c r="M448" i="33"/>
  <c r="M429" i="33"/>
  <c r="M410" i="33"/>
  <c r="AB375" i="32"/>
  <c r="M375" i="32"/>
  <c r="AB359" i="32"/>
  <c r="M359" i="32"/>
  <c r="AB334" i="32"/>
  <c r="M334" i="32"/>
  <c r="AB318" i="32"/>
  <c r="M318" i="32"/>
  <c r="AB298" i="32"/>
  <c r="M298" i="32"/>
  <c r="AB282" i="32"/>
  <c r="M282" i="32"/>
  <c r="AB257" i="32"/>
  <c r="M257" i="32"/>
  <c r="AB241" i="32"/>
  <c r="M241" i="32"/>
  <c r="AB221" i="32"/>
  <c r="M221" i="32"/>
  <c r="AB205" i="32"/>
  <c r="M205" i="32"/>
  <c r="AB180" i="32"/>
  <c r="M180" i="32"/>
  <c r="AB164" i="32"/>
  <c r="M164" i="32"/>
  <c r="AB144" i="32"/>
  <c r="M144" i="32"/>
  <c r="AB128" i="32"/>
  <c r="M128" i="32"/>
  <c r="AB103" i="32"/>
  <c r="M103" i="32"/>
  <c r="AB87" i="32"/>
  <c r="M87" i="32"/>
  <c r="AB67" i="32"/>
  <c r="M67" i="32"/>
  <c r="AB51" i="32"/>
  <c r="M51" i="32"/>
  <c r="AB26" i="32"/>
  <c r="M26" i="32"/>
  <c r="AB10" i="32"/>
  <c r="M10" i="32"/>
  <c r="M395" i="32"/>
  <c r="M411" i="32"/>
  <c r="M436" i="32"/>
  <c r="M452" i="32"/>
  <c r="AB106" i="16"/>
  <c r="M106" i="16"/>
  <c r="AB82" i="16"/>
  <c r="M82" i="16"/>
  <c r="AB58" i="16"/>
  <c r="M58" i="16"/>
  <c r="AB34" i="16"/>
  <c r="M34" i="16"/>
  <c r="AB10" i="16"/>
  <c r="M10" i="16"/>
  <c r="M130" i="16"/>
  <c r="AB179" i="23"/>
  <c r="M179" i="23"/>
  <c r="AB162" i="23"/>
  <c r="M162" i="23"/>
  <c r="AB141" i="23"/>
  <c r="M141" i="23"/>
  <c r="AB124" i="23"/>
  <c r="M124" i="23"/>
  <c r="AB103" i="23"/>
  <c r="M103" i="23"/>
  <c r="AB86" i="23"/>
  <c r="M86" i="23"/>
  <c r="AB65" i="23"/>
  <c r="M65" i="23"/>
  <c r="AB48" i="23"/>
  <c r="M48" i="23"/>
  <c r="AB27" i="23"/>
  <c r="M27" i="23"/>
  <c r="AB10" i="23"/>
  <c r="M10" i="23"/>
  <c r="M217" i="23"/>
  <c r="M200" i="23"/>
  <c r="M590" i="15"/>
  <c r="M574" i="15"/>
  <c r="M558" i="15"/>
  <c r="M542" i="15"/>
  <c r="M526" i="15"/>
  <c r="M510" i="15"/>
  <c r="AB490" i="15"/>
  <c r="M490" i="15"/>
  <c r="M474" i="15"/>
  <c r="AB458" i="15"/>
  <c r="M458" i="15"/>
  <c r="AB442" i="15"/>
  <c r="M442" i="15"/>
  <c r="AB426" i="15"/>
  <c r="M426" i="15"/>
  <c r="AB410" i="15"/>
  <c r="M410" i="15"/>
  <c r="AB390" i="15"/>
  <c r="M390" i="15"/>
  <c r="M374" i="15"/>
  <c r="AB358" i="15"/>
  <c r="M358" i="15"/>
  <c r="AB342" i="15"/>
  <c r="M342" i="15"/>
  <c r="AB326" i="15"/>
  <c r="M326" i="15"/>
  <c r="AB310" i="15"/>
  <c r="M310" i="15"/>
  <c r="AB290" i="15"/>
  <c r="M290" i="15"/>
  <c r="M274" i="15"/>
  <c r="AB258" i="15"/>
  <c r="M258" i="15"/>
  <c r="AB242" i="15"/>
  <c r="M242" i="15"/>
  <c r="AB226" i="15"/>
  <c r="M226" i="15"/>
  <c r="AB210" i="15"/>
  <c r="M210" i="15"/>
  <c r="AB190" i="15"/>
  <c r="M190" i="15"/>
  <c r="AB158" i="15"/>
  <c r="M158" i="15"/>
  <c r="AB142" i="15"/>
  <c r="M142" i="15"/>
  <c r="AB126" i="15"/>
  <c r="M126" i="15"/>
  <c r="AB110" i="15"/>
  <c r="M110" i="15"/>
  <c r="AB90" i="15"/>
  <c r="M74" i="15"/>
  <c r="M90" i="15"/>
  <c r="AB58" i="15"/>
  <c r="M58" i="15"/>
  <c r="AB42" i="15"/>
  <c r="M42" i="15"/>
  <c r="AB26" i="15"/>
  <c r="M26" i="15"/>
  <c r="AB10" i="15"/>
  <c r="M10" i="15"/>
  <c r="C6" i="42"/>
  <c r="C8" i="42"/>
  <c r="C9" i="42"/>
  <c r="C11" i="42"/>
  <c r="C13" i="42"/>
  <c r="C15" i="42"/>
  <c r="C17" i="42"/>
  <c r="C19" i="42"/>
  <c r="C21" i="42"/>
  <c r="C22" i="42"/>
  <c r="C23" i="42"/>
  <c r="B23" i="42" s="1"/>
  <c r="C24" i="42"/>
  <c r="B24" i="42" s="1"/>
  <c r="C25" i="42"/>
  <c r="B25" i="42" s="1"/>
  <c r="C26" i="42"/>
  <c r="B26" i="42" s="1"/>
  <c r="C27" i="42"/>
  <c r="B27" i="42" s="1"/>
  <c r="C28" i="42"/>
  <c r="B28" i="42" s="1"/>
  <c r="C29" i="42"/>
  <c r="B29" i="42" s="1"/>
  <c r="C30" i="42"/>
  <c r="B30" i="42" s="1"/>
  <c r="C31" i="42"/>
  <c r="B31" i="42" s="1"/>
  <c r="C32" i="42"/>
  <c r="C33" i="42"/>
  <c r="C34" i="42"/>
  <c r="C35" i="42"/>
  <c r="C36" i="42"/>
  <c r="C37" i="42"/>
  <c r="C38" i="42"/>
  <c r="C39" i="42"/>
  <c r="C40" i="42"/>
  <c r="C41" i="42"/>
  <c r="C42" i="42"/>
  <c r="C43" i="42"/>
  <c r="C44" i="42"/>
  <c r="C45" i="42"/>
  <c r="C46" i="42"/>
  <c r="C47" i="42"/>
  <c r="C48" i="42"/>
  <c r="C49" i="42"/>
  <c r="C50" i="42"/>
  <c r="C51" i="42"/>
  <c r="C52" i="42"/>
  <c r="C53" i="42"/>
  <c r="C54" i="42"/>
  <c r="C55" i="42"/>
  <c r="C56" i="42"/>
  <c r="C57" i="42"/>
  <c r="C58" i="42"/>
  <c r="C59" i="42"/>
  <c r="C60" i="42"/>
  <c r="C61" i="42"/>
  <c r="C62" i="42"/>
  <c r="C63" i="42"/>
  <c r="C64" i="42"/>
  <c r="C65" i="42"/>
  <c r="C66" i="42"/>
  <c r="C67" i="42"/>
  <c r="C68" i="42"/>
  <c r="C69" i="42"/>
  <c r="C70" i="42"/>
  <c r="C71" i="42"/>
  <c r="C72" i="42"/>
  <c r="C73" i="42"/>
  <c r="C74" i="42"/>
  <c r="C75" i="42"/>
  <c r="C76" i="42"/>
  <c r="C77" i="42"/>
  <c r="C78" i="42"/>
  <c r="C79" i="42"/>
  <c r="C80" i="42"/>
  <c r="C81" i="42"/>
  <c r="C82" i="42"/>
  <c r="C83" i="42"/>
  <c r="C84" i="42"/>
  <c r="C85" i="42"/>
  <c r="C86" i="42"/>
  <c r="C87" i="42"/>
  <c r="C88" i="42"/>
  <c r="C89" i="42"/>
  <c r="C90" i="42"/>
  <c r="C91" i="42"/>
  <c r="C92" i="42"/>
  <c r="C93" i="42"/>
  <c r="C94" i="42"/>
  <c r="C95" i="42"/>
  <c r="C96" i="42"/>
  <c r="C97" i="42"/>
  <c r="C98" i="42"/>
  <c r="C99" i="42"/>
  <c r="C100" i="42"/>
  <c r="C101" i="42"/>
  <c r="C102" i="42"/>
  <c r="C103" i="42"/>
  <c r="C104" i="42"/>
  <c r="C105" i="42"/>
  <c r="C106" i="42"/>
  <c r="C107" i="42"/>
  <c r="C108" i="42"/>
  <c r="C109" i="42"/>
  <c r="C110" i="42"/>
  <c r="C111" i="42"/>
  <c r="C112" i="42"/>
  <c r="C113" i="42"/>
  <c r="C114" i="42"/>
  <c r="C115" i="42"/>
  <c r="C116" i="42"/>
  <c r="C117" i="42"/>
  <c r="C118" i="42"/>
  <c r="C119" i="42"/>
  <c r="C120" i="42"/>
  <c r="C121" i="42"/>
  <c r="C122" i="42"/>
  <c r="C123" i="42"/>
  <c r="C124" i="42"/>
  <c r="C125" i="42"/>
  <c r="C126" i="42"/>
  <c r="C127" i="42"/>
  <c r="C128" i="42"/>
  <c r="C129" i="42"/>
  <c r="C130" i="42"/>
  <c r="C131" i="42"/>
  <c r="C132" i="42"/>
  <c r="F159" i="33" l="1"/>
  <c r="B19" i="42"/>
  <c r="B17" i="42"/>
  <c r="B15" i="42"/>
  <c r="B13" i="42"/>
  <c r="B21" i="42"/>
  <c r="B9" i="42"/>
  <c r="B22" i="42"/>
  <c r="B8" i="42"/>
  <c r="B6" i="42"/>
  <c r="B11" i="42"/>
  <c r="X4" i="39" l="1"/>
  <c r="B3" i="39"/>
  <c r="N4" i="39"/>
  <c r="K20" i="18"/>
  <c r="J20" i="18"/>
  <c r="I20" i="18"/>
  <c r="F20" i="18"/>
  <c r="E20" i="18"/>
  <c r="D20" i="18"/>
  <c r="AW2" i="18"/>
  <c r="AN2" i="18"/>
  <c r="AE2" i="18"/>
  <c r="V2" i="18"/>
  <c r="M2" i="18"/>
  <c r="K19" i="18"/>
  <c r="J19" i="18"/>
  <c r="I19" i="18"/>
  <c r="E19" i="18"/>
  <c r="F19" i="18"/>
  <c r="D19" i="18"/>
  <c r="K18" i="18"/>
  <c r="J18" i="18"/>
  <c r="I18" i="18"/>
  <c r="E18" i="18"/>
  <c r="F18" i="18"/>
  <c r="D18" i="18"/>
  <c r="K17" i="18"/>
  <c r="J17" i="18"/>
  <c r="I17" i="18"/>
  <c r="E17" i="18"/>
  <c r="F17" i="18"/>
  <c r="D17" i="18"/>
  <c r="K12" i="18"/>
  <c r="J12" i="18"/>
  <c r="I12" i="18"/>
  <c r="E12" i="18"/>
  <c r="F12" i="18"/>
  <c r="D12" i="18"/>
  <c r="N6" i="39" l="1" a="1"/>
  <c r="N6" i="39" s="1"/>
  <c r="H33" i="39"/>
  <c r="E13" i="39"/>
  <c r="E22" i="39"/>
  <c r="F36" i="39"/>
  <c r="H10" i="39"/>
  <c r="F18" i="39"/>
  <c r="I10" i="39"/>
  <c r="G18" i="39"/>
  <c r="D16" i="39"/>
  <c r="I36" i="39"/>
  <c r="I23" i="39"/>
  <c r="F16" i="39"/>
  <c r="D19" i="39"/>
  <c r="G16" i="39"/>
  <c r="E7" i="39"/>
  <c r="E28" i="39"/>
  <c r="F37" i="39"/>
  <c r="F7" i="39"/>
  <c r="F28" i="39"/>
  <c r="J26" i="39"/>
  <c r="G19" i="39"/>
  <c r="K26" i="39"/>
  <c r="H7" i="39"/>
  <c r="H19" i="39"/>
  <c r="H28" i="39"/>
  <c r="D34" i="39"/>
  <c r="I7" i="39"/>
  <c r="I19" i="39"/>
  <c r="I28" i="39"/>
  <c r="K40" i="39"/>
  <c r="E34" i="39"/>
  <c r="J9" i="39"/>
  <c r="J20" i="39"/>
  <c r="J29" i="39"/>
  <c r="D41" i="39"/>
  <c r="H34" i="39"/>
  <c r="K9" i="39"/>
  <c r="K20" i="39"/>
  <c r="K29" i="39"/>
  <c r="E41" i="39"/>
  <c r="I34" i="39"/>
  <c r="D12" i="39"/>
  <c r="D21" i="39"/>
  <c r="D30" i="39"/>
  <c r="H41" i="39"/>
  <c r="J34" i="39"/>
  <c r="F23" i="39"/>
  <c r="G36" i="39"/>
  <c r="H36" i="39"/>
  <c r="H18" i="39"/>
  <c r="H23" i="39"/>
  <c r="E16" i="39"/>
  <c r="D37" i="39"/>
  <c r="D7" i="39"/>
  <c r="D28" i="39"/>
  <c r="E37" i="39"/>
  <c r="E19" i="39"/>
  <c r="H16" i="39"/>
  <c r="F19" i="39"/>
  <c r="G37" i="39"/>
  <c r="G7" i="39"/>
  <c r="G28" i="39"/>
  <c r="H37" i="39"/>
  <c r="J40" i="39"/>
  <c r="E12" i="39"/>
  <c r="E21" i="39"/>
  <c r="E30" i="39"/>
  <c r="I41" i="39"/>
  <c r="K34" i="39"/>
  <c r="H12" i="39"/>
  <c r="H21" i="39"/>
  <c r="H30" i="39"/>
  <c r="J41" i="39"/>
  <c r="D25" i="39"/>
  <c r="I12" i="39"/>
  <c r="I21" i="39"/>
  <c r="I30" i="39"/>
  <c r="K41" i="39"/>
  <c r="F33" i="39"/>
  <c r="J12" i="39"/>
  <c r="J21" i="39"/>
  <c r="J30" i="39"/>
  <c r="D42" i="39"/>
  <c r="G33" i="39"/>
  <c r="K12" i="39"/>
  <c r="K21" i="39"/>
  <c r="K30" i="39"/>
  <c r="F10" i="39"/>
  <c r="K33" i="39"/>
  <c r="G34" i="39"/>
  <c r="K10" i="39"/>
  <c r="G41" i="39"/>
  <c r="K36" i="39"/>
  <c r="G30" i="39"/>
  <c r="K23" i="39"/>
  <c r="G21" i="39"/>
  <c r="K18" i="39"/>
  <c r="G12" i="39"/>
  <c r="F34" i="39"/>
  <c r="J10" i="39"/>
  <c r="F41" i="39"/>
  <c r="J36" i="39"/>
  <c r="F30" i="39"/>
  <c r="J23" i="39"/>
  <c r="F21" i="39"/>
  <c r="J18" i="39"/>
  <c r="F12" i="39"/>
  <c r="J33" i="39"/>
  <c r="E33" i="39"/>
  <c r="I26" i="39"/>
  <c r="E10" i="39"/>
  <c r="I40" i="39"/>
  <c r="E36" i="39"/>
  <c r="I29" i="39"/>
  <c r="E23" i="39"/>
  <c r="I20" i="39"/>
  <c r="E18" i="39"/>
  <c r="I9" i="39"/>
  <c r="D33" i="39"/>
  <c r="H26" i="39"/>
  <c r="D10" i="39"/>
  <c r="H40" i="39"/>
  <c r="D36" i="39"/>
  <c r="H29" i="39"/>
  <c r="D23" i="39"/>
  <c r="H20" i="39"/>
  <c r="D18" i="39"/>
  <c r="H9" i="39"/>
  <c r="K25" i="39"/>
  <c r="G26" i="39"/>
  <c r="K42" i="39"/>
  <c r="G40" i="39"/>
  <c r="K31" i="39"/>
  <c r="G29" i="39"/>
  <c r="K22" i="39"/>
  <c r="G20" i="39"/>
  <c r="K13" i="39"/>
  <c r="G9" i="39"/>
  <c r="J25" i="39"/>
  <c r="F26" i="39"/>
  <c r="J42" i="39"/>
  <c r="F40" i="39"/>
  <c r="J31" i="39"/>
  <c r="F29" i="39"/>
  <c r="J22" i="39"/>
  <c r="F20" i="39"/>
  <c r="J13" i="39"/>
  <c r="F9" i="39"/>
  <c r="I25" i="39"/>
  <c r="E26" i="39"/>
  <c r="I42" i="39"/>
  <c r="E40" i="39"/>
  <c r="I31" i="39"/>
  <c r="E29" i="39"/>
  <c r="I22" i="39"/>
  <c r="E20" i="39"/>
  <c r="I13" i="39"/>
  <c r="E9" i="39"/>
  <c r="H25" i="39"/>
  <c r="D26" i="39"/>
  <c r="H42" i="39"/>
  <c r="D40" i="39"/>
  <c r="H31" i="39"/>
  <c r="D29" i="39"/>
  <c r="H22" i="39"/>
  <c r="D20" i="39"/>
  <c r="H13" i="39"/>
  <c r="D9" i="39"/>
  <c r="G25" i="39"/>
  <c r="K16" i="39"/>
  <c r="G42" i="39"/>
  <c r="K37" i="39"/>
  <c r="G31" i="39"/>
  <c r="K28" i="39"/>
  <c r="G22" i="39"/>
  <c r="K19" i="39"/>
  <c r="G13" i="39"/>
  <c r="K7" i="39"/>
  <c r="F25" i="39"/>
  <c r="J16" i="39"/>
  <c r="F42" i="39"/>
  <c r="J37" i="39"/>
  <c r="F31" i="39"/>
  <c r="J28" i="39"/>
  <c r="F22" i="39"/>
  <c r="J19" i="39"/>
  <c r="F13" i="39"/>
  <c r="J7" i="39"/>
  <c r="E25" i="39"/>
  <c r="I16" i="39"/>
  <c r="E42" i="39"/>
  <c r="I37" i="39"/>
  <c r="E31" i="39"/>
  <c r="G23" i="39"/>
  <c r="I18" i="39"/>
  <c r="D13" i="39"/>
  <c r="D22" i="39"/>
  <c r="D31" i="39"/>
  <c r="G10" i="39"/>
  <c r="I33" i="39"/>
  <c r="D21" i="18"/>
  <c r="H15" i="39" l="1"/>
  <c r="J15" i="39"/>
  <c r="E15" i="39"/>
  <c r="G15" i="39"/>
  <c r="I15" i="39"/>
  <c r="F15" i="39"/>
  <c r="K15" i="39"/>
  <c r="D15" i="39"/>
  <c r="D43" i="39" l="1"/>
  <c r="E43" i="39"/>
  <c r="F43" i="39"/>
  <c r="D49" i="39" a="1"/>
  <c r="D49" i="39" s="1"/>
  <c r="D45" i="39"/>
  <c r="G43" i="39"/>
  <c r="H43" i="39"/>
  <c r="I43" i="39"/>
  <c r="J43" i="39"/>
  <c r="D46" i="39"/>
  <c r="K43" i="39"/>
  <c r="D47" i="39" l="1"/>
  <c r="W208" i="35" l="1"/>
  <c r="W207" i="35"/>
  <c r="W206" i="35"/>
  <c r="W205" i="35"/>
  <c r="W204" i="35"/>
  <c r="W203" i="35"/>
  <c r="W202" i="35"/>
  <c r="W201" i="35"/>
  <c r="W200" i="35"/>
  <c r="W199" i="35"/>
  <c r="W194" i="35"/>
  <c r="W189" i="35"/>
  <c r="W188" i="35"/>
  <c r="W187" i="35"/>
  <c r="W186" i="35"/>
  <c r="W185" i="35"/>
  <c r="W184" i="35"/>
  <c r="W183" i="35"/>
  <c r="W182" i="35"/>
  <c r="W181" i="35"/>
  <c r="W180" i="35"/>
  <c r="W175" i="35"/>
  <c r="E171" i="35"/>
  <c r="W166" i="35"/>
  <c r="W165" i="35"/>
  <c r="W164" i="35"/>
  <c r="W163" i="35"/>
  <c r="W162" i="35"/>
  <c r="W161" i="35"/>
  <c r="W160" i="35"/>
  <c r="W159" i="35"/>
  <c r="W158" i="35"/>
  <c r="W157" i="35"/>
  <c r="W152" i="35"/>
  <c r="W147" i="35"/>
  <c r="W146" i="35"/>
  <c r="W145" i="35"/>
  <c r="W144" i="35"/>
  <c r="W143" i="35"/>
  <c r="W142" i="35"/>
  <c r="W141" i="35"/>
  <c r="W140" i="35"/>
  <c r="W139" i="35"/>
  <c r="W138" i="35"/>
  <c r="W133" i="35"/>
  <c r="W124" i="35"/>
  <c r="W123" i="35"/>
  <c r="W122" i="35"/>
  <c r="W121" i="35"/>
  <c r="W120" i="35"/>
  <c r="W119" i="35"/>
  <c r="W118" i="35"/>
  <c r="W117" i="35"/>
  <c r="W116" i="35"/>
  <c r="W115" i="35"/>
  <c r="W110" i="35"/>
  <c r="W105" i="35"/>
  <c r="W104" i="35"/>
  <c r="W103" i="35"/>
  <c r="W102" i="35"/>
  <c r="W101" i="35"/>
  <c r="W100" i="35"/>
  <c r="W99" i="35"/>
  <c r="W98" i="35"/>
  <c r="W97" i="35"/>
  <c r="W96" i="35"/>
  <c r="W91" i="35"/>
  <c r="W82" i="35"/>
  <c r="W81" i="35"/>
  <c r="W80" i="35"/>
  <c r="W79" i="35"/>
  <c r="W78" i="35"/>
  <c r="W77" i="35"/>
  <c r="W76" i="35"/>
  <c r="W75" i="35"/>
  <c r="W74" i="35"/>
  <c r="W73" i="35"/>
  <c r="W68" i="35"/>
  <c r="W63" i="35"/>
  <c r="W62" i="35"/>
  <c r="W61" i="35"/>
  <c r="W60" i="35"/>
  <c r="W59" i="35"/>
  <c r="W58" i="35"/>
  <c r="W57" i="35"/>
  <c r="W56" i="35"/>
  <c r="W55" i="35"/>
  <c r="W54" i="35"/>
  <c r="W49" i="35"/>
  <c r="U250" i="35"/>
  <c r="U82" i="35" s="1"/>
  <c r="T250" i="35"/>
  <c r="T40" i="35" s="1"/>
  <c r="S250" i="35"/>
  <c r="S40" i="35" s="1"/>
  <c r="Q250" i="35"/>
  <c r="Q40" i="35" s="1"/>
  <c r="P250" i="35"/>
  <c r="P40" i="35" s="1"/>
  <c r="O250" i="35"/>
  <c r="O40" i="35" s="1"/>
  <c r="N250" i="35"/>
  <c r="N40" i="35" s="1"/>
  <c r="L250" i="35"/>
  <c r="L40" i="35" s="1"/>
  <c r="K250" i="35"/>
  <c r="K40" i="35" s="1"/>
  <c r="J250" i="35"/>
  <c r="J40" i="35" s="1"/>
  <c r="I250" i="35"/>
  <c r="I40" i="35" s="1"/>
  <c r="H250" i="35"/>
  <c r="H40" i="35" s="1"/>
  <c r="G250" i="35"/>
  <c r="G40" i="35" s="1"/>
  <c r="F250" i="35"/>
  <c r="F40" i="35" s="1"/>
  <c r="U249" i="35"/>
  <c r="U39" i="35" s="1"/>
  <c r="T249" i="35"/>
  <c r="T39" i="35" s="1"/>
  <c r="S249" i="35"/>
  <c r="S39" i="35" s="1"/>
  <c r="Q249" i="35"/>
  <c r="Q39" i="35" s="1"/>
  <c r="P249" i="35"/>
  <c r="P39" i="35" s="1"/>
  <c r="O249" i="35"/>
  <c r="O39" i="35" s="1"/>
  <c r="N249" i="35"/>
  <c r="N39" i="35" s="1"/>
  <c r="L249" i="35"/>
  <c r="L39" i="35" s="1"/>
  <c r="K249" i="35"/>
  <c r="K81" i="35" s="1"/>
  <c r="J249" i="35"/>
  <c r="J39" i="35" s="1"/>
  <c r="I249" i="35"/>
  <c r="I39" i="35" s="1"/>
  <c r="H249" i="35"/>
  <c r="H39" i="35" s="1"/>
  <c r="G249" i="35"/>
  <c r="G39" i="35" s="1"/>
  <c r="F249" i="35"/>
  <c r="F39" i="35" s="1"/>
  <c r="U248" i="35"/>
  <c r="U38" i="35" s="1"/>
  <c r="T248" i="35"/>
  <c r="T38" i="35" s="1"/>
  <c r="S248" i="35"/>
  <c r="S80" i="35" s="1"/>
  <c r="Q248" i="35"/>
  <c r="Q38" i="35" s="1"/>
  <c r="P248" i="35"/>
  <c r="P38" i="35" s="1"/>
  <c r="O248" i="35"/>
  <c r="O38" i="35" s="1"/>
  <c r="N248" i="35"/>
  <c r="N38" i="35" s="1"/>
  <c r="L248" i="35"/>
  <c r="L38" i="35" s="1"/>
  <c r="K248" i="35"/>
  <c r="K38" i="35" s="1"/>
  <c r="J248" i="35"/>
  <c r="J38" i="35" s="1"/>
  <c r="I248" i="35"/>
  <c r="I38" i="35" s="1"/>
  <c r="H248" i="35"/>
  <c r="H38" i="35" s="1"/>
  <c r="G248" i="35"/>
  <c r="G38" i="35" s="1"/>
  <c r="F248" i="35"/>
  <c r="F38" i="35" s="1"/>
  <c r="U247" i="35"/>
  <c r="U37" i="35" s="1"/>
  <c r="T247" i="35"/>
  <c r="T37" i="35" s="1"/>
  <c r="S247" i="35"/>
  <c r="S37" i="35" s="1"/>
  <c r="Q247" i="35"/>
  <c r="Q37" i="35" s="1"/>
  <c r="P247" i="35"/>
  <c r="P37" i="35" s="1"/>
  <c r="O247" i="35"/>
  <c r="O37" i="35" s="1"/>
  <c r="N247" i="35"/>
  <c r="N37" i="35" s="1"/>
  <c r="L247" i="35"/>
  <c r="L37" i="35" s="1"/>
  <c r="K247" i="35"/>
  <c r="K37" i="35" s="1"/>
  <c r="J247" i="35"/>
  <c r="J79" i="35" s="1"/>
  <c r="I247" i="35"/>
  <c r="I37" i="35" s="1"/>
  <c r="H247" i="35"/>
  <c r="H37" i="35" s="1"/>
  <c r="G247" i="35"/>
  <c r="G37" i="35" s="1"/>
  <c r="F247" i="35"/>
  <c r="F37" i="35" s="1"/>
  <c r="U246" i="35"/>
  <c r="U36" i="35" s="1"/>
  <c r="T246" i="35"/>
  <c r="T36" i="35" s="1"/>
  <c r="S246" i="35"/>
  <c r="S36" i="35" s="1"/>
  <c r="Q246" i="35"/>
  <c r="Q36" i="35" s="1"/>
  <c r="P246" i="35"/>
  <c r="P36" i="35" s="1"/>
  <c r="O246" i="35"/>
  <c r="O36" i="35" s="1"/>
  <c r="N246" i="35"/>
  <c r="N36" i="35" s="1"/>
  <c r="L246" i="35"/>
  <c r="L36" i="35" s="1"/>
  <c r="K246" i="35"/>
  <c r="K36" i="35" s="1"/>
  <c r="J246" i="35"/>
  <c r="J36" i="35" s="1"/>
  <c r="I246" i="35"/>
  <c r="I36" i="35" s="1"/>
  <c r="H246" i="35"/>
  <c r="H36" i="35" s="1"/>
  <c r="G246" i="35"/>
  <c r="G36" i="35" s="1"/>
  <c r="F246" i="35"/>
  <c r="F36" i="35" s="1"/>
  <c r="U245" i="35"/>
  <c r="U35" i="35" s="1"/>
  <c r="T245" i="35"/>
  <c r="T35" i="35" s="1"/>
  <c r="S245" i="35"/>
  <c r="S35" i="35" s="1"/>
  <c r="Q245" i="35"/>
  <c r="Q35" i="35" s="1"/>
  <c r="P245" i="35"/>
  <c r="P35" i="35" s="1"/>
  <c r="O245" i="35"/>
  <c r="O35" i="35" s="1"/>
  <c r="N245" i="35"/>
  <c r="N35" i="35" s="1"/>
  <c r="L245" i="35"/>
  <c r="L35" i="35" s="1"/>
  <c r="K245" i="35"/>
  <c r="K35" i="35" s="1"/>
  <c r="J245" i="35"/>
  <c r="J35" i="35" s="1"/>
  <c r="I245" i="35"/>
  <c r="I77" i="35" s="1"/>
  <c r="H245" i="35"/>
  <c r="H35" i="35" s="1"/>
  <c r="G245" i="35"/>
  <c r="G35" i="35" s="1"/>
  <c r="F245" i="35"/>
  <c r="F35" i="35" s="1"/>
  <c r="U244" i="35"/>
  <c r="U34" i="35" s="1"/>
  <c r="T244" i="35"/>
  <c r="T34" i="35" s="1"/>
  <c r="S244" i="35"/>
  <c r="S34" i="35" s="1"/>
  <c r="Q244" i="35"/>
  <c r="Q34" i="35" s="1"/>
  <c r="P244" i="35"/>
  <c r="P34" i="35" s="1"/>
  <c r="O244" i="35"/>
  <c r="O34" i="35" s="1"/>
  <c r="N244" i="35"/>
  <c r="N34" i="35" s="1"/>
  <c r="L244" i="35"/>
  <c r="L34" i="35" s="1"/>
  <c r="K244" i="35"/>
  <c r="K34" i="35" s="1"/>
  <c r="J244" i="35"/>
  <c r="J34" i="35" s="1"/>
  <c r="I244" i="35"/>
  <c r="I34" i="35" s="1"/>
  <c r="H244" i="35"/>
  <c r="H34" i="35" s="1"/>
  <c r="G244" i="35"/>
  <c r="G34" i="35" s="1"/>
  <c r="F244" i="35"/>
  <c r="F34" i="35" s="1"/>
  <c r="U243" i="35"/>
  <c r="U33" i="35" s="1"/>
  <c r="T243" i="35"/>
  <c r="T33" i="35" s="1"/>
  <c r="S243" i="35"/>
  <c r="S33" i="35" s="1"/>
  <c r="Q243" i="35"/>
  <c r="Q33" i="35" s="1"/>
  <c r="P243" i="35"/>
  <c r="P33" i="35" s="1"/>
  <c r="O243" i="35"/>
  <c r="O33" i="35" s="1"/>
  <c r="N243" i="35"/>
  <c r="N33" i="35" s="1"/>
  <c r="L243" i="35"/>
  <c r="L33" i="35" s="1"/>
  <c r="K243" i="35"/>
  <c r="K33" i="35" s="1"/>
  <c r="J243" i="35"/>
  <c r="J33" i="35" s="1"/>
  <c r="I243" i="35"/>
  <c r="I33" i="35" s="1"/>
  <c r="H243" i="35"/>
  <c r="H33" i="35" s="1"/>
  <c r="G243" i="35"/>
  <c r="G33" i="35" s="1"/>
  <c r="F243" i="35"/>
  <c r="F33" i="35" s="1"/>
  <c r="U242" i="35"/>
  <c r="U74" i="35" s="1"/>
  <c r="T242" i="35"/>
  <c r="T32" i="35" s="1"/>
  <c r="S242" i="35"/>
  <c r="S32" i="35" s="1"/>
  <c r="Q242" i="35"/>
  <c r="Q32" i="35" s="1"/>
  <c r="P242" i="35"/>
  <c r="P74" i="35" s="1"/>
  <c r="O242" i="35"/>
  <c r="O32" i="35" s="1"/>
  <c r="N242" i="35"/>
  <c r="N116" i="35" s="1"/>
  <c r="L242" i="35"/>
  <c r="L116" i="35" s="1"/>
  <c r="K242" i="35"/>
  <c r="K32" i="35" s="1"/>
  <c r="J242" i="35"/>
  <c r="J32" i="35" s="1"/>
  <c r="I242" i="35"/>
  <c r="I32" i="35" s="1"/>
  <c r="H242" i="35"/>
  <c r="H32" i="35" s="1"/>
  <c r="G242" i="35"/>
  <c r="G32" i="35" s="1"/>
  <c r="F242" i="35"/>
  <c r="F32" i="35" s="1"/>
  <c r="U241" i="35"/>
  <c r="U73" i="35" s="1"/>
  <c r="T241" i="35"/>
  <c r="T73" i="35" s="1"/>
  <c r="S241" i="35"/>
  <c r="S73" i="35" s="1"/>
  <c r="Q241" i="35"/>
  <c r="Q31" i="35" s="1"/>
  <c r="P241" i="35"/>
  <c r="P31" i="35" s="1"/>
  <c r="O241" i="35"/>
  <c r="O115" i="35" s="1"/>
  <c r="N241" i="35"/>
  <c r="N73" i="35" s="1"/>
  <c r="L241" i="35"/>
  <c r="L31" i="35" s="1"/>
  <c r="K241" i="35"/>
  <c r="K73" i="35" s="1"/>
  <c r="J241" i="35"/>
  <c r="J73" i="35" s="1"/>
  <c r="I241" i="35"/>
  <c r="I31" i="35" s="1"/>
  <c r="H241" i="35"/>
  <c r="H31" i="35" s="1"/>
  <c r="G241" i="35"/>
  <c r="G31" i="35" s="1"/>
  <c r="F241" i="35"/>
  <c r="F73" i="35" s="1"/>
  <c r="U231" i="35"/>
  <c r="U21" i="35" s="1"/>
  <c r="T231" i="35"/>
  <c r="T21" i="35" s="1"/>
  <c r="S231" i="35"/>
  <c r="S105" i="35" s="1"/>
  <c r="Q231" i="35"/>
  <c r="Q63" i="35" s="1"/>
  <c r="P231" i="35"/>
  <c r="P105" i="35" s="1"/>
  <c r="O231" i="35"/>
  <c r="O21" i="35" s="1"/>
  <c r="N231" i="35"/>
  <c r="N21" i="35" s="1"/>
  <c r="L231" i="35"/>
  <c r="L21" i="35" s="1"/>
  <c r="K231" i="35"/>
  <c r="K63" i="35" s="1"/>
  <c r="J231" i="35"/>
  <c r="J63" i="35" s="1"/>
  <c r="I231" i="35"/>
  <c r="I189" i="35" s="1"/>
  <c r="H231" i="35"/>
  <c r="H189" i="35" s="1"/>
  <c r="G231" i="35"/>
  <c r="G63" i="35" s="1"/>
  <c r="F231" i="35"/>
  <c r="F105" i="35" s="1"/>
  <c r="U230" i="35"/>
  <c r="U104" i="35" s="1"/>
  <c r="T230" i="35"/>
  <c r="T104" i="35" s="1"/>
  <c r="S230" i="35"/>
  <c r="S104" i="35" s="1"/>
  <c r="Q230" i="35"/>
  <c r="Q20" i="35" s="1"/>
  <c r="P230" i="35"/>
  <c r="P62" i="35" s="1"/>
  <c r="O230" i="35"/>
  <c r="O104" i="35" s="1"/>
  <c r="N230" i="35"/>
  <c r="N188" i="35" s="1"/>
  <c r="L230" i="35"/>
  <c r="L20" i="35" s="1"/>
  <c r="K230" i="35"/>
  <c r="K20" i="35" s="1"/>
  <c r="J230" i="35"/>
  <c r="J20" i="35" s="1"/>
  <c r="I230" i="35"/>
  <c r="I146" i="35" s="1"/>
  <c r="H230" i="35"/>
  <c r="H20" i="35" s="1"/>
  <c r="G230" i="35"/>
  <c r="G20" i="35" s="1"/>
  <c r="F230" i="35"/>
  <c r="F20" i="35" s="1"/>
  <c r="U229" i="35"/>
  <c r="U187" i="35" s="1"/>
  <c r="T229" i="35"/>
  <c r="T145" i="35" s="1"/>
  <c r="S229" i="35"/>
  <c r="S103" i="35" s="1"/>
  <c r="Q229" i="35"/>
  <c r="Q145" i="35" s="1"/>
  <c r="P229" i="35"/>
  <c r="P61" i="35" s="1"/>
  <c r="O229" i="35"/>
  <c r="O19" i="35" s="1"/>
  <c r="N229" i="35"/>
  <c r="N103" i="35" s="1"/>
  <c r="L229" i="35"/>
  <c r="L61" i="35" s="1"/>
  <c r="K229" i="35"/>
  <c r="K61" i="35" s="1"/>
  <c r="J229" i="35"/>
  <c r="J61" i="35" s="1"/>
  <c r="I229" i="35"/>
  <c r="I103" i="35" s="1"/>
  <c r="H229" i="35"/>
  <c r="H19" i="35" s="1"/>
  <c r="G229" i="35"/>
  <c r="G19" i="35" s="1"/>
  <c r="F229" i="35"/>
  <c r="F19" i="35" s="1"/>
  <c r="U228" i="35"/>
  <c r="U144" i="35" s="1"/>
  <c r="T228" i="35"/>
  <c r="T18" i="35" s="1"/>
  <c r="S228" i="35"/>
  <c r="S18" i="35" s="1"/>
  <c r="Q228" i="35"/>
  <c r="Q186" i="35" s="1"/>
  <c r="P228" i="35"/>
  <c r="P18" i="35" s="1"/>
  <c r="O228" i="35"/>
  <c r="O144" i="35" s="1"/>
  <c r="N228" i="35"/>
  <c r="N60" i="35" s="1"/>
  <c r="L228" i="35"/>
  <c r="L102" i="35" s="1"/>
  <c r="K228" i="35"/>
  <c r="K60" i="35" s="1"/>
  <c r="J228" i="35"/>
  <c r="J144" i="35" s="1"/>
  <c r="I228" i="35"/>
  <c r="I60" i="35" s="1"/>
  <c r="H228" i="35"/>
  <c r="H18" i="35" s="1"/>
  <c r="G228" i="35"/>
  <c r="G102" i="35" s="1"/>
  <c r="F228" i="35"/>
  <c r="F186" i="35" s="1"/>
  <c r="U227" i="35"/>
  <c r="U101" i="35" s="1"/>
  <c r="T227" i="35"/>
  <c r="T17" i="35" s="1"/>
  <c r="S227" i="35"/>
  <c r="S17" i="35" s="1"/>
  <c r="Q227" i="35"/>
  <c r="Q185" i="35" s="1"/>
  <c r="P227" i="35"/>
  <c r="P17" i="35" s="1"/>
  <c r="O227" i="35"/>
  <c r="O17" i="35" s="1"/>
  <c r="N227" i="35"/>
  <c r="N143" i="35" s="1"/>
  <c r="L227" i="35"/>
  <c r="L59" i="35" s="1"/>
  <c r="K227" i="35"/>
  <c r="K185" i="35" s="1"/>
  <c r="J227" i="35"/>
  <c r="J17" i="35" s="1"/>
  <c r="I227" i="35"/>
  <c r="I101" i="35" s="1"/>
  <c r="H227" i="35"/>
  <c r="H185" i="35" s="1"/>
  <c r="G227" i="35"/>
  <c r="G143" i="35" s="1"/>
  <c r="F227" i="35"/>
  <c r="F59" i="35" s="1"/>
  <c r="U226" i="35"/>
  <c r="U100" i="35" s="1"/>
  <c r="T226" i="35"/>
  <c r="T100" i="35" s="1"/>
  <c r="S226" i="35"/>
  <c r="S58" i="35" s="1"/>
  <c r="Q226" i="35"/>
  <c r="Q16" i="35" s="1"/>
  <c r="P226" i="35"/>
  <c r="P184" i="35" s="1"/>
  <c r="O226" i="35"/>
  <c r="O16" i="35" s="1"/>
  <c r="N226" i="35"/>
  <c r="N16" i="35" s="1"/>
  <c r="L226" i="35"/>
  <c r="L16" i="35" s="1"/>
  <c r="K226" i="35"/>
  <c r="K142" i="35" s="1"/>
  <c r="J226" i="35"/>
  <c r="J58" i="35" s="1"/>
  <c r="I226" i="35"/>
  <c r="I100" i="35" s="1"/>
  <c r="H226" i="35"/>
  <c r="H100" i="35" s="1"/>
  <c r="G226" i="35"/>
  <c r="G16" i="35" s="1"/>
  <c r="F226" i="35"/>
  <c r="F184" i="35" s="1"/>
  <c r="U225" i="35"/>
  <c r="U141" i="35" s="1"/>
  <c r="T225" i="35"/>
  <c r="T183" i="35" s="1"/>
  <c r="S225" i="35"/>
  <c r="S99" i="35" s="1"/>
  <c r="Q225" i="35"/>
  <c r="Q141" i="35" s="1"/>
  <c r="P225" i="35"/>
  <c r="P57" i="35" s="1"/>
  <c r="O225" i="35"/>
  <c r="O15" i="35" s="1"/>
  <c r="N225" i="35"/>
  <c r="N99" i="35" s="1"/>
  <c r="L225" i="35"/>
  <c r="L57" i="35" s="1"/>
  <c r="K225" i="35"/>
  <c r="K15" i="35" s="1"/>
  <c r="J225" i="35"/>
  <c r="J15" i="35" s="1"/>
  <c r="I225" i="35"/>
  <c r="I141" i="35" s="1"/>
  <c r="H225" i="35"/>
  <c r="H15" i="35" s="1"/>
  <c r="G225" i="35"/>
  <c r="G15" i="35" s="1"/>
  <c r="F225" i="35"/>
  <c r="F141" i="35" s="1"/>
  <c r="U224" i="35"/>
  <c r="U14" i="35" s="1"/>
  <c r="T224" i="35"/>
  <c r="T98" i="35" s="1"/>
  <c r="S224" i="35"/>
  <c r="S14" i="35" s="1"/>
  <c r="Q224" i="35"/>
  <c r="Q140" i="35" s="1"/>
  <c r="P224" i="35"/>
  <c r="P140" i="35" s="1"/>
  <c r="O224" i="35"/>
  <c r="O140" i="35" s="1"/>
  <c r="N224" i="35"/>
  <c r="N98" i="35" s="1"/>
  <c r="L224" i="35"/>
  <c r="L98" i="35" s="1"/>
  <c r="K224" i="35"/>
  <c r="K56" i="35" s="1"/>
  <c r="J224" i="35"/>
  <c r="J140" i="35" s="1"/>
  <c r="I224" i="35"/>
  <c r="I98" i="35" s="1"/>
  <c r="H224" i="35"/>
  <c r="H98" i="35" s="1"/>
  <c r="G224" i="35"/>
  <c r="G14" i="35" s="1"/>
  <c r="F224" i="35"/>
  <c r="F14" i="35" s="1"/>
  <c r="U223" i="35"/>
  <c r="U139" i="35" s="1"/>
  <c r="T223" i="35"/>
  <c r="T13" i="35" s="1"/>
  <c r="S223" i="35"/>
  <c r="S13" i="35" s="1"/>
  <c r="Q223" i="35"/>
  <c r="Q97" i="35" s="1"/>
  <c r="P223" i="35"/>
  <c r="P55" i="35" s="1"/>
  <c r="O223" i="35"/>
  <c r="O13" i="35" s="1"/>
  <c r="N223" i="35"/>
  <c r="N13" i="35" s="1"/>
  <c r="L223" i="35"/>
  <c r="L97" i="35" s="1"/>
  <c r="K223" i="35"/>
  <c r="K13" i="35" s="1"/>
  <c r="J223" i="35"/>
  <c r="J55" i="35" s="1"/>
  <c r="I223" i="35"/>
  <c r="I139" i="35" s="1"/>
  <c r="H223" i="35"/>
  <c r="H181" i="35" s="1"/>
  <c r="G223" i="35"/>
  <c r="G181" i="35" s="1"/>
  <c r="F223" i="35"/>
  <c r="F181" i="35" s="1"/>
  <c r="U222" i="35"/>
  <c r="U96" i="35" s="1"/>
  <c r="T222" i="35"/>
  <c r="T96" i="35" s="1"/>
  <c r="S222" i="35"/>
  <c r="S54" i="35" s="1"/>
  <c r="Q222" i="35"/>
  <c r="Q54" i="35" s="1"/>
  <c r="P222" i="35"/>
  <c r="P54" i="35" s="1"/>
  <c r="O222" i="35"/>
  <c r="O180" i="35" s="1"/>
  <c r="N222" i="35"/>
  <c r="N54" i="35" s="1"/>
  <c r="L222" i="35"/>
  <c r="L12" i="35" s="1"/>
  <c r="K222" i="35"/>
  <c r="K12" i="35" s="1"/>
  <c r="J222" i="35"/>
  <c r="J96" i="35" s="1"/>
  <c r="I222" i="35"/>
  <c r="I96" i="35" s="1"/>
  <c r="H222" i="35"/>
  <c r="H138" i="35" s="1"/>
  <c r="G222" i="35"/>
  <c r="G54" i="35" s="1"/>
  <c r="F222" i="35"/>
  <c r="F12" i="35" s="1"/>
  <c r="W40" i="35"/>
  <c r="W39" i="35"/>
  <c r="W38" i="35"/>
  <c r="W37" i="35"/>
  <c r="W36" i="35"/>
  <c r="W35" i="35"/>
  <c r="W34" i="35"/>
  <c r="W33" i="35"/>
  <c r="W32" i="35"/>
  <c r="W31" i="35"/>
  <c r="W26" i="35"/>
  <c r="E45" i="35"/>
  <c r="E129" i="35"/>
  <c r="E87" i="35"/>
  <c r="W21" i="35"/>
  <c r="W20" i="35"/>
  <c r="W19" i="35"/>
  <c r="W18" i="35"/>
  <c r="W17" i="35"/>
  <c r="W16" i="35"/>
  <c r="W15" i="35"/>
  <c r="W14" i="35"/>
  <c r="W13" i="35"/>
  <c r="W12" i="35"/>
  <c r="W7" i="35"/>
  <c r="E3" i="35"/>
  <c r="F21" i="18"/>
  <c r="R478" i="33"/>
  <c r="M478" i="33"/>
  <c r="R477" i="33"/>
  <c r="M477" i="33"/>
  <c r="R476" i="33"/>
  <c r="M476" i="33"/>
  <c r="R475" i="33"/>
  <c r="M475" i="33"/>
  <c r="R474" i="33"/>
  <c r="M474" i="33"/>
  <c r="R473" i="33"/>
  <c r="M473" i="33"/>
  <c r="R472" i="33"/>
  <c r="M472" i="33"/>
  <c r="R471" i="33"/>
  <c r="M471" i="33"/>
  <c r="R470" i="33"/>
  <c r="M470" i="33"/>
  <c r="R469" i="33"/>
  <c r="M469" i="33"/>
  <c r="R459" i="33"/>
  <c r="M459" i="33"/>
  <c r="R458" i="33"/>
  <c r="M458" i="33"/>
  <c r="R457" i="33"/>
  <c r="M457" i="33"/>
  <c r="R456" i="33"/>
  <c r="M456" i="33"/>
  <c r="R455" i="33"/>
  <c r="M455" i="33"/>
  <c r="R454" i="33"/>
  <c r="M454" i="33"/>
  <c r="R453" i="33"/>
  <c r="M453" i="33"/>
  <c r="R452" i="33"/>
  <c r="M452" i="33"/>
  <c r="R451" i="33"/>
  <c r="M451" i="33"/>
  <c r="R450" i="33"/>
  <c r="M450" i="33"/>
  <c r="R440" i="33"/>
  <c r="M440" i="33"/>
  <c r="R439" i="33"/>
  <c r="M439" i="33"/>
  <c r="R438" i="33"/>
  <c r="M438" i="33"/>
  <c r="R437" i="33"/>
  <c r="M437" i="33"/>
  <c r="R436" i="33"/>
  <c r="M436" i="33"/>
  <c r="R435" i="33"/>
  <c r="M435" i="33"/>
  <c r="R434" i="33"/>
  <c r="M434" i="33"/>
  <c r="R433" i="33"/>
  <c r="M433" i="33"/>
  <c r="R432" i="33"/>
  <c r="M432" i="33"/>
  <c r="R431" i="33"/>
  <c r="M431" i="33"/>
  <c r="R421" i="33"/>
  <c r="R420" i="33"/>
  <c r="R419" i="33"/>
  <c r="R418" i="33"/>
  <c r="R417" i="33"/>
  <c r="R416" i="33"/>
  <c r="R415" i="33"/>
  <c r="R414" i="33"/>
  <c r="R413" i="33"/>
  <c r="R412" i="33"/>
  <c r="M421" i="33"/>
  <c r="M420" i="33"/>
  <c r="M419" i="33"/>
  <c r="M418" i="33"/>
  <c r="M417" i="33"/>
  <c r="M416" i="33"/>
  <c r="M415" i="33"/>
  <c r="M414" i="33"/>
  <c r="M413" i="33"/>
  <c r="M412" i="33"/>
  <c r="U137" i="34"/>
  <c r="K30" i="18" s="1"/>
  <c r="T137" i="34"/>
  <c r="J30" i="18" s="1"/>
  <c r="S137" i="34"/>
  <c r="I30" i="18" s="1"/>
  <c r="Q137" i="34"/>
  <c r="P137" i="34"/>
  <c r="O137" i="34"/>
  <c r="N137" i="34"/>
  <c r="L137" i="34"/>
  <c r="K137" i="34"/>
  <c r="J137" i="34"/>
  <c r="I137" i="34"/>
  <c r="H137" i="34"/>
  <c r="F30" i="18" s="1"/>
  <c r="G137" i="34"/>
  <c r="E30" i="18" s="1"/>
  <c r="F137" i="34"/>
  <c r="D30" i="18" s="1"/>
  <c r="R136" i="34"/>
  <c r="M136" i="34"/>
  <c r="R135" i="34"/>
  <c r="M135" i="34"/>
  <c r="R134" i="34"/>
  <c r="M134" i="34"/>
  <c r="R133" i="34"/>
  <c r="M133" i="34"/>
  <c r="R132" i="34"/>
  <c r="M132" i="34"/>
  <c r="R131" i="34"/>
  <c r="M131" i="34"/>
  <c r="R130" i="34"/>
  <c r="M130" i="34"/>
  <c r="R129" i="34"/>
  <c r="M129" i="34"/>
  <c r="R128" i="34"/>
  <c r="M128" i="34"/>
  <c r="R127" i="34"/>
  <c r="M127" i="34"/>
  <c r="W113" i="34"/>
  <c r="U113" i="34"/>
  <c r="T113" i="34"/>
  <c r="S113" i="34"/>
  <c r="Q113" i="34"/>
  <c r="P113" i="34"/>
  <c r="O113" i="34"/>
  <c r="N113" i="34"/>
  <c r="L113" i="34"/>
  <c r="K113" i="34"/>
  <c r="J113" i="34"/>
  <c r="I113" i="34"/>
  <c r="H113" i="34"/>
  <c r="G113" i="34"/>
  <c r="F113" i="34"/>
  <c r="W112" i="34"/>
  <c r="U112" i="34"/>
  <c r="T112" i="34"/>
  <c r="S112" i="34"/>
  <c r="Q112" i="34"/>
  <c r="P112" i="34"/>
  <c r="O112" i="34"/>
  <c r="N112" i="34"/>
  <c r="L112" i="34"/>
  <c r="K112" i="34"/>
  <c r="J112" i="34"/>
  <c r="I112" i="34"/>
  <c r="H112" i="34"/>
  <c r="G112" i="34"/>
  <c r="F112" i="34"/>
  <c r="W111" i="34"/>
  <c r="U111" i="34"/>
  <c r="T111" i="34"/>
  <c r="S111" i="34"/>
  <c r="Q111" i="34"/>
  <c r="P111" i="34"/>
  <c r="O111" i="34"/>
  <c r="N111" i="34"/>
  <c r="L111" i="34"/>
  <c r="K111" i="34"/>
  <c r="J111" i="34"/>
  <c r="I111" i="34"/>
  <c r="H111" i="34"/>
  <c r="G111" i="34"/>
  <c r="F111" i="34"/>
  <c r="W110" i="34"/>
  <c r="U110" i="34"/>
  <c r="T110" i="34"/>
  <c r="S110" i="34"/>
  <c r="Q110" i="34"/>
  <c r="P110" i="34"/>
  <c r="O110" i="34"/>
  <c r="N110" i="34"/>
  <c r="L110" i="34"/>
  <c r="K110" i="34"/>
  <c r="J110" i="34"/>
  <c r="I110" i="34"/>
  <c r="H110" i="34"/>
  <c r="G110" i="34"/>
  <c r="F110" i="34"/>
  <c r="W109" i="34"/>
  <c r="U109" i="34"/>
  <c r="T109" i="34"/>
  <c r="S109" i="34"/>
  <c r="Q109" i="34"/>
  <c r="P109" i="34"/>
  <c r="O109" i="34"/>
  <c r="N109" i="34"/>
  <c r="L109" i="34"/>
  <c r="K109" i="34"/>
  <c r="J109" i="34"/>
  <c r="I109" i="34"/>
  <c r="H109" i="34"/>
  <c r="G109" i="34"/>
  <c r="F109" i="34"/>
  <c r="W108" i="34"/>
  <c r="U108" i="34"/>
  <c r="T108" i="34"/>
  <c r="S108" i="34"/>
  <c r="Q108" i="34"/>
  <c r="P108" i="34"/>
  <c r="O108" i="34"/>
  <c r="N108" i="34"/>
  <c r="L108" i="34"/>
  <c r="K108" i="34"/>
  <c r="J108" i="34"/>
  <c r="I108" i="34"/>
  <c r="H108" i="34"/>
  <c r="G108" i="34"/>
  <c r="F108" i="34"/>
  <c r="W107" i="34"/>
  <c r="U107" i="34"/>
  <c r="T107" i="34"/>
  <c r="S107" i="34"/>
  <c r="Q107" i="34"/>
  <c r="P107" i="34"/>
  <c r="O107" i="34"/>
  <c r="N107" i="34"/>
  <c r="L107" i="34"/>
  <c r="K107" i="34"/>
  <c r="J107" i="34"/>
  <c r="I107" i="34"/>
  <c r="H107" i="34"/>
  <c r="G107" i="34"/>
  <c r="F107" i="34"/>
  <c r="W106" i="34"/>
  <c r="U106" i="34"/>
  <c r="T106" i="34"/>
  <c r="S106" i="34"/>
  <c r="Q106" i="34"/>
  <c r="P106" i="34"/>
  <c r="O106" i="34"/>
  <c r="N106" i="34"/>
  <c r="L106" i="34"/>
  <c r="K106" i="34"/>
  <c r="J106" i="34"/>
  <c r="I106" i="34"/>
  <c r="H106" i="34"/>
  <c r="G106" i="34"/>
  <c r="F106" i="34"/>
  <c r="W105" i="34"/>
  <c r="U105" i="34"/>
  <c r="T105" i="34"/>
  <c r="S105" i="34"/>
  <c r="Q105" i="34"/>
  <c r="P105" i="34"/>
  <c r="O105" i="34"/>
  <c r="N105" i="34"/>
  <c r="L105" i="34"/>
  <c r="K105" i="34"/>
  <c r="J105" i="34"/>
  <c r="I105" i="34"/>
  <c r="H105" i="34"/>
  <c r="G105" i="34"/>
  <c r="F105" i="34"/>
  <c r="W104" i="34"/>
  <c r="U104" i="34"/>
  <c r="T104" i="34"/>
  <c r="S104" i="34"/>
  <c r="Q104" i="34"/>
  <c r="P104" i="34"/>
  <c r="O104" i="34"/>
  <c r="N104" i="34"/>
  <c r="L104" i="34"/>
  <c r="K104" i="34"/>
  <c r="J104" i="34"/>
  <c r="I104" i="34"/>
  <c r="H104" i="34"/>
  <c r="G104" i="34"/>
  <c r="F104" i="34"/>
  <c r="W99" i="34"/>
  <c r="E95" i="34"/>
  <c r="W90" i="34"/>
  <c r="U90" i="34"/>
  <c r="T90" i="34"/>
  <c r="S90" i="34"/>
  <c r="Q90" i="34"/>
  <c r="P90" i="34"/>
  <c r="O90" i="34"/>
  <c r="N90" i="34"/>
  <c r="L90" i="34"/>
  <c r="K90" i="34"/>
  <c r="J90" i="34"/>
  <c r="I90" i="34"/>
  <c r="H90" i="34"/>
  <c r="G90" i="34"/>
  <c r="F90" i="34"/>
  <c r="W89" i="34"/>
  <c r="U89" i="34"/>
  <c r="T89" i="34"/>
  <c r="S89" i="34"/>
  <c r="Q89" i="34"/>
  <c r="P89" i="34"/>
  <c r="O89" i="34"/>
  <c r="N89" i="34"/>
  <c r="L89" i="34"/>
  <c r="K89" i="34"/>
  <c r="J89" i="34"/>
  <c r="I89" i="34"/>
  <c r="H89" i="34"/>
  <c r="G89" i="34"/>
  <c r="F89" i="34"/>
  <c r="W88" i="34"/>
  <c r="U88" i="34"/>
  <c r="T88" i="34"/>
  <c r="S88" i="34"/>
  <c r="Q88" i="34"/>
  <c r="P88" i="34"/>
  <c r="O88" i="34"/>
  <c r="N88" i="34"/>
  <c r="L88" i="34"/>
  <c r="K88" i="34"/>
  <c r="J88" i="34"/>
  <c r="I88" i="34"/>
  <c r="H88" i="34"/>
  <c r="G88" i="34"/>
  <c r="F88" i="34"/>
  <c r="W87" i="34"/>
  <c r="U87" i="34"/>
  <c r="T87" i="34"/>
  <c r="S87" i="34"/>
  <c r="Q87" i="34"/>
  <c r="P87" i="34"/>
  <c r="O87" i="34"/>
  <c r="N87" i="34"/>
  <c r="L87" i="34"/>
  <c r="K87" i="34"/>
  <c r="J87" i="34"/>
  <c r="I87" i="34"/>
  <c r="H87" i="34"/>
  <c r="G87" i="34"/>
  <c r="F87" i="34"/>
  <c r="W86" i="34"/>
  <c r="U86" i="34"/>
  <c r="T86" i="34"/>
  <c r="S86" i="34"/>
  <c r="Q86" i="34"/>
  <c r="P86" i="34"/>
  <c r="O86" i="34"/>
  <c r="N86" i="34"/>
  <c r="L86" i="34"/>
  <c r="K86" i="34"/>
  <c r="J86" i="34"/>
  <c r="I86" i="34"/>
  <c r="H86" i="34"/>
  <c r="G86" i="34"/>
  <c r="F86" i="34"/>
  <c r="W85" i="34"/>
  <c r="U85" i="34"/>
  <c r="T85" i="34"/>
  <c r="S85" i="34"/>
  <c r="Q85" i="34"/>
  <c r="P85" i="34"/>
  <c r="O85" i="34"/>
  <c r="N85" i="34"/>
  <c r="L85" i="34"/>
  <c r="K85" i="34"/>
  <c r="J85" i="34"/>
  <c r="I85" i="34"/>
  <c r="H85" i="34"/>
  <c r="G85" i="34"/>
  <c r="F85" i="34"/>
  <c r="W84" i="34"/>
  <c r="U84" i="34"/>
  <c r="T84" i="34"/>
  <c r="S84" i="34"/>
  <c r="Q84" i="34"/>
  <c r="P84" i="34"/>
  <c r="O84" i="34"/>
  <c r="N84" i="34"/>
  <c r="L84" i="34"/>
  <c r="K84" i="34"/>
  <c r="J84" i="34"/>
  <c r="I84" i="34"/>
  <c r="H84" i="34"/>
  <c r="G84" i="34"/>
  <c r="F84" i="34"/>
  <c r="W83" i="34"/>
  <c r="U83" i="34"/>
  <c r="T83" i="34"/>
  <c r="S83" i="34"/>
  <c r="Q83" i="34"/>
  <c r="P83" i="34"/>
  <c r="O83" i="34"/>
  <c r="N83" i="34"/>
  <c r="L83" i="34"/>
  <c r="K83" i="34"/>
  <c r="J83" i="34"/>
  <c r="I83" i="34"/>
  <c r="H83" i="34"/>
  <c r="G83" i="34"/>
  <c r="F83" i="34"/>
  <c r="W82" i="34"/>
  <c r="U82" i="34"/>
  <c r="T82" i="34"/>
  <c r="S82" i="34"/>
  <c r="Q82" i="34"/>
  <c r="P82" i="34"/>
  <c r="O82" i="34"/>
  <c r="N82" i="34"/>
  <c r="L82" i="34"/>
  <c r="K82" i="34"/>
  <c r="J82" i="34"/>
  <c r="I82" i="34"/>
  <c r="H82" i="34"/>
  <c r="G82" i="34"/>
  <c r="F82" i="34"/>
  <c r="W81" i="34"/>
  <c r="U81" i="34"/>
  <c r="T81" i="34"/>
  <c r="S81" i="34"/>
  <c r="Q81" i="34"/>
  <c r="P81" i="34"/>
  <c r="O81" i="34"/>
  <c r="N81" i="34"/>
  <c r="L81" i="34"/>
  <c r="K81" i="34"/>
  <c r="J81" i="34"/>
  <c r="I81" i="34"/>
  <c r="H81" i="34"/>
  <c r="G81" i="34"/>
  <c r="F81" i="34"/>
  <c r="W76" i="34"/>
  <c r="E72" i="34"/>
  <c r="W67" i="34"/>
  <c r="U67" i="34"/>
  <c r="T67" i="34"/>
  <c r="S67" i="34"/>
  <c r="Q67" i="34"/>
  <c r="P67" i="34"/>
  <c r="O67" i="34"/>
  <c r="N67" i="34"/>
  <c r="L67" i="34"/>
  <c r="K67" i="34"/>
  <c r="J67" i="34"/>
  <c r="I67" i="34"/>
  <c r="H67" i="34"/>
  <c r="G67" i="34"/>
  <c r="F67" i="34"/>
  <c r="W66" i="34"/>
  <c r="U66" i="34"/>
  <c r="T66" i="34"/>
  <c r="S66" i="34"/>
  <c r="Q66" i="34"/>
  <c r="P66" i="34"/>
  <c r="O66" i="34"/>
  <c r="N66" i="34"/>
  <c r="L66" i="34"/>
  <c r="K66" i="34"/>
  <c r="J66" i="34"/>
  <c r="I66" i="34"/>
  <c r="H66" i="34"/>
  <c r="G66" i="34"/>
  <c r="F66" i="34"/>
  <c r="W65" i="34"/>
  <c r="U65" i="34"/>
  <c r="T65" i="34"/>
  <c r="S65" i="34"/>
  <c r="Q65" i="34"/>
  <c r="P65" i="34"/>
  <c r="O65" i="34"/>
  <c r="N65" i="34"/>
  <c r="L65" i="34"/>
  <c r="K65" i="34"/>
  <c r="J65" i="34"/>
  <c r="I65" i="34"/>
  <c r="H65" i="34"/>
  <c r="G65" i="34"/>
  <c r="F65" i="34"/>
  <c r="W64" i="34"/>
  <c r="U64" i="34"/>
  <c r="T64" i="34"/>
  <c r="S64" i="34"/>
  <c r="Q64" i="34"/>
  <c r="P64" i="34"/>
  <c r="O64" i="34"/>
  <c r="N64" i="34"/>
  <c r="L64" i="34"/>
  <c r="K64" i="34"/>
  <c r="J64" i="34"/>
  <c r="I64" i="34"/>
  <c r="H64" i="34"/>
  <c r="G64" i="34"/>
  <c r="F64" i="34"/>
  <c r="W63" i="34"/>
  <c r="U63" i="34"/>
  <c r="T63" i="34"/>
  <c r="S63" i="34"/>
  <c r="Q63" i="34"/>
  <c r="P63" i="34"/>
  <c r="O63" i="34"/>
  <c r="N63" i="34"/>
  <c r="L63" i="34"/>
  <c r="K63" i="34"/>
  <c r="J63" i="34"/>
  <c r="I63" i="34"/>
  <c r="H63" i="34"/>
  <c r="G63" i="34"/>
  <c r="F63" i="34"/>
  <c r="W62" i="34"/>
  <c r="U62" i="34"/>
  <c r="T62" i="34"/>
  <c r="S62" i="34"/>
  <c r="Q62" i="34"/>
  <c r="P62" i="34"/>
  <c r="O62" i="34"/>
  <c r="N62" i="34"/>
  <c r="L62" i="34"/>
  <c r="K62" i="34"/>
  <c r="J62" i="34"/>
  <c r="I62" i="34"/>
  <c r="H62" i="34"/>
  <c r="G62" i="34"/>
  <c r="F62" i="34"/>
  <c r="W61" i="34"/>
  <c r="U61" i="34"/>
  <c r="T61" i="34"/>
  <c r="S61" i="34"/>
  <c r="Q61" i="34"/>
  <c r="P61" i="34"/>
  <c r="O61" i="34"/>
  <c r="N61" i="34"/>
  <c r="L61" i="34"/>
  <c r="K61" i="34"/>
  <c r="J61" i="34"/>
  <c r="I61" i="34"/>
  <c r="H61" i="34"/>
  <c r="G61" i="34"/>
  <c r="F61" i="34"/>
  <c r="W60" i="34"/>
  <c r="U60" i="34"/>
  <c r="T60" i="34"/>
  <c r="S60" i="34"/>
  <c r="Q60" i="34"/>
  <c r="P60" i="34"/>
  <c r="O60" i="34"/>
  <c r="N60" i="34"/>
  <c r="L60" i="34"/>
  <c r="K60" i="34"/>
  <c r="J60" i="34"/>
  <c r="I60" i="34"/>
  <c r="H60" i="34"/>
  <c r="G60" i="34"/>
  <c r="F60" i="34"/>
  <c r="W59" i="34"/>
  <c r="U59" i="34"/>
  <c r="T59" i="34"/>
  <c r="S59" i="34"/>
  <c r="Q59" i="34"/>
  <c r="P59" i="34"/>
  <c r="O59" i="34"/>
  <c r="N59" i="34"/>
  <c r="L59" i="34"/>
  <c r="K59" i="34"/>
  <c r="J59" i="34"/>
  <c r="I59" i="34"/>
  <c r="H59" i="34"/>
  <c r="G59" i="34"/>
  <c r="F59" i="34"/>
  <c r="W58" i="34"/>
  <c r="U58" i="34"/>
  <c r="T58" i="34"/>
  <c r="S58" i="34"/>
  <c r="Q58" i="34"/>
  <c r="P58" i="34"/>
  <c r="O58" i="34"/>
  <c r="N58" i="34"/>
  <c r="L58" i="34"/>
  <c r="K58" i="34"/>
  <c r="J58" i="34"/>
  <c r="I58" i="34"/>
  <c r="H58" i="34"/>
  <c r="G58" i="34"/>
  <c r="F58" i="34"/>
  <c r="W53" i="34"/>
  <c r="E49" i="34"/>
  <c r="W44" i="34"/>
  <c r="U44" i="34"/>
  <c r="T44" i="34"/>
  <c r="S44" i="34"/>
  <c r="Q44" i="34"/>
  <c r="P44" i="34"/>
  <c r="O44" i="34"/>
  <c r="N44" i="34"/>
  <c r="L44" i="34"/>
  <c r="K44" i="34"/>
  <c r="J44" i="34"/>
  <c r="I44" i="34"/>
  <c r="H44" i="34"/>
  <c r="G44" i="34"/>
  <c r="F44" i="34"/>
  <c r="W43" i="34"/>
  <c r="U43" i="34"/>
  <c r="T43" i="34"/>
  <c r="S43" i="34"/>
  <c r="Q43" i="34"/>
  <c r="P43" i="34"/>
  <c r="O43" i="34"/>
  <c r="N43" i="34"/>
  <c r="L43" i="34"/>
  <c r="K43" i="34"/>
  <c r="J43" i="34"/>
  <c r="I43" i="34"/>
  <c r="H43" i="34"/>
  <c r="G43" i="34"/>
  <c r="F43" i="34"/>
  <c r="W42" i="34"/>
  <c r="U42" i="34"/>
  <c r="T42" i="34"/>
  <c r="S42" i="34"/>
  <c r="Q42" i="34"/>
  <c r="P42" i="34"/>
  <c r="O42" i="34"/>
  <c r="N42" i="34"/>
  <c r="L42" i="34"/>
  <c r="K42" i="34"/>
  <c r="J42" i="34"/>
  <c r="I42" i="34"/>
  <c r="H42" i="34"/>
  <c r="G42" i="34"/>
  <c r="F42" i="34"/>
  <c r="W41" i="34"/>
  <c r="U41" i="34"/>
  <c r="T41" i="34"/>
  <c r="S41" i="34"/>
  <c r="Q41" i="34"/>
  <c r="P41" i="34"/>
  <c r="O41" i="34"/>
  <c r="N41" i="34"/>
  <c r="L41" i="34"/>
  <c r="K41" i="34"/>
  <c r="J41" i="34"/>
  <c r="I41" i="34"/>
  <c r="H41" i="34"/>
  <c r="G41" i="34"/>
  <c r="F41" i="34"/>
  <c r="W40" i="34"/>
  <c r="U40" i="34"/>
  <c r="T40" i="34"/>
  <c r="S40" i="34"/>
  <c r="Q40" i="34"/>
  <c r="P40" i="34"/>
  <c r="O40" i="34"/>
  <c r="N40" i="34"/>
  <c r="L40" i="34"/>
  <c r="K40" i="34"/>
  <c r="J40" i="34"/>
  <c r="I40" i="34"/>
  <c r="H40" i="34"/>
  <c r="G40" i="34"/>
  <c r="F40" i="34"/>
  <c r="W39" i="34"/>
  <c r="U39" i="34"/>
  <c r="T39" i="34"/>
  <c r="S39" i="34"/>
  <c r="Q39" i="34"/>
  <c r="P39" i="34"/>
  <c r="O39" i="34"/>
  <c r="N39" i="34"/>
  <c r="L39" i="34"/>
  <c r="K39" i="34"/>
  <c r="J39" i="34"/>
  <c r="I39" i="34"/>
  <c r="H39" i="34"/>
  <c r="G39" i="34"/>
  <c r="F39" i="34"/>
  <c r="W38" i="34"/>
  <c r="U38" i="34"/>
  <c r="T38" i="34"/>
  <c r="S38" i="34"/>
  <c r="Q38" i="34"/>
  <c r="P38" i="34"/>
  <c r="O38" i="34"/>
  <c r="N38" i="34"/>
  <c r="L38" i="34"/>
  <c r="K38" i="34"/>
  <c r="J38" i="34"/>
  <c r="I38" i="34"/>
  <c r="H38" i="34"/>
  <c r="G38" i="34"/>
  <c r="F38" i="34"/>
  <c r="W37" i="34"/>
  <c r="U37" i="34"/>
  <c r="T37" i="34"/>
  <c r="S37" i="34"/>
  <c r="Q37" i="34"/>
  <c r="P37" i="34"/>
  <c r="O37" i="34"/>
  <c r="N37" i="34"/>
  <c r="L37" i="34"/>
  <c r="K37" i="34"/>
  <c r="J37" i="34"/>
  <c r="I37" i="34"/>
  <c r="H37" i="34"/>
  <c r="G37" i="34"/>
  <c r="F37" i="34"/>
  <c r="W36" i="34"/>
  <c r="U36" i="34"/>
  <c r="T36" i="34"/>
  <c r="S36" i="34"/>
  <c r="Q36" i="34"/>
  <c r="P36" i="34"/>
  <c r="O36" i="34"/>
  <c r="N36" i="34"/>
  <c r="L36" i="34"/>
  <c r="K36" i="34"/>
  <c r="J36" i="34"/>
  <c r="I36" i="34"/>
  <c r="H36" i="34"/>
  <c r="G36" i="34"/>
  <c r="F36" i="34"/>
  <c r="W35" i="34"/>
  <c r="U35" i="34"/>
  <c r="T35" i="34"/>
  <c r="S35" i="34"/>
  <c r="Q35" i="34"/>
  <c r="P35" i="34"/>
  <c r="O35" i="34"/>
  <c r="N35" i="34"/>
  <c r="L35" i="34"/>
  <c r="K35" i="34"/>
  <c r="J35" i="34"/>
  <c r="I35" i="34"/>
  <c r="H35" i="34"/>
  <c r="G35" i="34"/>
  <c r="F35" i="34"/>
  <c r="W30" i="34"/>
  <c r="E26" i="34"/>
  <c r="W21" i="34"/>
  <c r="U21" i="34"/>
  <c r="T21" i="34"/>
  <c r="S21" i="34"/>
  <c r="Q21" i="34"/>
  <c r="P21" i="34"/>
  <c r="O21" i="34"/>
  <c r="N21" i="34"/>
  <c r="L21" i="34"/>
  <c r="K21" i="34"/>
  <c r="J21" i="34"/>
  <c r="I21" i="34"/>
  <c r="H21" i="34"/>
  <c r="G21" i="34"/>
  <c r="F21" i="34"/>
  <c r="W20" i="34"/>
  <c r="U20" i="34"/>
  <c r="T20" i="34"/>
  <c r="S20" i="34"/>
  <c r="Q20" i="34"/>
  <c r="P20" i="34"/>
  <c r="O20" i="34"/>
  <c r="N20" i="34"/>
  <c r="L20" i="34"/>
  <c r="K20" i="34"/>
  <c r="J20" i="34"/>
  <c r="I20" i="34"/>
  <c r="H20" i="34"/>
  <c r="G20" i="34"/>
  <c r="F20" i="34"/>
  <c r="W19" i="34"/>
  <c r="U19" i="34"/>
  <c r="T19" i="34"/>
  <c r="S19" i="34"/>
  <c r="Q19" i="34"/>
  <c r="P19" i="34"/>
  <c r="O19" i="34"/>
  <c r="N19" i="34"/>
  <c r="L19" i="34"/>
  <c r="K19" i="34"/>
  <c r="J19" i="34"/>
  <c r="I19" i="34"/>
  <c r="H19" i="34"/>
  <c r="G19" i="34"/>
  <c r="F19" i="34"/>
  <c r="W18" i="34"/>
  <c r="U18" i="34"/>
  <c r="T18" i="34"/>
  <c r="S18" i="34"/>
  <c r="Q18" i="34"/>
  <c r="P18" i="34"/>
  <c r="O18" i="34"/>
  <c r="N18" i="34"/>
  <c r="L18" i="34"/>
  <c r="K18" i="34"/>
  <c r="J18" i="34"/>
  <c r="I18" i="34"/>
  <c r="H18" i="34"/>
  <c r="G18" i="34"/>
  <c r="F18" i="34"/>
  <c r="W17" i="34"/>
  <c r="U17" i="34"/>
  <c r="T17" i="34"/>
  <c r="S17" i="34"/>
  <c r="Q17" i="34"/>
  <c r="P17" i="34"/>
  <c r="O17" i="34"/>
  <c r="N17" i="34"/>
  <c r="L17" i="34"/>
  <c r="K17" i="34"/>
  <c r="J17" i="34"/>
  <c r="I17" i="34"/>
  <c r="H17" i="34"/>
  <c r="G17" i="34"/>
  <c r="F17" i="34"/>
  <c r="W16" i="34"/>
  <c r="U16" i="34"/>
  <c r="T16" i="34"/>
  <c r="S16" i="34"/>
  <c r="Q16" i="34"/>
  <c r="P16" i="34"/>
  <c r="O16" i="34"/>
  <c r="N16" i="34"/>
  <c r="L16" i="34"/>
  <c r="K16" i="34"/>
  <c r="J16" i="34"/>
  <c r="I16" i="34"/>
  <c r="H16" i="34"/>
  <c r="G16" i="34"/>
  <c r="F16" i="34"/>
  <c r="W15" i="34"/>
  <c r="U15" i="34"/>
  <c r="T15" i="34"/>
  <c r="S15" i="34"/>
  <c r="Q15" i="34"/>
  <c r="P15" i="34"/>
  <c r="O15" i="34"/>
  <c r="N15" i="34"/>
  <c r="L15" i="34"/>
  <c r="K15" i="34"/>
  <c r="J15" i="34"/>
  <c r="I15" i="34"/>
  <c r="H15" i="34"/>
  <c r="G15" i="34"/>
  <c r="F15" i="34"/>
  <c r="W14" i="34"/>
  <c r="U14" i="34"/>
  <c r="T14" i="34"/>
  <c r="S14" i="34"/>
  <c r="Q14" i="34"/>
  <c r="P14" i="34"/>
  <c r="O14" i="34"/>
  <c r="N14" i="34"/>
  <c r="L14" i="34"/>
  <c r="K14" i="34"/>
  <c r="J14" i="34"/>
  <c r="I14" i="34"/>
  <c r="H14" i="34"/>
  <c r="G14" i="34"/>
  <c r="F14" i="34"/>
  <c r="W13" i="34"/>
  <c r="U13" i="34"/>
  <c r="T13" i="34"/>
  <c r="S13" i="34"/>
  <c r="Q13" i="34"/>
  <c r="P13" i="34"/>
  <c r="O13" i="34"/>
  <c r="N13" i="34"/>
  <c r="L13" i="34"/>
  <c r="K13" i="34"/>
  <c r="J13" i="34"/>
  <c r="I13" i="34"/>
  <c r="H13" i="34"/>
  <c r="G13" i="34"/>
  <c r="F13" i="34"/>
  <c r="W12" i="34"/>
  <c r="U12" i="34"/>
  <c r="T12" i="34"/>
  <c r="S12" i="34"/>
  <c r="Q12" i="34"/>
  <c r="P12" i="34"/>
  <c r="O12" i="34"/>
  <c r="N12" i="34"/>
  <c r="L12" i="34"/>
  <c r="K12" i="34"/>
  <c r="J12" i="34"/>
  <c r="I12" i="34"/>
  <c r="H12" i="34"/>
  <c r="G12" i="34"/>
  <c r="F12" i="34"/>
  <c r="W7" i="34"/>
  <c r="E3" i="34"/>
  <c r="U398" i="33"/>
  <c r="T398" i="33"/>
  <c r="S398" i="33"/>
  <c r="Q398" i="33"/>
  <c r="R398" i="33" s="1"/>
  <c r="P398" i="33"/>
  <c r="O398" i="33"/>
  <c r="N398" i="33"/>
  <c r="L398" i="33"/>
  <c r="M398" i="33" s="1"/>
  <c r="K398" i="33"/>
  <c r="J398" i="33"/>
  <c r="I398" i="33"/>
  <c r="H398" i="33"/>
  <c r="G398" i="33"/>
  <c r="F398" i="33"/>
  <c r="U397" i="33"/>
  <c r="T397" i="33"/>
  <c r="S397" i="33"/>
  <c r="Q397" i="33"/>
  <c r="R397" i="33" s="1"/>
  <c r="P397" i="33"/>
  <c r="O397" i="33"/>
  <c r="N397" i="33"/>
  <c r="L397" i="33"/>
  <c r="M397" i="33" s="1"/>
  <c r="K397" i="33"/>
  <c r="J397" i="33"/>
  <c r="I397" i="33"/>
  <c r="H397" i="33"/>
  <c r="G397" i="33"/>
  <c r="F397" i="33"/>
  <c r="U396" i="33"/>
  <c r="T396" i="33"/>
  <c r="S396" i="33"/>
  <c r="Q396" i="33"/>
  <c r="R396" i="33" s="1"/>
  <c r="P396" i="33"/>
  <c r="O396" i="33"/>
  <c r="N396" i="33"/>
  <c r="L396" i="33"/>
  <c r="M396" i="33" s="1"/>
  <c r="K396" i="33"/>
  <c r="J396" i="33"/>
  <c r="I396" i="33"/>
  <c r="H396" i="33"/>
  <c r="G396" i="33"/>
  <c r="F396" i="33"/>
  <c r="U395" i="33"/>
  <c r="T395" i="33"/>
  <c r="S395" i="33"/>
  <c r="Q395" i="33"/>
  <c r="R395" i="33" s="1"/>
  <c r="P395" i="33"/>
  <c r="O395" i="33"/>
  <c r="N395" i="33"/>
  <c r="L395" i="33"/>
  <c r="M395" i="33" s="1"/>
  <c r="K395" i="33"/>
  <c r="J395" i="33"/>
  <c r="I395" i="33"/>
  <c r="H395" i="33"/>
  <c r="G395" i="33"/>
  <c r="F395" i="33"/>
  <c r="U394" i="33"/>
  <c r="T394" i="33"/>
  <c r="S394" i="33"/>
  <c r="Q394" i="33"/>
  <c r="R394" i="33" s="1"/>
  <c r="P394" i="33"/>
  <c r="O394" i="33"/>
  <c r="N394" i="33"/>
  <c r="L394" i="33"/>
  <c r="M394" i="33" s="1"/>
  <c r="K394" i="33"/>
  <c r="J394" i="33"/>
  <c r="I394" i="33"/>
  <c r="H394" i="33"/>
  <c r="G394" i="33"/>
  <c r="F394" i="33"/>
  <c r="U393" i="33"/>
  <c r="T393" i="33"/>
  <c r="S393" i="33"/>
  <c r="Q393" i="33"/>
  <c r="R393" i="33" s="1"/>
  <c r="P393" i="33"/>
  <c r="O393" i="33"/>
  <c r="N393" i="33"/>
  <c r="L393" i="33"/>
  <c r="M393" i="33" s="1"/>
  <c r="K393" i="33"/>
  <c r="J393" i="33"/>
  <c r="I393" i="33"/>
  <c r="H393" i="33"/>
  <c r="G393" i="33"/>
  <c r="F393" i="33"/>
  <c r="U392" i="33"/>
  <c r="T392" i="33"/>
  <c r="S392" i="33"/>
  <c r="Q392" i="33"/>
  <c r="R392" i="33" s="1"/>
  <c r="P392" i="33"/>
  <c r="O392" i="33"/>
  <c r="N392" i="33"/>
  <c r="L392" i="33"/>
  <c r="M392" i="33" s="1"/>
  <c r="K392" i="33"/>
  <c r="J392" i="33"/>
  <c r="I392" i="33"/>
  <c r="H392" i="33"/>
  <c r="G392" i="33"/>
  <c r="F392" i="33"/>
  <c r="U391" i="33"/>
  <c r="T391" i="33"/>
  <c r="S391" i="33"/>
  <c r="Q391" i="33"/>
  <c r="R391" i="33" s="1"/>
  <c r="P391" i="33"/>
  <c r="O391" i="33"/>
  <c r="N391" i="33"/>
  <c r="L391" i="33"/>
  <c r="M391" i="33" s="1"/>
  <c r="K391" i="33"/>
  <c r="J391" i="33"/>
  <c r="I391" i="33"/>
  <c r="H391" i="33"/>
  <c r="G391" i="33"/>
  <c r="F391" i="33"/>
  <c r="U390" i="33"/>
  <c r="T390" i="33"/>
  <c r="S390" i="33"/>
  <c r="Q390" i="33"/>
  <c r="R390" i="33" s="1"/>
  <c r="P390" i="33"/>
  <c r="O390" i="33"/>
  <c r="N390" i="33"/>
  <c r="L390" i="33"/>
  <c r="M390" i="33" s="1"/>
  <c r="K390" i="33"/>
  <c r="J390" i="33"/>
  <c r="I390" i="33"/>
  <c r="H390" i="33"/>
  <c r="G390" i="33"/>
  <c r="F390" i="33"/>
  <c r="U389" i="33"/>
  <c r="T389" i="33"/>
  <c r="S389" i="33"/>
  <c r="Q389" i="33"/>
  <c r="R389" i="33" s="1"/>
  <c r="P389" i="33"/>
  <c r="O389" i="33"/>
  <c r="N389" i="33"/>
  <c r="L389" i="33"/>
  <c r="M389" i="33" s="1"/>
  <c r="K389" i="33"/>
  <c r="J389" i="33"/>
  <c r="I389" i="33"/>
  <c r="H389" i="33"/>
  <c r="G389" i="33"/>
  <c r="F389" i="33"/>
  <c r="U379" i="33"/>
  <c r="T379" i="33"/>
  <c r="S379" i="33"/>
  <c r="Q379" i="33"/>
  <c r="R379" i="33" s="1"/>
  <c r="P379" i="33"/>
  <c r="O379" i="33"/>
  <c r="N379" i="33"/>
  <c r="L379" i="33"/>
  <c r="M379" i="33" s="1"/>
  <c r="K379" i="33"/>
  <c r="J379" i="33"/>
  <c r="I379" i="33"/>
  <c r="H379" i="33"/>
  <c r="G379" i="33"/>
  <c r="F379" i="33"/>
  <c r="U378" i="33"/>
  <c r="T378" i="33"/>
  <c r="S378" i="33"/>
  <c r="Q378" i="33"/>
  <c r="R378" i="33" s="1"/>
  <c r="P378" i="33"/>
  <c r="O378" i="33"/>
  <c r="N378" i="33"/>
  <c r="L378" i="33"/>
  <c r="M378" i="33" s="1"/>
  <c r="K378" i="33"/>
  <c r="J378" i="33"/>
  <c r="I378" i="33"/>
  <c r="H378" i="33"/>
  <c r="G378" i="33"/>
  <c r="F378" i="33"/>
  <c r="U377" i="33"/>
  <c r="T377" i="33"/>
  <c r="S377" i="33"/>
  <c r="Q377" i="33"/>
  <c r="R377" i="33" s="1"/>
  <c r="P377" i="33"/>
  <c r="O377" i="33"/>
  <c r="N377" i="33"/>
  <c r="L377" i="33"/>
  <c r="M377" i="33" s="1"/>
  <c r="K377" i="33"/>
  <c r="J377" i="33"/>
  <c r="I377" i="33"/>
  <c r="H377" i="33"/>
  <c r="G377" i="33"/>
  <c r="F377" i="33"/>
  <c r="U376" i="33"/>
  <c r="T376" i="33"/>
  <c r="S376" i="33"/>
  <c r="Q376" i="33"/>
  <c r="R376" i="33" s="1"/>
  <c r="P376" i="33"/>
  <c r="O376" i="33"/>
  <c r="N376" i="33"/>
  <c r="L376" i="33"/>
  <c r="M376" i="33" s="1"/>
  <c r="K376" i="33"/>
  <c r="J376" i="33"/>
  <c r="I376" i="33"/>
  <c r="H376" i="33"/>
  <c r="G376" i="33"/>
  <c r="F376" i="33"/>
  <c r="U375" i="33"/>
  <c r="T375" i="33"/>
  <c r="S375" i="33"/>
  <c r="Q375" i="33"/>
  <c r="R375" i="33" s="1"/>
  <c r="P375" i="33"/>
  <c r="O375" i="33"/>
  <c r="N375" i="33"/>
  <c r="L375" i="33"/>
  <c r="M375" i="33" s="1"/>
  <c r="K375" i="33"/>
  <c r="J375" i="33"/>
  <c r="I375" i="33"/>
  <c r="H375" i="33"/>
  <c r="G375" i="33"/>
  <c r="F375" i="33"/>
  <c r="U374" i="33"/>
  <c r="T374" i="33"/>
  <c r="S374" i="33"/>
  <c r="Q374" i="33"/>
  <c r="R374" i="33" s="1"/>
  <c r="P374" i="33"/>
  <c r="O374" i="33"/>
  <c r="N374" i="33"/>
  <c r="L374" i="33"/>
  <c r="M374" i="33" s="1"/>
  <c r="K374" i="33"/>
  <c r="J374" i="33"/>
  <c r="I374" i="33"/>
  <c r="H374" i="33"/>
  <c r="G374" i="33"/>
  <c r="F374" i="33"/>
  <c r="U373" i="33"/>
  <c r="T373" i="33"/>
  <c r="S373" i="33"/>
  <c r="Q373" i="33"/>
  <c r="R373" i="33" s="1"/>
  <c r="P373" i="33"/>
  <c r="O373" i="33"/>
  <c r="N373" i="33"/>
  <c r="L373" i="33"/>
  <c r="M373" i="33" s="1"/>
  <c r="K373" i="33"/>
  <c r="J373" i="33"/>
  <c r="I373" i="33"/>
  <c r="H373" i="33"/>
  <c r="G373" i="33"/>
  <c r="F373" i="33"/>
  <c r="U372" i="33"/>
  <c r="T372" i="33"/>
  <c r="S372" i="33"/>
  <c r="Q372" i="33"/>
  <c r="R372" i="33" s="1"/>
  <c r="P372" i="33"/>
  <c r="O372" i="33"/>
  <c r="N372" i="33"/>
  <c r="L372" i="33"/>
  <c r="M372" i="33" s="1"/>
  <c r="K372" i="33"/>
  <c r="J372" i="33"/>
  <c r="I372" i="33"/>
  <c r="H372" i="33"/>
  <c r="G372" i="33"/>
  <c r="F372" i="33"/>
  <c r="U371" i="33"/>
  <c r="T371" i="33"/>
  <c r="S371" i="33"/>
  <c r="Q371" i="33"/>
  <c r="R371" i="33" s="1"/>
  <c r="P371" i="33"/>
  <c r="O371" i="33"/>
  <c r="N371" i="33"/>
  <c r="L371" i="33"/>
  <c r="M371" i="33" s="1"/>
  <c r="K371" i="33"/>
  <c r="J371" i="33"/>
  <c r="I371" i="33"/>
  <c r="H371" i="33"/>
  <c r="G371" i="33"/>
  <c r="F371" i="33"/>
  <c r="U370" i="33"/>
  <c r="T370" i="33"/>
  <c r="S370" i="33"/>
  <c r="Q370" i="33"/>
  <c r="P370" i="33"/>
  <c r="O370" i="33"/>
  <c r="N370" i="33"/>
  <c r="L370" i="33"/>
  <c r="M370" i="33" s="1"/>
  <c r="K370" i="33"/>
  <c r="J370" i="33"/>
  <c r="I370" i="33"/>
  <c r="H370" i="33"/>
  <c r="G370" i="33"/>
  <c r="F370" i="33"/>
  <c r="U360" i="33"/>
  <c r="T360" i="33"/>
  <c r="S360" i="33"/>
  <c r="Q360" i="33"/>
  <c r="R360" i="33" s="1"/>
  <c r="P360" i="33"/>
  <c r="O360" i="33"/>
  <c r="N360" i="33"/>
  <c r="L360" i="33"/>
  <c r="M360" i="33" s="1"/>
  <c r="K360" i="33"/>
  <c r="J360" i="33"/>
  <c r="I360" i="33"/>
  <c r="H360" i="33"/>
  <c r="G360" i="33"/>
  <c r="F360" i="33"/>
  <c r="U359" i="33"/>
  <c r="T359" i="33"/>
  <c r="S359" i="33"/>
  <c r="Q359" i="33"/>
  <c r="R359" i="33" s="1"/>
  <c r="P359" i="33"/>
  <c r="O359" i="33"/>
  <c r="N359" i="33"/>
  <c r="L359" i="33"/>
  <c r="M359" i="33" s="1"/>
  <c r="K359" i="33"/>
  <c r="J359" i="33"/>
  <c r="I359" i="33"/>
  <c r="H359" i="33"/>
  <c r="G359" i="33"/>
  <c r="F359" i="33"/>
  <c r="U358" i="33"/>
  <c r="T358" i="33"/>
  <c r="S358" i="33"/>
  <c r="Q358" i="33"/>
  <c r="R358" i="33" s="1"/>
  <c r="P358" i="33"/>
  <c r="O358" i="33"/>
  <c r="N358" i="33"/>
  <c r="L358" i="33"/>
  <c r="M358" i="33" s="1"/>
  <c r="K358" i="33"/>
  <c r="J358" i="33"/>
  <c r="I358" i="33"/>
  <c r="H358" i="33"/>
  <c r="G358" i="33"/>
  <c r="F358" i="33"/>
  <c r="U357" i="33"/>
  <c r="T357" i="33"/>
  <c r="S357" i="33"/>
  <c r="Q357" i="33"/>
  <c r="R357" i="33" s="1"/>
  <c r="P357" i="33"/>
  <c r="O357" i="33"/>
  <c r="N357" i="33"/>
  <c r="L357" i="33"/>
  <c r="M357" i="33" s="1"/>
  <c r="K357" i="33"/>
  <c r="J357" i="33"/>
  <c r="I357" i="33"/>
  <c r="H357" i="33"/>
  <c r="G357" i="33"/>
  <c r="F357" i="33"/>
  <c r="U356" i="33"/>
  <c r="T356" i="33"/>
  <c r="S356" i="33"/>
  <c r="Q356" i="33"/>
  <c r="R356" i="33" s="1"/>
  <c r="P356" i="33"/>
  <c r="O356" i="33"/>
  <c r="N356" i="33"/>
  <c r="L356" i="33"/>
  <c r="M356" i="33" s="1"/>
  <c r="K356" i="33"/>
  <c r="J356" i="33"/>
  <c r="I356" i="33"/>
  <c r="H356" i="33"/>
  <c r="G356" i="33"/>
  <c r="F356" i="33"/>
  <c r="U355" i="33"/>
  <c r="T355" i="33"/>
  <c r="S355" i="33"/>
  <c r="Q355" i="33"/>
  <c r="R355" i="33" s="1"/>
  <c r="P355" i="33"/>
  <c r="O355" i="33"/>
  <c r="N355" i="33"/>
  <c r="L355" i="33"/>
  <c r="M355" i="33" s="1"/>
  <c r="K355" i="33"/>
  <c r="J355" i="33"/>
  <c r="I355" i="33"/>
  <c r="H355" i="33"/>
  <c r="G355" i="33"/>
  <c r="F355" i="33"/>
  <c r="U354" i="33"/>
  <c r="T354" i="33"/>
  <c r="S354" i="33"/>
  <c r="Q354" i="33"/>
  <c r="R354" i="33" s="1"/>
  <c r="P354" i="33"/>
  <c r="O354" i="33"/>
  <c r="N354" i="33"/>
  <c r="L354" i="33"/>
  <c r="M354" i="33" s="1"/>
  <c r="K354" i="33"/>
  <c r="J354" i="33"/>
  <c r="I354" i="33"/>
  <c r="H354" i="33"/>
  <c r="G354" i="33"/>
  <c r="F354" i="33"/>
  <c r="U353" i="33"/>
  <c r="T353" i="33"/>
  <c r="S353" i="33"/>
  <c r="Q353" i="33"/>
  <c r="R353" i="33" s="1"/>
  <c r="P353" i="33"/>
  <c r="O353" i="33"/>
  <c r="N353" i="33"/>
  <c r="L353" i="33"/>
  <c r="M353" i="33" s="1"/>
  <c r="K353" i="33"/>
  <c r="J353" i="33"/>
  <c r="I353" i="33"/>
  <c r="H353" i="33"/>
  <c r="G353" i="33"/>
  <c r="F353" i="33"/>
  <c r="U352" i="33"/>
  <c r="T352" i="33"/>
  <c r="S352" i="33"/>
  <c r="Q352" i="33"/>
  <c r="R352" i="33" s="1"/>
  <c r="P352" i="33"/>
  <c r="O352" i="33"/>
  <c r="N352" i="33"/>
  <c r="L352" i="33"/>
  <c r="M352" i="33" s="1"/>
  <c r="K352" i="33"/>
  <c r="J352" i="33"/>
  <c r="I352" i="33"/>
  <c r="H352" i="33"/>
  <c r="G352" i="33"/>
  <c r="F352" i="33"/>
  <c r="U351" i="33"/>
  <c r="T351" i="33"/>
  <c r="S351" i="33"/>
  <c r="Q351" i="33"/>
  <c r="R351" i="33" s="1"/>
  <c r="P351" i="33"/>
  <c r="O351" i="33"/>
  <c r="N351" i="33"/>
  <c r="L351" i="33"/>
  <c r="M351" i="33" s="1"/>
  <c r="K351" i="33"/>
  <c r="J351" i="33"/>
  <c r="I351" i="33"/>
  <c r="H351" i="33"/>
  <c r="G351" i="33"/>
  <c r="F351" i="33"/>
  <c r="U341" i="33"/>
  <c r="T341" i="33"/>
  <c r="S341" i="33"/>
  <c r="U340" i="33"/>
  <c r="T340" i="33"/>
  <c r="S340" i="33"/>
  <c r="U339" i="33"/>
  <c r="T339" i="33"/>
  <c r="S339" i="33"/>
  <c r="U338" i="33"/>
  <c r="T338" i="33"/>
  <c r="S338" i="33"/>
  <c r="U337" i="33"/>
  <c r="T337" i="33"/>
  <c r="S337" i="33"/>
  <c r="U336" i="33"/>
  <c r="T336" i="33"/>
  <c r="S336" i="33"/>
  <c r="U335" i="33"/>
  <c r="T335" i="33"/>
  <c r="S335" i="33"/>
  <c r="U334" i="33"/>
  <c r="T334" i="33"/>
  <c r="S334" i="33"/>
  <c r="U333" i="33"/>
  <c r="T333" i="33"/>
  <c r="S333" i="33"/>
  <c r="U332" i="33"/>
  <c r="T332" i="33"/>
  <c r="S332" i="33"/>
  <c r="Q341" i="33"/>
  <c r="R341" i="33" s="1"/>
  <c r="P341" i="33"/>
  <c r="O341" i="33"/>
  <c r="N341" i="33"/>
  <c r="Q340" i="33"/>
  <c r="R340" i="33" s="1"/>
  <c r="P340" i="33"/>
  <c r="O340" i="33"/>
  <c r="N340" i="33"/>
  <c r="Q339" i="33"/>
  <c r="R339" i="33" s="1"/>
  <c r="P339" i="33"/>
  <c r="O339" i="33"/>
  <c r="N339" i="33"/>
  <c r="Q338" i="33"/>
  <c r="R338" i="33" s="1"/>
  <c r="P338" i="33"/>
  <c r="O338" i="33"/>
  <c r="N338" i="33"/>
  <c r="Q337" i="33"/>
  <c r="R337" i="33" s="1"/>
  <c r="P337" i="33"/>
  <c r="O337" i="33"/>
  <c r="N337" i="33"/>
  <c r="Q336" i="33"/>
  <c r="R336" i="33" s="1"/>
  <c r="P336" i="33"/>
  <c r="O336" i="33"/>
  <c r="N336" i="33"/>
  <c r="Q335" i="33"/>
  <c r="R335" i="33" s="1"/>
  <c r="P335" i="33"/>
  <c r="O335" i="33"/>
  <c r="N335" i="33"/>
  <c r="Q334" i="33"/>
  <c r="R334" i="33" s="1"/>
  <c r="P334" i="33"/>
  <c r="O334" i="33"/>
  <c r="N334" i="33"/>
  <c r="Q333" i="33"/>
  <c r="R333" i="33" s="1"/>
  <c r="P333" i="33"/>
  <c r="O333" i="33"/>
  <c r="N333" i="33"/>
  <c r="Q332" i="33"/>
  <c r="R332" i="33" s="1"/>
  <c r="P332" i="33"/>
  <c r="O332" i="33"/>
  <c r="N332" i="33"/>
  <c r="L341" i="33"/>
  <c r="M341" i="33" s="1"/>
  <c r="K341" i="33"/>
  <c r="J341" i="33"/>
  <c r="I341" i="33"/>
  <c r="L340" i="33"/>
  <c r="M340" i="33" s="1"/>
  <c r="K340" i="33"/>
  <c r="J340" i="33"/>
  <c r="I340" i="33"/>
  <c r="L339" i="33"/>
  <c r="M339" i="33" s="1"/>
  <c r="K339" i="33"/>
  <c r="J339" i="33"/>
  <c r="I339" i="33"/>
  <c r="L338" i="33"/>
  <c r="M338" i="33" s="1"/>
  <c r="K338" i="33"/>
  <c r="J338" i="33"/>
  <c r="I338" i="33"/>
  <c r="L337" i="33"/>
  <c r="M337" i="33" s="1"/>
  <c r="K337" i="33"/>
  <c r="J337" i="33"/>
  <c r="I337" i="33"/>
  <c r="L336" i="33"/>
  <c r="M336" i="33" s="1"/>
  <c r="K336" i="33"/>
  <c r="J336" i="33"/>
  <c r="I336" i="33"/>
  <c r="L335" i="33"/>
  <c r="M335" i="33" s="1"/>
  <c r="K335" i="33"/>
  <c r="J335" i="33"/>
  <c r="I335" i="33"/>
  <c r="L334" i="33"/>
  <c r="M334" i="33" s="1"/>
  <c r="K334" i="33"/>
  <c r="J334" i="33"/>
  <c r="I334" i="33"/>
  <c r="L333" i="33"/>
  <c r="M333" i="33" s="1"/>
  <c r="K333" i="33"/>
  <c r="J333" i="33"/>
  <c r="I333" i="33"/>
  <c r="L332" i="33"/>
  <c r="M332" i="33" s="1"/>
  <c r="K332" i="33"/>
  <c r="J332" i="33"/>
  <c r="I332" i="33"/>
  <c r="H341" i="33"/>
  <c r="G341" i="33"/>
  <c r="F341" i="33"/>
  <c r="H340" i="33"/>
  <c r="G340" i="33"/>
  <c r="F340" i="33"/>
  <c r="H339" i="33"/>
  <c r="G339" i="33"/>
  <c r="F339" i="33"/>
  <c r="H338" i="33"/>
  <c r="G338" i="33"/>
  <c r="F338" i="33"/>
  <c r="H337" i="33"/>
  <c r="G337" i="33"/>
  <c r="F337" i="33"/>
  <c r="H336" i="33"/>
  <c r="G336" i="33"/>
  <c r="F336" i="33"/>
  <c r="H335" i="33"/>
  <c r="G335" i="33"/>
  <c r="F335" i="33"/>
  <c r="H334" i="33"/>
  <c r="G334" i="33"/>
  <c r="F334" i="33"/>
  <c r="H333" i="33"/>
  <c r="G333" i="33"/>
  <c r="F333" i="33"/>
  <c r="H332" i="33"/>
  <c r="G332" i="33"/>
  <c r="F332" i="33"/>
  <c r="U318" i="33"/>
  <c r="T318" i="33"/>
  <c r="S318" i="33"/>
  <c r="Q318" i="33"/>
  <c r="R318" i="33" s="1"/>
  <c r="P318" i="33"/>
  <c r="O318" i="33"/>
  <c r="N318" i="33"/>
  <c r="L318" i="33"/>
  <c r="M318" i="33" s="1"/>
  <c r="K318" i="33"/>
  <c r="J318" i="33"/>
  <c r="I318" i="33"/>
  <c r="H318" i="33"/>
  <c r="G318" i="33"/>
  <c r="F318" i="33"/>
  <c r="U317" i="33"/>
  <c r="T317" i="33"/>
  <c r="S317" i="33"/>
  <c r="Q317" i="33"/>
  <c r="R317" i="33" s="1"/>
  <c r="P317" i="33"/>
  <c r="O317" i="33"/>
  <c r="N317" i="33"/>
  <c r="L317" i="33"/>
  <c r="M317" i="33" s="1"/>
  <c r="K317" i="33"/>
  <c r="J317" i="33"/>
  <c r="I317" i="33"/>
  <c r="H317" i="33"/>
  <c r="G317" i="33"/>
  <c r="F317" i="33"/>
  <c r="U316" i="33"/>
  <c r="T316" i="33"/>
  <c r="S316" i="33"/>
  <c r="Q316" i="33"/>
  <c r="R316" i="33" s="1"/>
  <c r="P316" i="33"/>
  <c r="O316" i="33"/>
  <c r="N316" i="33"/>
  <c r="L316" i="33"/>
  <c r="M316" i="33" s="1"/>
  <c r="K316" i="33"/>
  <c r="J316" i="33"/>
  <c r="I316" i="33"/>
  <c r="H316" i="33"/>
  <c r="G316" i="33"/>
  <c r="F316" i="33"/>
  <c r="U315" i="33"/>
  <c r="T315" i="33"/>
  <c r="S315" i="33"/>
  <c r="Q315" i="33"/>
  <c r="R315" i="33" s="1"/>
  <c r="P315" i="33"/>
  <c r="O315" i="33"/>
  <c r="N315" i="33"/>
  <c r="L315" i="33"/>
  <c r="M315" i="33" s="1"/>
  <c r="K315" i="33"/>
  <c r="J315" i="33"/>
  <c r="I315" i="33"/>
  <c r="H315" i="33"/>
  <c r="G315" i="33"/>
  <c r="F315" i="33"/>
  <c r="U314" i="33"/>
  <c r="T314" i="33"/>
  <c r="S314" i="33"/>
  <c r="Q314" i="33"/>
  <c r="R314" i="33" s="1"/>
  <c r="P314" i="33"/>
  <c r="O314" i="33"/>
  <c r="N314" i="33"/>
  <c r="L314" i="33"/>
  <c r="M314" i="33" s="1"/>
  <c r="K314" i="33"/>
  <c r="J314" i="33"/>
  <c r="I314" i="33"/>
  <c r="H314" i="33"/>
  <c r="G314" i="33"/>
  <c r="F314" i="33"/>
  <c r="U313" i="33"/>
  <c r="T313" i="33"/>
  <c r="S313" i="33"/>
  <c r="Q313" i="33"/>
  <c r="R313" i="33" s="1"/>
  <c r="P313" i="33"/>
  <c r="O313" i="33"/>
  <c r="N313" i="33"/>
  <c r="L313" i="33"/>
  <c r="M313" i="33" s="1"/>
  <c r="K313" i="33"/>
  <c r="J313" i="33"/>
  <c r="I313" i="33"/>
  <c r="H313" i="33"/>
  <c r="G313" i="33"/>
  <c r="F313" i="33"/>
  <c r="U312" i="33"/>
  <c r="T312" i="33"/>
  <c r="S312" i="33"/>
  <c r="Q312" i="33"/>
  <c r="R312" i="33" s="1"/>
  <c r="P312" i="33"/>
  <c r="O312" i="33"/>
  <c r="N312" i="33"/>
  <c r="L312" i="33"/>
  <c r="M312" i="33" s="1"/>
  <c r="K312" i="33"/>
  <c r="J312" i="33"/>
  <c r="I312" i="33"/>
  <c r="H312" i="33"/>
  <c r="G312" i="33"/>
  <c r="F312" i="33"/>
  <c r="U311" i="33"/>
  <c r="T311" i="33"/>
  <c r="S311" i="33"/>
  <c r="Q311" i="33"/>
  <c r="R311" i="33" s="1"/>
  <c r="P311" i="33"/>
  <c r="O311" i="33"/>
  <c r="N311" i="33"/>
  <c r="L311" i="33"/>
  <c r="M311" i="33" s="1"/>
  <c r="K311" i="33"/>
  <c r="J311" i="33"/>
  <c r="I311" i="33"/>
  <c r="H311" i="33"/>
  <c r="G311" i="33"/>
  <c r="F311" i="33"/>
  <c r="U310" i="33"/>
  <c r="T310" i="33"/>
  <c r="S310" i="33"/>
  <c r="Q310" i="33"/>
  <c r="R310" i="33" s="1"/>
  <c r="P310" i="33"/>
  <c r="O310" i="33"/>
  <c r="N310" i="33"/>
  <c r="L310" i="33"/>
  <c r="M310" i="33" s="1"/>
  <c r="K310" i="33"/>
  <c r="J310" i="33"/>
  <c r="I310" i="33"/>
  <c r="H310" i="33"/>
  <c r="G310" i="33"/>
  <c r="F310" i="33"/>
  <c r="U309" i="33"/>
  <c r="T309" i="33"/>
  <c r="S309" i="33"/>
  <c r="Q309" i="33"/>
  <c r="R309" i="33" s="1"/>
  <c r="P309" i="33"/>
  <c r="O309" i="33"/>
  <c r="N309" i="33"/>
  <c r="L309" i="33"/>
  <c r="M309" i="33" s="1"/>
  <c r="K309" i="33"/>
  <c r="J309" i="33"/>
  <c r="I309" i="33"/>
  <c r="H309" i="33"/>
  <c r="G309" i="33"/>
  <c r="F309" i="33"/>
  <c r="U299" i="33"/>
  <c r="T299" i="33"/>
  <c r="S299" i="33"/>
  <c r="Q299" i="33"/>
  <c r="R299" i="33" s="1"/>
  <c r="P299" i="33"/>
  <c r="O299" i="33"/>
  <c r="N299" i="33"/>
  <c r="L299" i="33"/>
  <c r="M299" i="33" s="1"/>
  <c r="K299" i="33"/>
  <c r="J299" i="33"/>
  <c r="I299" i="33"/>
  <c r="H299" i="33"/>
  <c r="G299" i="33"/>
  <c r="F299" i="33"/>
  <c r="U298" i="33"/>
  <c r="T298" i="33"/>
  <c r="S298" i="33"/>
  <c r="Q298" i="33"/>
  <c r="R298" i="33" s="1"/>
  <c r="P298" i="33"/>
  <c r="O298" i="33"/>
  <c r="N298" i="33"/>
  <c r="L298" i="33"/>
  <c r="M298" i="33" s="1"/>
  <c r="K298" i="33"/>
  <c r="J298" i="33"/>
  <c r="I298" i="33"/>
  <c r="H298" i="33"/>
  <c r="G298" i="33"/>
  <c r="F298" i="33"/>
  <c r="U297" i="33"/>
  <c r="T297" i="33"/>
  <c r="S297" i="33"/>
  <c r="Q297" i="33"/>
  <c r="R297" i="33" s="1"/>
  <c r="P297" i="33"/>
  <c r="O297" i="33"/>
  <c r="N297" i="33"/>
  <c r="L297" i="33"/>
  <c r="M297" i="33" s="1"/>
  <c r="K297" i="33"/>
  <c r="J297" i="33"/>
  <c r="I297" i="33"/>
  <c r="H297" i="33"/>
  <c r="G297" i="33"/>
  <c r="F297" i="33"/>
  <c r="U296" i="33"/>
  <c r="T296" i="33"/>
  <c r="S296" i="33"/>
  <c r="Q296" i="33"/>
  <c r="R296" i="33" s="1"/>
  <c r="P296" i="33"/>
  <c r="O296" i="33"/>
  <c r="N296" i="33"/>
  <c r="L296" i="33"/>
  <c r="M296" i="33" s="1"/>
  <c r="K296" i="33"/>
  <c r="J296" i="33"/>
  <c r="I296" i="33"/>
  <c r="H296" i="33"/>
  <c r="G296" i="33"/>
  <c r="F296" i="33"/>
  <c r="U295" i="33"/>
  <c r="T295" i="33"/>
  <c r="S295" i="33"/>
  <c r="Q295" i="33"/>
  <c r="R295" i="33" s="1"/>
  <c r="P295" i="33"/>
  <c r="O295" i="33"/>
  <c r="N295" i="33"/>
  <c r="L295" i="33"/>
  <c r="M295" i="33" s="1"/>
  <c r="K295" i="33"/>
  <c r="J295" i="33"/>
  <c r="I295" i="33"/>
  <c r="H295" i="33"/>
  <c r="G295" i="33"/>
  <c r="F295" i="33"/>
  <c r="U294" i="33"/>
  <c r="T294" i="33"/>
  <c r="S294" i="33"/>
  <c r="Q294" i="33"/>
  <c r="R294" i="33" s="1"/>
  <c r="P294" i="33"/>
  <c r="O294" i="33"/>
  <c r="N294" i="33"/>
  <c r="L294" i="33"/>
  <c r="M294" i="33" s="1"/>
  <c r="K294" i="33"/>
  <c r="J294" i="33"/>
  <c r="I294" i="33"/>
  <c r="H294" i="33"/>
  <c r="G294" i="33"/>
  <c r="F294" i="33"/>
  <c r="U293" i="33"/>
  <c r="T293" i="33"/>
  <c r="S293" i="33"/>
  <c r="Q293" i="33"/>
  <c r="R293" i="33" s="1"/>
  <c r="P293" i="33"/>
  <c r="O293" i="33"/>
  <c r="N293" i="33"/>
  <c r="L293" i="33"/>
  <c r="M293" i="33" s="1"/>
  <c r="K293" i="33"/>
  <c r="J293" i="33"/>
  <c r="I293" i="33"/>
  <c r="H293" i="33"/>
  <c r="G293" i="33"/>
  <c r="F293" i="33"/>
  <c r="U292" i="33"/>
  <c r="T292" i="33"/>
  <c r="S292" i="33"/>
  <c r="Q292" i="33"/>
  <c r="R292" i="33" s="1"/>
  <c r="P292" i="33"/>
  <c r="O292" i="33"/>
  <c r="N292" i="33"/>
  <c r="L292" i="33"/>
  <c r="M292" i="33" s="1"/>
  <c r="K292" i="33"/>
  <c r="J292" i="33"/>
  <c r="I292" i="33"/>
  <c r="H292" i="33"/>
  <c r="G292" i="33"/>
  <c r="F292" i="33"/>
  <c r="U291" i="33"/>
  <c r="T291" i="33"/>
  <c r="S291" i="33"/>
  <c r="Q291" i="33"/>
  <c r="R291" i="33" s="1"/>
  <c r="P291" i="33"/>
  <c r="O291" i="33"/>
  <c r="N291" i="33"/>
  <c r="L291" i="33"/>
  <c r="M291" i="33" s="1"/>
  <c r="K291" i="33"/>
  <c r="J291" i="33"/>
  <c r="I291" i="33"/>
  <c r="H291" i="33"/>
  <c r="G291" i="33"/>
  <c r="F291" i="33"/>
  <c r="U290" i="33"/>
  <c r="T290" i="33"/>
  <c r="S290" i="33"/>
  <c r="Q290" i="33"/>
  <c r="R290" i="33" s="1"/>
  <c r="P290" i="33"/>
  <c r="O290" i="33"/>
  <c r="N290" i="33"/>
  <c r="L290" i="33"/>
  <c r="M290" i="33" s="1"/>
  <c r="K290" i="33"/>
  <c r="J290" i="33"/>
  <c r="I290" i="33"/>
  <c r="H290" i="33"/>
  <c r="G290" i="33"/>
  <c r="F290" i="33"/>
  <c r="U280" i="33"/>
  <c r="T280" i="33"/>
  <c r="S280" i="33"/>
  <c r="Q280" i="33"/>
  <c r="R280" i="33" s="1"/>
  <c r="P280" i="33"/>
  <c r="O280" i="33"/>
  <c r="N280" i="33"/>
  <c r="L280" i="33"/>
  <c r="M280" i="33" s="1"/>
  <c r="K280" i="33"/>
  <c r="J280" i="33"/>
  <c r="I280" i="33"/>
  <c r="H280" i="33"/>
  <c r="G280" i="33"/>
  <c r="F280" i="33"/>
  <c r="U279" i="33"/>
  <c r="T279" i="33"/>
  <c r="S279" i="33"/>
  <c r="Q279" i="33"/>
  <c r="R279" i="33" s="1"/>
  <c r="P279" i="33"/>
  <c r="O279" i="33"/>
  <c r="N279" i="33"/>
  <c r="L279" i="33"/>
  <c r="M279" i="33" s="1"/>
  <c r="K279" i="33"/>
  <c r="J279" i="33"/>
  <c r="I279" i="33"/>
  <c r="H279" i="33"/>
  <c r="G279" i="33"/>
  <c r="F279" i="33"/>
  <c r="U278" i="33"/>
  <c r="T278" i="33"/>
  <c r="S278" i="33"/>
  <c r="Q278" i="33"/>
  <c r="R278" i="33" s="1"/>
  <c r="P278" i="33"/>
  <c r="O278" i="33"/>
  <c r="N278" i="33"/>
  <c r="L278" i="33"/>
  <c r="M278" i="33" s="1"/>
  <c r="K278" i="33"/>
  <c r="J278" i="33"/>
  <c r="I278" i="33"/>
  <c r="H278" i="33"/>
  <c r="G278" i="33"/>
  <c r="F278" i="33"/>
  <c r="U277" i="33"/>
  <c r="T277" i="33"/>
  <c r="S277" i="33"/>
  <c r="Q277" i="33"/>
  <c r="R277" i="33" s="1"/>
  <c r="P277" i="33"/>
  <c r="O277" i="33"/>
  <c r="N277" i="33"/>
  <c r="L277" i="33"/>
  <c r="M277" i="33" s="1"/>
  <c r="K277" i="33"/>
  <c r="J277" i="33"/>
  <c r="I277" i="33"/>
  <c r="H277" i="33"/>
  <c r="G277" i="33"/>
  <c r="F277" i="33"/>
  <c r="U276" i="33"/>
  <c r="T276" i="33"/>
  <c r="S276" i="33"/>
  <c r="Q276" i="33"/>
  <c r="R276" i="33" s="1"/>
  <c r="P276" i="33"/>
  <c r="O276" i="33"/>
  <c r="N276" i="33"/>
  <c r="L276" i="33"/>
  <c r="M276" i="33" s="1"/>
  <c r="K276" i="33"/>
  <c r="J276" i="33"/>
  <c r="I276" i="33"/>
  <c r="H276" i="33"/>
  <c r="G276" i="33"/>
  <c r="F276" i="33"/>
  <c r="U275" i="33"/>
  <c r="T275" i="33"/>
  <c r="S275" i="33"/>
  <c r="Q275" i="33"/>
  <c r="R275" i="33" s="1"/>
  <c r="P275" i="33"/>
  <c r="O275" i="33"/>
  <c r="N275" i="33"/>
  <c r="L275" i="33"/>
  <c r="M275" i="33" s="1"/>
  <c r="K275" i="33"/>
  <c r="J275" i="33"/>
  <c r="I275" i="33"/>
  <c r="H275" i="33"/>
  <c r="G275" i="33"/>
  <c r="F275" i="33"/>
  <c r="U274" i="33"/>
  <c r="T274" i="33"/>
  <c r="S274" i="33"/>
  <c r="Q274" i="33"/>
  <c r="R274" i="33" s="1"/>
  <c r="P274" i="33"/>
  <c r="O274" i="33"/>
  <c r="N274" i="33"/>
  <c r="L274" i="33"/>
  <c r="M274" i="33" s="1"/>
  <c r="K274" i="33"/>
  <c r="J274" i="33"/>
  <c r="I274" i="33"/>
  <c r="H274" i="33"/>
  <c r="G274" i="33"/>
  <c r="F274" i="33"/>
  <c r="U273" i="33"/>
  <c r="T273" i="33"/>
  <c r="S273" i="33"/>
  <c r="Q273" i="33"/>
  <c r="R273" i="33" s="1"/>
  <c r="P273" i="33"/>
  <c r="O273" i="33"/>
  <c r="N273" i="33"/>
  <c r="L273" i="33"/>
  <c r="M273" i="33" s="1"/>
  <c r="K273" i="33"/>
  <c r="J273" i="33"/>
  <c r="I273" i="33"/>
  <c r="H273" i="33"/>
  <c r="G273" i="33"/>
  <c r="F273" i="33"/>
  <c r="U272" i="33"/>
  <c r="T272" i="33"/>
  <c r="S272" i="33"/>
  <c r="Q272" i="33"/>
  <c r="R272" i="33" s="1"/>
  <c r="P272" i="33"/>
  <c r="O272" i="33"/>
  <c r="N272" i="33"/>
  <c r="L272" i="33"/>
  <c r="M272" i="33" s="1"/>
  <c r="K272" i="33"/>
  <c r="J272" i="33"/>
  <c r="I272" i="33"/>
  <c r="H272" i="33"/>
  <c r="G272" i="33"/>
  <c r="F272" i="33"/>
  <c r="U271" i="33"/>
  <c r="T271" i="33"/>
  <c r="S271" i="33"/>
  <c r="Q271" i="33"/>
  <c r="R271" i="33" s="1"/>
  <c r="P271" i="33"/>
  <c r="O271" i="33"/>
  <c r="N271" i="33"/>
  <c r="L271" i="33"/>
  <c r="M271" i="33" s="1"/>
  <c r="K271" i="33"/>
  <c r="J271" i="33"/>
  <c r="I271" i="33"/>
  <c r="H271" i="33"/>
  <c r="G271" i="33"/>
  <c r="F271" i="33"/>
  <c r="U261" i="33"/>
  <c r="T261" i="33"/>
  <c r="S261" i="33"/>
  <c r="U260" i="33"/>
  <c r="T260" i="33"/>
  <c r="S260" i="33"/>
  <c r="U259" i="33"/>
  <c r="T259" i="33"/>
  <c r="S259" i="33"/>
  <c r="U258" i="33"/>
  <c r="T258" i="33"/>
  <c r="S258" i="33"/>
  <c r="U257" i="33"/>
  <c r="T257" i="33"/>
  <c r="S257" i="33"/>
  <c r="U256" i="33"/>
  <c r="T256" i="33"/>
  <c r="S256" i="33"/>
  <c r="U255" i="33"/>
  <c r="T255" i="33"/>
  <c r="S255" i="33"/>
  <c r="U254" i="33"/>
  <c r="T254" i="33"/>
  <c r="S254" i="33"/>
  <c r="U253" i="33"/>
  <c r="T253" i="33"/>
  <c r="S253" i="33"/>
  <c r="U252" i="33"/>
  <c r="T252" i="33"/>
  <c r="S252" i="33"/>
  <c r="Q261" i="33"/>
  <c r="R261" i="33" s="1"/>
  <c r="P261" i="33"/>
  <c r="O261" i="33"/>
  <c r="N261" i="33"/>
  <c r="Q260" i="33"/>
  <c r="R260" i="33" s="1"/>
  <c r="P260" i="33"/>
  <c r="O260" i="33"/>
  <c r="N260" i="33"/>
  <c r="Q259" i="33"/>
  <c r="R259" i="33" s="1"/>
  <c r="P259" i="33"/>
  <c r="O259" i="33"/>
  <c r="N259" i="33"/>
  <c r="Q258" i="33"/>
  <c r="R258" i="33" s="1"/>
  <c r="P258" i="33"/>
  <c r="O258" i="33"/>
  <c r="N258" i="33"/>
  <c r="Q257" i="33"/>
  <c r="R257" i="33" s="1"/>
  <c r="P257" i="33"/>
  <c r="O257" i="33"/>
  <c r="N257" i="33"/>
  <c r="Q256" i="33"/>
  <c r="R256" i="33" s="1"/>
  <c r="P256" i="33"/>
  <c r="O256" i="33"/>
  <c r="N256" i="33"/>
  <c r="Q255" i="33"/>
  <c r="R255" i="33" s="1"/>
  <c r="P255" i="33"/>
  <c r="O255" i="33"/>
  <c r="N255" i="33"/>
  <c r="Q254" i="33"/>
  <c r="R254" i="33" s="1"/>
  <c r="P254" i="33"/>
  <c r="O254" i="33"/>
  <c r="N254" i="33"/>
  <c r="Q253" i="33"/>
  <c r="P253" i="33"/>
  <c r="O253" i="33"/>
  <c r="N253" i="33"/>
  <c r="Q252" i="33"/>
  <c r="P252" i="33"/>
  <c r="O252" i="33"/>
  <c r="N252" i="33"/>
  <c r="L261" i="33"/>
  <c r="M261" i="33" s="1"/>
  <c r="K261" i="33"/>
  <c r="J261" i="33"/>
  <c r="I261" i="33"/>
  <c r="L260" i="33"/>
  <c r="M260" i="33" s="1"/>
  <c r="K260" i="33"/>
  <c r="J260" i="33"/>
  <c r="I260" i="33"/>
  <c r="L259" i="33"/>
  <c r="M259" i="33" s="1"/>
  <c r="K259" i="33"/>
  <c r="J259" i="33"/>
  <c r="I259" i="33"/>
  <c r="L258" i="33"/>
  <c r="M258" i="33" s="1"/>
  <c r="K258" i="33"/>
  <c r="J258" i="33"/>
  <c r="I258" i="33"/>
  <c r="L257" i="33"/>
  <c r="M257" i="33" s="1"/>
  <c r="K257" i="33"/>
  <c r="J257" i="33"/>
  <c r="I257" i="33"/>
  <c r="L256" i="33"/>
  <c r="M256" i="33" s="1"/>
  <c r="K256" i="33"/>
  <c r="J256" i="33"/>
  <c r="I256" i="33"/>
  <c r="L255" i="33"/>
  <c r="M255" i="33" s="1"/>
  <c r="K255" i="33"/>
  <c r="J255" i="33"/>
  <c r="I255" i="33"/>
  <c r="L254" i="33"/>
  <c r="M254" i="33" s="1"/>
  <c r="K254" i="33"/>
  <c r="J254" i="33"/>
  <c r="I254" i="33"/>
  <c r="L253" i="33"/>
  <c r="M253" i="33" s="1"/>
  <c r="K253" i="33"/>
  <c r="J253" i="33"/>
  <c r="I253" i="33"/>
  <c r="L252" i="33"/>
  <c r="M252" i="33" s="1"/>
  <c r="K252" i="33"/>
  <c r="J252" i="33"/>
  <c r="I252" i="33"/>
  <c r="H261" i="33"/>
  <c r="G261" i="33"/>
  <c r="F261" i="33"/>
  <c r="H260" i="33"/>
  <c r="G260" i="33"/>
  <c r="F260" i="33"/>
  <c r="H259" i="33"/>
  <c r="G259" i="33"/>
  <c r="F259" i="33"/>
  <c r="H258" i="33"/>
  <c r="G258" i="33"/>
  <c r="F258" i="33"/>
  <c r="H257" i="33"/>
  <c r="G257" i="33"/>
  <c r="F257" i="33"/>
  <c r="H256" i="33"/>
  <c r="G256" i="33"/>
  <c r="F256" i="33"/>
  <c r="H255" i="33"/>
  <c r="G255" i="33"/>
  <c r="F255" i="33"/>
  <c r="H254" i="33"/>
  <c r="G254" i="33"/>
  <c r="F254" i="33"/>
  <c r="H253" i="33"/>
  <c r="G253" i="33"/>
  <c r="F253" i="33"/>
  <c r="H252" i="33"/>
  <c r="G252" i="33"/>
  <c r="F252" i="33"/>
  <c r="U238" i="33"/>
  <c r="T238" i="33"/>
  <c r="S238" i="33"/>
  <c r="Q238" i="33"/>
  <c r="R238" i="33" s="1"/>
  <c r="P238" i="33"/>
  <c r="O238" i="33"/>
  <c r="N238" i="33"/>
  <c r="L238" i="33"/>
  <c r="M238" i="33" s="1"/>
  <c r="K238" i="33"/>
  <c r="J238" i="33"/>
  <c r="I238" i="33"/>
  <c r="H238" i="33"/>
  <c r="G238" i="33"/>
  <c r="F238" i="33"/>
  <c r="U237" i="33"/>
  <c r="T237" i="33"/>
  <c r="S237" i="33"/>
  <c r="Q237" i="33"/>
  <c r="R237" i="33" s="1"/>
  <c r="P237" i="33"/>
  <c r="O237" i="33"/>
  <c r="N237" i="33"/>
  <c r="L237" i="33"/>
  <c r="M237" i="33" s="1"/>
  <c r="K237" i="33"/>
  <c r="J237" i="33"/>
  <c r="I237" i="33"/>
  <c r="H237" i="33"/>
  <c r="G237" i="33"/>
  <c r="F237" i="33"/>
  <c r="U236" i="33"/>
  <c r="T236" i="33"/>
  <c r="S236" i="33"/>
  <c r="Q236" i="33"/>
  <c r="R236" i="33" s="1"/>
  <c r="P236" i="33"/>
  <c r="O236" i="33"/>
  <c r="N236" i="33"/>
  <c r="L236" i="33"/>
  <c r="M236" i="33" s="1"/>
  <c r="K236" i="33"/>
  <c r="J236" i="33"/>
  <c r="I236" i="33"/>
  <c r="H236" i="33"/>
  <c r="G236" i="33"/>
  <c r="F236" i="33"/>
  <c r="U235" i="33"/>
  <c r="T235" i="33"/>
  <c r="S235" i="33"/>
  <c r="Q235" i="33"/>
  <c r="R235" i="33" s="1"/>
  <c r="P235" i="33"/>
  <c r="O235" i="33"/>
  <c r="N235" i="33"/>
  <c r="L235" i="33"/>
  <c r="M235" i="33" s="1"/>
  <c r="K235" i="33"/>
  <c r="J235" i="33"/>
  <c r="I235" i="33"/>
  <c r="H235" i="33"/>
  <c r="G235" i="33"/>
  <c r="F235" i="33"/>
  <c r="U234" i="33"/>
  <c r="T234" i="33"/>
  <c r="S234" i="33"/>
  <c r="Q234" i="33"/>
  <c r="R234" i="33" s="1"/>
  <c r="P234" i="33"/>
  <c r="O234" i="33"/>
  <c r="N234" i="33"/>
  <c r="L234" i="33"/>
  <c r="M234" i="33" s="1"/>
  <c r="K234" i="33"/>
  <c r="J234" i="33"/>
  <c r="I234" i="33"/>
  <c r="H234" i="33"/>
  <c r="G234" i="33"/>
  <c r="F234" i="33"/>
  <c r="U233" i="33"/>
  <c r="T233" i="33"/>
  <c r="S233" i="33"/>
  <c r="Q233" i="33"/>
  <c r="R233" i="33" s="1"/>
  <c r="P233" i="33"/>
  <c r="O233" i="33"/>
  <c r="N233" i="33"/>
  <c r="L233" i="33"/>
  <c r="M233" i="33" s="1"/>
  <c r="K233" i="33"/>
  <c r="J233" i="33"/>
  <c r="I233" i="33"/>
  <c r="H233" i="33"/>
  <c r="G233" i="33"/>
  <c r="F233" i="33"/>
  <c r="U232" i="33"/>
  <c r="T232" i="33"/>
  <c r="S232" i="33"/>
  <c r="Q232" i="33"/>
  <c r="R232" i="33" s="1"/>
  <c r="P232" i="33"/>
  <c r="O232" i="33"/>
  <c r="N232" i="33"/>
  <c r="L232" i="33"/>
  <c r="M232" i="33" s="1"/>
  <c r="K232" i="33"/>
  <c r="J232" i="33"/>
  <c r="I232" i="33"/>
  <c r="H232" i="33"/>
  <c r="G232" i="33"/>
  <c r="F232" i="33"/>
  <c r="U231" i="33"/>
  <c r="T231" i="33"/>
  <c r="S231" i="33"/>
  <c r="Q231" i="33"/>
  <c r="R231" i="33" s="1"/>
  <c r="P231" i="33"/>
  <c r="O231" i="33"/>
  <c r="N231" i="33"/>
  <c r="L231" i="33"/>
  <c r="M231" i="33" s="1"/>
  <c r="K231" i="33"/>
  <c r="J231" i="33"/>
  <c r="I231" i="33"/>
  <c r="H231" i="33"/>
  <c r="G231" i="33"/>
  <c r="F231" i="33"/>
  <c r="U230" i="33"/>
  <c r="T230" i="33"/>
  <c r="S230" i="33"/>
  <c r="Q230" i="33"/>
  <c r="R230" i="33" s="1"/>
  <c r="P230" i="33"/>
  <c r="O230" i="33"/>
  <c r="N230" i="33"/>
  <c r="L230" i="33"/>
  <c r="M230" i="33" s="1"/>
  <c r="K230" i="33"/>
  <c r="J230" i="33"/>
  <c r="I230" i="33"/>
  <c r="H230" i="33"/>
  <c r="G230" i="33"/>
  <c r="F230" i="33"/>
  <c r="U229" i="33"/>
  <c r="T229" i="33"/>
  <c r="S229" i="33"/>
  <c r="Q229" i="33"/>
  <c r="R229" i="33" s="1"/>
  <c r="P229" i="33"/>
  <c r="O229" i="33"/>
  <c r="N229" i="33"/>
  <c r="L229" i="33"/>
  <c r="M229" i="33" s="1"/>
  <c r="K229" i="33"/>
  <c r="J229" i="33"/>
  <c r="I229" i="33"/>
  <c r="H229" i="33"/>
  <c r="G229" i="33"/>
  <c r="F229" i="33"/>
  <c r="U219" i="33"/>
  <c r="T219" i="33"/>
  <c r="S219" i="33"/>
  <c r="Q219" i="33"/>
  <c r="R219" i="33" s="1"/>
  <c r="P219" i="33"/>
  <c r="O219" i="33"/>
  <c r="N219" i="33"/>
  <c r="L219" i="33"/>
  <c r="M219" i="33" s="1"/>
  <c r="K219" i="33"/>
  <c r="J219" i="33"/>
  <c r="I219" i="33"/>
  <c r="H219" i="33"/>
  <c r="G219" i="33"/>
  <c r="F219" i="33"/>
  <c r="U218" i="33"/>
  <c r="T218" i="33"/>
  <c r="S218" i="33"/>
  <c r="Q218" i="33"/>
  <c r="R218" i="33" s="1"/>
  <c r="P218" i="33"/>
  <c r="O218" i="33"/>
  <c r="N218" i="33"/>
  <c r="L218" i="33"/>
  <c r="M218" i="33" s="1"/>
  <c r="K218" i="33"/>
  <c r="J218" i="33"/>
  <c r="I218" i="33"/>
  <c r="H218" i="33"/>
  <c r="G218" i="33"/>
  <c r="F218" i="33"/>
  <c r="U217" i="33"/>
  <c r="T217" i="33"/>
  <c r="S217" i="33"/>
  <c r="Q217" i="33"/>
  <c r="R217" i="33" s="1"/>
  <c r="P217" i="33"/>
  <c r="O217" i="33"/>
  <c r="N217" i="33"/>
  <c r="L217" i="33"/>
  <c r="M217" i="33" s="1"/>
  <c r="K217" i="33"/>
  <c r="J217" i="33"/>
  <c r="I217" i="33"/>
  <c r="H217" i="33"/>
  <c r="G217" i="33"/>
  <c r="F217" i="33"/>
  <c r="U216" i="33"/>
  <c r="T216" i="33"/>
  <c r="S216" i="33"/>
  <c r="Q216" i="33"/>
  <c r="R216" i="33" s="1"/>
  <c r="P216" i="33"/>
  <c r="O216" i="33"/>
  <c r="N216" i="33"/>
  <c r="L216" i="33"/>
  <c r="M216" i="33" s="1"/>
  <c r="K216" i="33"/>
  <c r="J216" i="33"/>
  <c r="I216" i="33"/>
  <c r="H216" i="33"/>
  <c r="G216" i="33"/>
  <c r="F216" i="33"/>
  <c r="U215" i="33"/>
  <c r="T215" i="33"/>
  <c r="S215" i="33"/>
  <c r="Q215" i="33"/>
  <c r="R215" i="33" s="1"/>
  <c r="P215" i="33"/>
  <c r="O215" i="33"/>
  <c r="N215" i="33"/>
  <c r="L215" i="33"/>
  <c r="M215" i="33" s="1"/>
  <c r="K215" i="33"/>
  <c r="J215" i="33"/>
  <c r="I215" i="33"/>
  <c r="H215" i="33"/>
  <c r="G215" i="33"/>
  <c r="F215" i="33"/>
  <c r="U214" i="33"/>
  <c r="T214" i="33"/>
  <c r="S214" i="33"/>
  <c r="Q214" i="33"/>
  <c r="R214" i="33" s="1"/>
  <c r="P214" i="33"/>
  <c r="O214" i="33"/>
  <c r="N214" i="33"/>
  <c r="L214" i="33"/>
  <c r="M214" i="33" s="1"/>
  <c r="K214" i="33"/>
  <c r="J214" i="33"/>
  <c r="I214" i="33"/>
  <c r="H214" i="33"/>
  <c r="G214" i="33"/>
  <c r="F214" i="33"/>
  <c r="U213" i="33"/>
  <c r="T213" i="33"/>
  <c r="S213" i="33"/>
  <c r="Q213" i="33"/>
  <c r="R213" i="33" s="1"/>
  <c r="P213" i="33"/>
  <c r="O213" i="33"/>
  <c r="N213" i="33"/>
  <c r="L213" i="33"/>
  <c r="M213" i="33" s="1"/>
  <c r="K213" i="33"/>
  <c r="J213" i="33"/>
  <c r="I213" i="33"/>
  <c r="H213" i="33"/>
  <c r="G213" i="33"/>
  <c r="F213" i="33"/>
  <c r="U212" i="33"/>
  <c r="T212" i="33"/>
  <c r="S212" i="33"/>
  <c r="Q212" i="33"/>
  <c r="R212" i="33" s="1"/>
  <c r="P212" i="33"/>
  <c r="O212" i="33"/>
  <c r="N212" i="33"/>
  <c r="L212" i="33"/>
  <c r="M212" i="33" s="1"/>
  <c r="K212" i="33"/>
  <c r="J212" i="33"/>
  <c r="I212" i="33"/>
  <c r="H212" i="33"/>
  <c r="G212" i="33"/>
  <c r="F212" i="33"/>
  <c r="U211" i="33"/>
  <c r="T211" i="33"/>
  <c r="S211" i="33"/>
  <c r="Q211" i="33"/>
  <c r="R211" i="33" s="1"/>
  <c r="P211" i="33"/>
  <c r="O211" i="33"/>
  <c r="N211" i="33"/>
  <c r="L211" i="33"/>
  <c r="M211" i="33" s="1"/>
  <c r="K211" i="33"/>
  <c r="J211" i="33"/>
  <c r="I211" i="33"/>
  <c r="H211" i="33"/>
  <c r="G211" i="33"/>
  <c r="F211" i="33"/>
  <c r="U210" i="33"/>
  <c r="T210" i="33"/>
  <c r="S210" i="33"/>
  <c r="Q210" i="33"/>
  <c r="R210" i="33" s="1"/>
  <c r="P210" i="33"/>
  <c r="O210" i="33"/>
  <c r="N210" i="33"/>
  <c r="L210" i="33"/>
  <c r="M210" i="33" s="1"/>
  <c r="K210" i="33"/>
  <c r="J210" i="33"/>
  <c r="I210" i="33"/>
  <c r="H210" i="33"/>
  <c r="G210" i="33"/>
  <c r="F210" i="33"/>
  <c r="U200" i="33"/>
  <c r="T200" i="33"/>
  <c r="S200" i="33"/>
  <c r="Q200" i="33"/>
  <c r="R200" i="33" s="1"/>
  <c r="P200" i="33"/>
  <c r="O200" i="33"/>
  <c r="N200" i="33"/>
  <c r="L200" i="33"/>
  <c r="M200" i="33" s="1"/>
  <c r="K200" i="33"/>
  <c r="J200" i="33"/>
  <c r="I200" i="33"/>
  <c r="H200" i="33"/>
  <c r="G200" i="33"/>
  <c r="F200" i="33"/>
  <c r="U199" i="33"/>
  <c r="T199" i="33"/>
  <c r="S199" i="33"/>
  <c r="Q199" i="33"/>
  <c r="R199" i="33" s="1"/>
  <c r="P199" i="33"/>
  <c r="O199" i="33"/>
  <c r="N199" i="33"/>
  <c r="L199" i="33"/>
  <c r="M199" i="33" s="1"/>
  <c r="K199" i="33"/>
  <c r="J199" i="33"/>
  <c r="I199" i="33"/>
  <c r="H199" i="33"/>
  <c r="G199" i="33"/>
  <c r="F199" i="33"/>
  <c r="U198" i="33"/>
  <c r="T198" i="33"/>
  <c r="S198" i="33"/>
  <c r="Q198" i="33"/>
  <c r="R198" i="33" s="1"/>
  <c r="P198" i="33"/>
  <c r="O198" i="33"/>
  <c r="N198" i="33"/>
  <c r="L198" i="33"/>
  <c r="M198" i="33" s="1"/>
  <c r="K198" i="33"/>
  <c r="J198" i="33"/>
  <c r="I198" i="33"/>
  <c r="H198" i="33"/>
  <c r="G198" i="33"/>
  <c r="F198" i="33"/>
  <c r="U197" i="33"/>
  <c r="T197" i="33"/>
  <c r="S197" i="33"/>
  <c r="Q197" i="33"/>
  <c r="R197" i="33" s="1"/>
  <c r="P197" i="33"/>
  <c r="O197" i="33"/>
  <c r="N197" i="33"/>
  <c r="L197" i="33"/>
  <c r="M197" i="33" s="1"/>
  <c r="K197" i="33"/>
  <c r="J197" i="33"/>
  <c r="I197" i="33"/>
  <c r="H197" i="33"/>
  <c r="G197" i="33"/>
  <c r="F197" i="33"/>
  <c r="U196" i="33"/>
  <c r="T196" i="33"/>
  <c r="S196" i="33"/>
  <c r="Q196" i="33"/>
  <c r="R196" i="33" s="1"/>
  <c r="P196" i="33"/>
  <c r="O196" i="33"/>
  <c r="N196" i="33"/>
  <c r="L196" i="33"/>
  <c r="M196" i="33" s="1"/>
  <c r="K196" i="33"/>
  <c r="J196" i="33"/>
  <c r="I196" i="33"/>
  <c r="H196" i="33"/>
  <c r="G196" i="33"/>
  <c r="F196" i="33"/>
  <c r="U195" i="33"/>
  <c r="T195" i="33"/>
  <c r="S195" i="33"/>
  <c r="Q195" i="33"/>
  <c r="R195" i="33" s="1"/>
  <c r="P195" i="33"/>
  <c r="O195" i="33"/>
  <c r="N195" i="33"/>
  <c r="L195" i="33"/>
  <c r="M195" i="33" s="1"/>
  <c r="K195" i="33"/>
  <c r="J195" i="33"/>
  <c r="I195" i="33"/>
  <c r="H195" i="33"/>
  <c r="G195" i="33"/>
  <c r="F195" i="33"/>
  <c r="U194" i="33"/>
  <c r="T194" i="33"/>
  <c r="S194" i="33"/>
  <c r="Q194" i="33"/>
  <c r="R194" i="33" s="1"/>
  <c r="P194" i="33"/>
  <c r="O194" i="33"/>
  <c r="N194" i="33"/>
  <c r="L194" i="33"/>
  <c r="M194" i="33" s="1"/>
  <c r="K194" i="33"/>
  <c r="J194" i="33"/>
  <c r="I194" i="33"/>
  <c r="H194" i="33"/>
  <c r="G194" i="33"/>
  <c r="F194" i="33"/>
  <c r="U193" i="33"/>
  <c r="T193" i="33"/>
  <c r="S193" i="33"/>
  <c r="Q193" i="33"/>
  <c r="R193" i="33" s="1"/>
  <c r="P193" i="33"/>
  <c r="O193" i="33"/>
  <c r="N193" i="33"/>
  <c r="L193" i="33"/>
  <c r="M193" i="33" s="1"/>
  <c r="K193" i="33"/>
  <c r="J193" i="33"/>
  <c r="I193" i="33"/>
  <c r="H193" i="33"/>
  <c r="G193" i="33"/>
  <c r="F193" i="33"/>
  <c r="U192" i="33"/>
  <c r="T192" i="33"/>
  <c r="S192" i="33"/>
  <c r="Q192" i="33"/>
  <c r="R192" i="33" s="1"/>
  <c r="P192" i="33"/>
  <c r="O192" i="33"/>
  <c r="N192" i="33"/>
  <c r="L192" i="33"/>
  <c r="M192" i="33" s="1"/>
  <c r="K192" i="33"/>
  <c r="J192" i="33"/>
  <c r="I192" i="33"/>
  <c r="H192" i="33"/>
  <c r="G192" i="33"/>
  <c r="F192" i="33"/>
  <c r="U191" i="33"/>
  <c r="T191" i="33"/>
  <c r="S191" i="33"/>
  <c r="Q191" i="33"/>
  <c r="R191" i="33" s="1"/>
  <c r="P191" i="33"/>
  <c r="O191" i="33"/>
  <c r="N191" i="33"/>
  <c r="L191" i="33"/>
  <c r="M191" i="33" s="1"/>
  <c r="K191" i="33"/>
  <c r="J191" i="33"/>
  <c r="I191" i="33"/>
  <c r="H191" i="33"/>
  <c r="G191" i="33"/>
  <c r="F191" i="33"/>
  <c r="U181" i="33"/>
  <c r="T181" i="33"/>
  <c r="S181" i="33"/>
  <c r="U180" i="33"/>
  <c r="T180" i="33"/>
  <c r="S180" i="33"/>
  <c r="U179" i="33"/>
  <c r="T179" i="33"/>
  <c r="S179" i="33"/>
  <c r="U178" i="33"/>
  <c r="T178" i="33"/>
  <c r="S178" i="33"/>
  <c r="U177" i="33"/>
  <c r="T177" i="33"/>
  <c r="S177" i="33"/>
  <c r="U176" i="33"/>
  <c r="T176" i="33"/>
  <c r="S176" i="33"/>
  <c r="U175" i="33"/>
  <c r="T175" i="33"/>
  <c r="S175" i="33"/>
  <c r="U174" i="33"/>
  <c r="T174" i="33"/>
  <c r="S174" i="33"/>
  <c r="U173" i="33"/>
  <c r="T173" i="33"/>
  <c r="S173" i="33"/>
  <c r="U172" i="33"/>
  <c r="T172" i="33"/>
  <c r="S172" i="33"/>
  <c r="Q181" i="33"/>
  <c r="R181" i="33" s="1"/>
  <c r="P181" i="33"/>
  <c r="O181" i="33"/>
  <c r="N181" i="33"/>
  <c r="Q180" i="33"/>
  <c r="R180" i="33" s="1"/>
  <c r="P180" i="33"/>
  <c r="O180" i="33"/>
  <c r="N180" i="33"/>
  <c r="Q179" i="33"/>
  <c r="R179" i="33" s="1"/>
  <c r="P179" i="33"/>
  <c r="O179" i="33"/>
  <c r="N179" i="33"/>
  <c r="Q178" i="33"/>
  <c r="R178" i="33" s="1"/>
  <c r="P178" i="33"/>
  <c r="O178" i="33"/>
  <c r="N178" i="33"/>
  <c r="Q177" i="33"/>
  <c r="R177" i="33" s="1"/>
  <c r="P177" i="33"/>
  <c r="O177" i="33"/>
  <c r="N177" i="33"/>
  <c r="Q176" i="33"/>
  <c r="R176" i="33" s="1"/>
  <c r="P176" i="33"/>
  <c r="O176" i="33"/>
  <c r="N176" i="33"/>
  <c r="Q175" i="33"/>
  <c r="R175" i="33" s="1"/>
  <c r="P175" i="33"/>
  <c r="O175" i="33"/>
  <c r="N175" i="33"/>
  <c r="Q174" i="33"/>
  <c r="R174" i="33" s="1"/>
  <c r="P174" i="33"/>
  <c r="O174" i="33"/>
  <c r="N174" i="33"/>
  <c r="Q173" i="33"/>
  <c r="R173" i="33" s="1"/>
  <c r="P173" i="33"/>
  <c r="O173" i="33"/>
  <c r="N173" i="33"/>
  <c r="Q172" i="33"/>
  <c r="R172" i="33" s="1"/>
  <c r="P172" i="33"/>
  <c r="O172" i="33"/>
  <c r="N172" i="33"/>
  <c r="L181" i="33"/>
  <c r="M181" i="33" s="1"/>
  <c r="K181" i="33"/>
  <c r="J181" i="33"/>
  <c r="I181" i="33"/>
  <c r="L180" i="33"/>
  <c r="M180" i="33" s="1"/>
  <c r="K180" i="33"/>
  <c r="J180" i="33"/>
  <c r="I180" i="33"/>
  <c r="L179" i="33"/>
  <c r="M179" i="33" s="1"/>
  <c r="K179" i="33"/>
  <c r="J179" i="33"/>
  <c r="I179" i="33"/>
  <c r="L178" i="33"/>
  <c r="M178" i="33" s="1"/>
  <c r="K178" i="33"/>
  <c r="J178" i="33"/>
  <c r="I178" i="33"/>
  <c r="L177" i="33"/>
  <c r="M177" i="33" s="1"/>
  <c r="K177" i="33"/>
  <c r="J177" i="33"/>
  <c r="I177" i="33"/>
  <c r="L176" i="33"/>
  <c r="M176" i="33" s="1"/>
  <c r="K176" i="33"/>
  <c r="J176" i="33"/>
  <c r="I176" i="33"/>
  <c r="L175" i="33"/>
  <c r="M175" i="33" s="1"/>
  <c r="K175" i="33"/>
  <c r="J175" i="33"/>
  <c r="I175" i="33"/>
  <c r="L174" i="33"/>
  <c r="M174" i="33" s="1"/>
  <c r="K174" i="33"/>
  <c r="J174" i="33"/>
  <c r="I174" i="33"/>
  <c r="L173" i="33"/>
  <c r="M173" i="33" s="1"/>
  <c r="K173" i="33"/>
  <c r="J173" i="33"/>
  <c r="I173" i="33"/>
  <c r="L172" i="33"/>
  <c r="M172" i="33" s="1"/>
  <c r="K172" i="33"/>
  <c r="J172" i="33"/>
  <c r="I172" i="33"/>
  <c r="H181" i="33"/>
  <c r="G181" i="33"/>
  <c r="F181" i="33"/>
  <c r="H180" i="33"/>
  <c r="G180" i="33"/>
  <c r="F180" i="33"/>
  <c r="H179" i="33"/>
  <c r="G179" i="33"/>
  <c r="F179" i="33"/>
  <c r="H178" i="33"/>
  <c r="G178" i="33"/>
  <c r="F178" i="33"/>
  <c r="H177" i="33"/>
  <c r="G177" i="33"/>
  <c r="H176" i="33"/>
  <c r="G176" i="33"/>
  <c r="H175" i="33"/>
  <c r="G175" i="33"/>
  <c r="H174" i="33"/>
  <c r="G174" i="33"/>
  <c r="H173" i="33"/>
  <c r="G173" i="33"/>
  <c r="H172" i="33"/>
  <c r="G172" i="33"/>
  <c r="U158" i="33"/>
  <c r="T158" i="33"/>
  <c r="S158" i="33"/>
  <c r="Q158" i="33"/>
  <c r="R158" i="33" s="1"/>
  <c r="P158" i="33"/>
  <c r="O158" i="33"/>
  <c r="N158" i="33"/>
  <c r="L158" i="33"/>
  <c r="M158" i="33" s="1"/>
  <c r="K158" i="33"/>
  <c r="J158" i="33"/>
  <c r="I158" i="33"/>
  <c r="H158" i="33"/>
  <c r="G158" i="33"/>
  <c r="U157" i="33"/>
  <c r="T157" i="33"/>
  <c r="S157" i="33"/>
  <c r="Q157" i="33"/>
  <c r="R157" i="33" s="1"/>
  <c r="P157" i="33"/>
  <c r="O157" i="33"/>
  <c r="N157" i="33"/>
  <c r="L157" i="33"/>
  <c r="M157" i="33" s="1"/>
  <c r="K157" i="33"/>
  <c r="J157" i="33"/>
  <c r="I157" i="33"/>
  <c r="H157" i="33"/>
  <c r="G157" i="33"/>
  <c r="U156" i="33"/>
  <c r="T156" i="33"/>
  <c r="S156" i="33"/>
  <c r="Q156" i="33"/>
  <c r="R156" i="33" s="1"/>
  <c r="P156" i="33"/>
  <c r="O156" i="33"/>
  <c r="N156" i="33"/>
  <c r="L156" i="33"/>
  <c r="M156" i="33" s="1"/>
  <c r="K156" i="33"/>
  <c r="J156" i="33"/>
  <c r="I156" i="33"/>
  <c r="H156" i="33"/>
  <c r="G156" i="33"/>
  <c r="U155" i="33"/>
  <c r="T155" i="33"/>
  <c r="S155" i="33"/>
  <c r="Q155" i="33"/>
  <c r="R155" i="33" s="1"/>
  <c r="P155" i="33"/>
  <c r="O155" i="33"/>
  <c r="N155" i="33"/>
  <c r="L155" i="33"/>
  <c r="M155" i="33" s="1"/>
  <c r="K155" i="33"/>
  <c r="J155" i="33"/>
  <c r="I155" i="33"/>
  <c r="H155" i="33"/>
  <c r="G155" i="33"/>
  <c r="U154" i="33"/>
  <c r="T154" i="33"/>
  <c r="S154" i="33"/>
  <c r="Q154" i="33"/>
  <c r="R154" i="33" s="1"/>
  <c r="P154" i="33"/>
  <c r="O154" i="33"/>
  <c r="N154" i="33"/>
  <c r="L154" i="33"/>
  <c r="M154" i="33" s="1"/>
  <c r="K154" i="33"/>
  <c r="J154" i="33"/>
  <c r="I154" i="33"/>
  <c r="H154" i="33"/>
  <c r="G154" i="33"/>
  <c r="U153" i="33"/>
  <c r="T153" i="33"/>
  <c r="S153" i="33"/>
  <c r="Q153" i="33"/>
  <c r="R153" i="33" s="1"/>
  <c r="P153" i="33"/>
  <c r="O153" i="33"/>
  <c r="N153" i="33"/>
  <c r="L153" i="33"/>
  <c r="M153" i="33" s="1"/>
  <c r="K153" i="33"/>
  <c r="J153" i="33"/>
  <c r="I153" i="33"/>
  <c r="H153" i="33"/>
  <c r="G153" i="33"/>
  <c r="U152" i="33"/>
  <c r="T152" i="33"/>
  <c r="S152" i="33"/>
  <c r="Q152" i="33"/>
  <c r="R152" i="33" s="1"/>
  <c r="P152" i="33"/>
  <c r="O152" i="33"/>
  <c r="N152" i="33"/>
  <c r="L152" i="33"/>
  <c r="M152" i="33" s="1"/>
  <c r="K152" i="33"/>
  <c r="J152" i="33"/>
  <c r="I152" i="33"/>
  <c r="H152" i="33"/>
  <c r="G152" i="33"/>
  <c r="U151" i="33"/>
  <c r="T151" i="33"/>
  <c r="S151" i="33"/>
  <c r="Q151" i="33"/>
  <c r="R151" i="33" s="1"/>
  <c r="P151" i="33"/>
  <c r="O151" i="33"/>
  <c r="N151" i="33"/>
  <c r="L151" i="33"/>
  <c r="M151" i="33" s="1"/>
  <c r="K151" i="33"/>
  <c r="J151" i="33"/>
  <c r="I151" i="33"/>
  <c r="H151" i="33"/>
  <c r="G151" i="33"/>
  <c r="U150" i="33"/>
  <c r="T150" i="33"/>
  <c r="S150" i="33"/>
  <c r="Q150" i="33"/>
  <c r="R150" i="33" s="1"/>
  <c r="P150" i="33"/>
  <c r="O150" i="33"/>
  <c r="N150" i="33"/>
  <c r="L150" i="33"/>
  <c r="M150" i="33" s="1"/>
  <c r="K150" i="33"/>
  <c r="J150" i="33"/>
  <c r="I150" i="33"/>
  <c r="H150" i="33"/>
  <c r="G150" i="33"/>
  <c r="U149" i="33"/>
  <c r="T149" i="33"/>
  <c r="S149" i="33"/>
  <c r="Q149" i="33"/>
  <c r="P149" i="33"/>
  <c r="O149" i="33"/>
  <c r="N149" i="33"/>
  <c r="L149" i="33"/>
  <c r="M149" i="33" s="1"/>
  <c r="K149" i="33"/>
  <c r="J149" i="33"/>
  <c r="I149" i="33"/>
  <c r="H149" i="33"/>
  <c r="G149" i="33"/>
  <c r="U139" i="33"/>
  <c r="T139" i="33"/>
  <c r="S139" i="33"/>
  <c r="Q139" i="33"/>
  <c r="R139" i="33" s="1"/>
  <c r="P139" i="33"/>
  <c r="O139" i="33"/>
  <c r="N139" i="33"/>
  <c r="L139" i="33"/>
  <c r="M139" i="33" s="1"/>
  <c r="K139" i="33"/>
  <c r="J139" i="33"/>
  <c r="I139" i="33"/>
  <c r="H139" i="33"/>
  <c r="G139" i="33"/>
  <c r="F139" i="33"/>
  <c r="U138" i="33"/>
  <c r="T138" i="33"/>
  <c r="S138" i="33"/>
  <c r="Q138" i="33"/>
  <c r="R138" i="33" s="1"/>
  <c r="P138" i="33"/>
  <c r="O138" i="33"/>
  <c r="N138" i="33"/>
  <c r="L138" i="33"/>
  <c r="M138" i="33" s="1"/>
  <c r="K138" i="33"/>
  <c r="J138" i="33"/>
  <c r="I138" i="33"/>
  <c r="H138" i="33"/>
  <c r="G138" i="33"/>
  <c r="F138" i="33"/>
  <c r="U137" i="33"/>
  <c r="T137" i="33"/>
  <c r="S137" i="33"/>
  <c r="Q137" i="33"/>
  <c r="R137" i="33" s="1"/>
  <c r="P137" i="33"/>
  <c r="O137" i="33"/>
  <c r="N137" i="33"/>
  <c r="L137" i="33"/>
  <c r="M137" i="33" s="1"/>
  <c r="K137" i="33"/>
  <c r="J137" i="33"/>
  <c r="I137" i="33"/>
  <c r="H137" i="33"/>
  <c r="G137" i="33"/>
  <c r="F137" i="33"/>
  <c r="U136" i="33"/>
  <c r="T136" i="33"/>
  <c r="S136" i="33"/>
  <c r="Q136" i="33"/>
  <c r="R136" i="33" s="1"/>
  <c r="P136" i="33"/>
  <c r="O136" i="33"/>
  <c r="N136" i="33"/>
  <c r="L136" i="33"/>
  <c r="M136" i="33" s="1"/>
  <c r="K136" i="33"/>
  <c r="J136" i="33"/>
  <c r="I136" i="33"/>
  <c r="H136" i="33"/>
  <c r="G136" i="33"/>
  <c r="F136" i="33"/>
  <c r="U135" i="33"/>
  <c r="T135" i="33"/>
  <c r="S135" i="33"/>
  <c r="Q135" i="33"/>
  <c r="R135" i="33" s="1"/>
  <c r="P135" i="33"/>
  <c r="O135" i="33"/>
  <c r="N135" i="33"/>
  <c r="L135" i="33"/>
  <c r="M135" i="33" s="1"/>
  <c r="K135" i="33"/>
  <c r="J135" i="33"/>
  <c r="I135" i="33"/>
  <c r="H135" i="33"/>
  <c r="G135" i="33"/>
  <c r="F135" i="33"/>
  <c r="U134" i="33"/>
  <c r="T134" i="33"/>
  <c r="S134" i="33"/>
  <c r="Q134" i="33"/>
  <c r="R134" i="33" s="1"/>
  <c r="P134" i="33"/>
  <c r="O134" i="33"/>
  <c r="N134" i="33"/>
  <c r="L134" i="33"/>
  <c r="M134" i="33" s="1"/>
  <c r="K134" i="33"/>
  <c r="J134" i="33"/>
  <c r="I134" i="33"/>
  <c r="H134" i="33"/>
  <c r="G134" i="33"/>
  <c r="F134" i="33"/>
  <c r="U133" i="33"/>
  <c r="T133" i="33"/>
  <c r="S133" i="33"/>
  <c r="Q133" i="33"/>
  <c r="R133" i="33" s="1"/>
  <c r="P133" i="33"/>
  <c r="O133" i="33"/>
  <c r="N133" i="33"/>
  <c r="L133" i="33"/>
  <c r="M133" i="33" s="1"/>
  <c r="K133" i="33"/>
  <c r="J133" i="33"/>
  <c r="I133" i="33"/>
  <c r="H133" i="33"/>
  <c r="G133" i="33"/>
  <c r="F133" i="33"/>
  <c r="U132" i="33"/>
  <c r="T132" i="33"/>
  <c r="S132" i="33"/>
  <c r="Q132" i="33"/>
  <c r="R132" i="33" s="1"/>
  <c r="P132" i="33"/>
  <c r="O132" i="33"/>
  <c r="N132" i="33"/>
  <c r="L132" i="33"/>
  <c r="M132" i="33" s="1"/>
  <c r="K132" i="33"/>
  <c r="J132" i="33"/>
  <c r="I132" i="33"/>
  <c r="H132" i="33"/>
  <c r="G132" i="33"/>
  <c r="F132" i="33"/>
  <c r="U131" i="33"/>
  <c r="T131" i="33"/>
  <c r="S131" i="33"/>
  <c r="Q131" i="33"/>
  <c r="R131" i="33" s="1"/>
  <c r="P131" i="33"/>
  <c r="O131" i="33"/>
  <c r="N131" i="33"/>
  <c r="L131" i="33"/>
  <c r="M131" i="33" s="1"/>
  <c r="K131" i="33"/>
  <c r="J131" i="33"/>
  <c r="I131" i="33"/>
  <c r="H131" i="33"/>
  <c r="G131" i="33"/>
  <c r="F131" i="33"/>
  <c r="U130" i="33"/>
  <c r="T130" i="33"/>
  <c r="S130" i="33"/>
  <c r="Q130" i="33"/>
  <c r="P130" i="33"/>
  <c r="O130" i="33"/>
  <c r="N130" i="33"/>
  <c r="L130" i="33"/>
  <c r="M130" i="33" s="1"/>
  <c r="K130" i="33"/>
  <c r="J130" i="33"/>
  <c r="I130" i="33"/>
  <c r="H130" i="33"/>
  <c r="G130" i="33"/>
  <c r="F130" i="33"/>
  <c r="U120" i="33"/>
  <c r="T120" i="33"/>
  <c r="S120" i="33"/>
  <c r="Q120" i="33"/>
  <c r="R120" i="33" s="1"/>
  <c r="P120" i="33"/>
  <c r="O120" i="33"/>
  <c r="N120" i="33"/>
  <c r="L120" i="33"/>
  <c r="M120" i="33" s="1"/>
  <c r="K120" i="33"/>
  <c r="J120" i="33"/>
  <c r="I120" i="33"/>
  <c r="H120" i="33"/>
  <c r="G120" i="33"/>
  <c r="F120" i="33"/>
  <c r="U119" i="33"/>
  <c r="T119" i="33"/>
  <c r="S119" i="33"/>
  <c r="Q119" i="33"/>
  <c r="R119" i="33" s="1"/>
  <c r="P119" i="33"/>
  <c r="O119" i="33"/>
  <c r="N119" i="33"/>
  <c r="L119" i="33"/>
  <c r="M119" i="33" s="1"/>
  <c r="K119" i="33"/>
  <c r="J119" i="33"/>
  <c r="I119" i="33"/>
  <c r="H119" i="33"/>
  <c r="G119" i="33"/>
  <c r="F119" i="33"/>
  <c r="U118" i="33"/>
  <c r="T118" i="33"/>
  <c r="S118" i="33"/>
  <c r="Q118" i="33"/>
  <c r="R118" i="33" s="1"/>
  <c r="P118" i="33"/>
  <c r="O118" i="33"/>
  <c r="N118" i="33"/>
  <c r="L118" i="33"/>
  <c r="M118" i="33" s="1"/>
  <c r="K118" i="33"/>
  <c r="J118" i="33"/>
  <c r="I118" i="33"/>
  <c r="H118" i="33"/>
  <c r="G118" i="33"/>
  <c r="F118" i="33"/>
  <c r="U117" i="33"/>
  <c r="T117" i="33"/>
  <c r="S117" i="33"/>
  <c r="Q117" i="33"/>
  <c r="R117" i="33" s="1"/>
  <c r="P117" i="33"/>
  <c r="O117" i="33"/>
  <c r="N117" i="33"/>
  <c r="L117" i="33"/>
  <c r="M117" i="33" s="1"/>
  <c r="K117" i="33"/>
  <c r="J117" i="33"/>
  <c r="I117" i="33"/>
  <c r="H117" i="33"/>
  <c r="G117" i="33"/>
  <c r="F117" i="33"/>
  <c r="U116" i="33"/>
  <c r="T116" i="33"/>
  <c r="S116" i="33"/>
  <c r="Q116" i="33"/>
  <c r="R116" i="33" s="1"/>
  <c r="P116" i="33"/>
  <c r="O116" i="33"/>
  <c r="N116" i="33"/>
  <c r="L116" i="33"/>
  <c r="M116" i="33" s="1"/>
  <c r="K116" i="33"/>
  <c r="J116" i="33"/>
  <c r="I116" i="33"/>
  <c r="H116" i="33"/>
  <c r="G116" i="33"/>
  <c r="F116" i="33"/>
  <c r="U115" i="33"/>
  <c r="T115" i="33"/>
  <c r="S115" i="33"/>
  <c r="Q115" i="33"/>
  <c r="R115" i="33" s="1"/>
  <c r="P115" i="33"/>
  <c r="O115" i="33"/>
  <c r="N115" i="33"/>
  <c r="L115" i="33"/>
  <c r="M115" i="33" s="1"/>
  <c r="K115" i="33"/>
  <c r="J115" i="33"/>
  <c r="I115" i="33"/>
  <c r="H115" i="33"/>
  <c r="G115" i="33"/>
  <c r="F115" i="33"/>
  <c r="U114" i="33"/>
  <c r="T114" i="33"/>
  <c r="S114" i="33"/>
  <c r="Q114" i="33"/>
  <c r="R114" i="33" s="1"/>
  <c r="P114" i="33"/>
  <c r="O114" i="33"/>
  <c r="N114" i="33"/>
  <c r="L114" i="33"/>
  <c r="M114" i="33" s="1"/>
  <c r="K114" i="33"/>
  <c r="J114" i="33"/>
  <c r="I114" i="33"/>
  <c r="H114" i="33"/>
  <c r="G114" i="33"/>
  <c r="F114" i="33"/>
  <c r="U113" i="33"/>
  <c r="T113" i="33"/>
  <c r="S113" i="33"/>
  <c r="Q113" i="33"/>
  <c r="R113" i="33" s="1"/>
  <c r="P113" i="33"/>
  <c r="O113" i="33"/>
  <c r="N113" i="33"/>
  <c r="L113" i="33"/>
  <c r="M113" i="33" s="1"/>
  <c r="K113" i="33"/>
  <c r="J113" i="33"/>
  <c r="I113" i="33"/>
  <c r="H113" i="33"/>
  <c r="G113" i="33"/>
  <c r="F113" i="33"/>
  <c r="U112" i="33"/>
  <c r="T112" i="33"/>
  <c r="S112" i="33"/>
  <c r="Q112" i="33"/>
  <c r="R112" i="33" s="1"/>
  <c r="P112" i="33"/>
  <c r="O112" i="33"/>
  <c r="N112" i="33"/>
  <c r="L112" i="33"/>
  <c r="M112" i="33" s="1"/>
  <c r="K112" i="33"/>
  <c r="J112" i="33"/>
  <c r="I112" i="33"/>
  <c r="H112" i="33"/>
  <c r="G112" i="33"/>
  <c r="F112" i="33"/>
  <c r="U111" i="33"/>
  <c r="T111" i="33"/>
  <c r="S111" i="33"/>
  <c r="Q111" i="33"/>
  <c r="R111" i="33" s="1"/>
  <c r="P111" i="33"/>
  <c r="O111" i="33"/>
  <c r="N111" i="33"/>
  <c r="L111" i="33"/>
  <c r="M111" i="33" s="1"/>
  <c r="K111" i="33"/>
  <c r="J111" i="33"/>
  <c r="I111" i="33"/>
  <c r="H111" i="33"/>
  <c r="G111" i="33"/>
  <c r="F111" i="33"/>
  <c r="U101" i="33"/>
  <c r="T101" i="33"/>
  <c r="S101" i="33"/>
  <c r="U100" i="33"/>
  <c r="T100" i="33"/>
  <c r="S100" i="33"/>
  <c r="U99" i="33"/>
  <c r="T99" i="33"/>
  <c r="S99" i="33"/>
  <c r="U98" i="33"/>
  <c r="T98" i="33"/>
  <c r="S98" i="33"/>
  <c r="U97" i="33"/>
  <c r="T97" i="33"/>
  <c r="S97" i="33"/>
  <c r="U96" i="33"/>
  <c r="T96" i="33"/>
  <c r="S96" i="33"/>
  <c r="U95" i="33"/>
  <c r="T95" i="33"/>
  <c r="S95" i="33"/>
  <c r="U94" i="33"/>
  <c r="T94" i="33"/>
  <c r="S94" i="33"/>
  <c r="U93" i="33"/>
  <c r="T93" i="33"/>
  <c r="S93" i="33"/>
  <c r="U92" i="33"/>
  <c r="T92" i="33"/>
  <c r="S92" i="33"/>
  <c r="Q101" i="33"/>
  <c r="R101" i="33" s="1"/>
  <c r="P101" i="33"/>
  <c r="O101" i="33"/>
  <c r="N101" i="33"/>
  <c r="Q100" i="33"/>
  <c r="R100" i="33" s="1"/>
  <c r="P100" i="33"/>
  <c r="O100" i="33"/>
  <c r="N100" i="33"/>
  <c r="Q99" i="33"/>
  <c r="R99" i="33" s="1"/>
  <c r="P99" i="33"/>
  <c r="O99" i="33"/>
  <c r="N99" i="33"/>
  <c r="Q98" i="33"/>
  <c r="R98" i="33" s="1"/>
  <c r="P98" i="33"/>
  <c r="O98" i="33"/>
  <c r="N98" i="33"/>
  <c r="Q97" i="33"/>
  <c r="R97" i="33" s="1"/>
  <c r="P97" i="33"/>
  <c r="O97" i="33"/>
  <c r="N97" i="33"/>
  <c r="Q96" i="33"/>
  <c r="R96" i="33" s="1"/>
  <c r="P96" i="33"/>
  <c r="O96" i="33"/>
  <c r="N96" i="33"/>
  <c r="Q95" i="33"/>
  <c r="R95" i="33" s="1"/>
  <c r="P95" i="33"/>
  <c r="O95" i="33"/>
  <c r="N95" i="33"/>
  <c r="Q94" i="33"/>
  <c r="R94" i="33" s="1"/>
  <c r="P94" i="33"/>
  <c r="O94" i="33"/>
  <c r="N94" i="33"/>
  <c r="Q93" i="33"/>
  <c r="R93" i="33" s="1"/>
  <c r="P93" i="33"/>
  <c r="O93" i="33"/>
  <c r="N93" i="33"/>
  <c r="Q92" i="33"/>
  <c r="P92" i="33"/>
  <c r="O92" i="33"/>
  <c r="N92" i="33"/>
  <c r="L101" i="33"/>
  <c r="M101" i="33" s="1"/>
  <c r="K101" i="33"/>
  <c r="J101" i="33"/>
  <c r="I101" i="33"/>
  <c r="L100" i="33"/>
  <c r="M100" i="33" s="1"/>
  <c r="K100" i="33"/>
  <c r="J100" i="33"/>
  <c r="I100" i="33"/>
  <c r="L99" i="33"/>
  <c r="M99" i="33" s="1"/>
  <c r="K99" i="33"/>
  <c r="J99" i="33"/>
  <c r="I99" i="33"/>
  <c r="L98" i="33"/>
  <c r="M98" i="33" s="1"/>
  <c r="K98" i="33"/>
  <c r="J98" i="33"/>
  <c r="I98" i="33"/>
  <c r="L97" i="33"/>
  <c r="M97" i="33" s="1"/>
  <c r="K97" i="33"/>
  <c r="J97" i="33"/>
  <c r="I97" i="33"/>
  <c r="L96" i="33"/>
  <c r="M96" i="33" s="1"/>
  <c r="K96" i="33"/>
  <c r="J96" i="33"/>
  <c r="I96" i="33"/>
  <c r="L95" i="33"/>
  <c r="M95" i="33" s="1"/>
  <c r="K95" i="33"/>
  <c r="J95" i="33"/>
  <c r="I95" i="33"/>
  <c r="L94" i="33"/>
  <c r="M94" i="33" s="1"/>
  <c r="K94" i="33"/>
  <c r="J94" i="33"/>
  <c r="I94" i="33"/>
  <c r="L93" i="33"/>
  <c r="M93" i="33" s="1"/>
  <c r="K93" i="33"/>
  <c r="J93" i="33"/>
  <c r="I93" i="33"/>
  <c r="L92" i="33"/>
  <c r="K92" i="33"/>
  <c r="J92" i="33"/>
  <c r="I92" i="33"/>
  <c r="H101" i="33"/>
  <c r="G101" i="33"/>
  <c r="F101" i="33"/>
  <c r="H100" i="33"/>
  <c r="G100" i="33"/>
  <c r="F100" i="33"/>
  <c r="H99" i="33"/>
  <c r="G99" i="33"/>
  <c r="F99" i="33"/>
  <c r="H98" i="33"/>
  <c r="G98" i="33"/>
  <c r="F98" i="33"/>
  <c r="H97" i="33"/>
  <c r="G97" i="33"/>
  <c r="F97" i="33"/>
  <c r="H96" i="33"/>
  <c r="G96" i="33"/>
  <c r="F96" i="33"/>
  <c r="H95" i="33"/>
  <c r="G95" i="33"/>
  <c r="F95" i="33"/>
  <c r="H94" i="33"/>
  <c r="G94" i="33"/>
  <c r="F94" i="33"/>
  <c r="H93" i="33"/>
  <c r="G93" i="33"/>
  <c r="F93" i="33"/>
  <c r="H92" i="33"/>
  <c r="G92" i="33"/>
  <c r="F92" i="33"/>
  <c r="U78" i="33"/>
  <c r="T78" i="33"/>
  <c r="S78" i="33"/>
  <c r="Q78" i="33"/>
  <c r="R78" i="33" s="1"/>
  <c r="P78" i="33"/>
  <c r="O78" i="33"/>
  <c r="N78" i="33"/>
  <c r="L78" i="33"/>
  <c r="M78" i="33" s="1"/>
  <c r="K78" i="33"/>
  <c r="J78" i="33"/>
  <c r="I78" i="33"/>
  <c r="H78" i="33"/>
  <c r="G78" i="33"/>
  <c r="F78" i="33"/>
  <c r="U77" i="33"/>
  <c r="T77" i="33"/>
  <c r="S77" i="33"/>
  <c r="Q77" i="33"/>
  <c r="R77" i="33" s="1"/>
  <c r="P77" i="33"/>
  <c r="O77" i="33"/>
  <c r="N77" i="33"/>
  <c r="L77" i="33"/>
  <c r="M77" i="33" s="1"/>
  <c r="K77" i="33"/>
  <c r="J77" i="33"/>
  <c r="I77" i="33"/>
  <c r="H77" i="33"/>
  <c r="G77" i="33"/>
  <c r="F77" i="33"/>
  <c r="U76" i="33"/>
  <c r="T76" i="33"/>
  <c r="S76" i="33"/>
  <c r="Q76" i="33"/>
  <c r="R76" i="33" s="1"/>
  <c r="P76" i="33"/>
  <c r="O76" i="33"/>
  <c r="N76" i="33"/>
  <c r="L76" i="33"/>
  <c r="M76" i="33" s="1"/>
  <c r="K76" i="33"/>
  <c r="J76" i="33"/>
  <c r="I76" i="33"/>
  <c r="H76" i="33"/>
  <c r="G76" i="33"/>
  <c r="F76" i="33"/>
  <c r="U75" i="33"/>
  <c r="T75" i="33"/>
  <c r="S75" i="33"/>
  <c r="Q75" i="33"/>
  <c r="R75" i="33" s="1"/>
  <c r="P75" i="33"/>
  <c r="O75" i="33"/>
  <c r="N75" i="33"/>
  <c r="L75" i="33"/>
  <c r="M75" i="33" s="1"/>
  <c r="K75" i="33"/>
  <c r="J75" i="33"/>
  <c r="I75" i="33"/>
  <c r="H75" i="33"/>
  <c r="G75" i="33"/>
  <c r="F75" i="33"/>
  <c r="U74" i="33"/>
  <c r="T74" i="33"/>
  <c r="S74" i="33"/>
  <c r="Q74" i="33"/>
  <c r="R74" i="33" s="1"/>
  <c r="P74" i="33"/>
  <c r="O74" i="33"/>
  <c r="N74" i="33"/>
  <c r="L74" i="33"/>
  <c r="M74" i="33" s="1"/>
  <c r="K74" i="33"/>
  <c r="J74" i="33"/>
  <c r="I74" i="33"/>
  <c r="H74" i="33"/>
  <c r="G74" i="33"/>
  <c r="F74" i="33"/>
  <c r="U73" i="33"/>
  <c r="T73" i="33"/>
  <c r="S73" i="33"/>
  <c r="Q73" i="33"/>
  <c r="R73" i="33" s="1"/>
  <c r="P73" i="33"/>
  <c r="O73" i="33"/>
  <c r="N73" i="33"/>
  <c r="L73" i="33"/>
  <c r="M73" i="33" s="1"/>
  <c r="K73" i="33"/>
  <c r="J73" i="33"/>
  <c r="I73" i="33"/>
  <c r="H73" i="33"/>
  <c r="G73" i="33"/>
  <c r="F73" i="33"/>
  <c r="U72" i="33"/>
  <c r="T72" i="33"/>
  <c r="S72" i="33"/>
  <c r="Q72" i="33"/>
  <c r="R72" i="33" s="1"/>
  <c r="P72" i="33"/>
  <c r="O72" i="33"/>
  <c r="N72" i="33"/>
  <c r="L72" i="33"/>
  <c r="M72" i="33" s="1"/>
  <c r="K72" i="33"/>
  <c r="J72" i="33"/>
  <c r="I72" i="33"/>
  <c r="H72" i="33"/>
  <c r="G72" i="33"/>
  <c r="F72" i="33"/>
  <c r="U71" i="33"/>
  <c r="T71" i="33"/>
  <c r="S71" i="33"/>
  <c r="Q71" i="33"/>
  <c r="R71" i="33" s="1"/>
  <c r="P71" i="33"/>
  <c r="O71" i="33"/>
  <c r="N71" i="33"/>
  <c r="L71" i="33"/>
  <c r="M71" i="33" s="1"/>
  <c r="K71" i="33"/>
  <c r="J71" i="33"/>
  <c r="I71" i="33"/>
  <c r="H71" i="33"/>
  <c r="G71" i="33"/>
  <c r="F71" i="33"/>
  <c r="U70" i="33"/>
  <c r="T70" i="33"/>
  <c r="S70" i="33"/>
  <c r="Q70" i="33"/>
  <c r="R70" i="33" s="1"/>
  <c r="P70" i="33"/>
  <c r="O70" i="33"/>
  <c r="N70" i="33"/>
  <c r="L70" i="33"/>
  <c r="M70" i="33" s="1"/>
  <c r="K70" i="33"/>
  <c r="J70" i="33"/>
  <c r="I70" i="33"/>
  <c r="H70" i="33"/>
  <c r="G70" i="33"/>
  <c r="F70" i="33"/>
  <c r="U69" i="33"/>
  <c r="T69" i="33"/>
  <c r="S69" i="33"/>
  <c r="Q69" i="33"/>
  <c r="R69" i="33" s="1"/>
  <c r="P69" i="33"/>
  <c r="O69" i="33"/>
  <c r="N69" i="33"/>
  <c r="L69" i="33"/>
  <c r="K69" i="33"/>
  <c r="J69" i="33"/>
  <c r="I69" i="33"/>
  <c r="H69" i="33"/>
  <c r="G69" i="33"/>
  <c r="F69" i="33"/>
  <c r="U59" i="33"/>
  <c r="T59" i="33"/>
  <c r="S59" i="33"/>
  <c r="Q59" i="33"/>
  <c r="R59" i="33" s="1"/>
  <c r="P59" i="33"/>
  <c r="O59" i="33"/>
  <c r="N59" i="33"/>
  <c r="L59" i="33"/>
  <c r="M59" i="33" s="1"/>
  <c r="K59" i="33"/>
  <c r="J59" i="33"/>
  <c r="I59" i="33"/>
  <c r="H59" i="33"/>
  <c r="G59" i="33"/>
  <c r="F59" i="33"/>
  <c r="U58" i="33"/>
  <c r="T58" i="33"/>
  <c r="S58" i="33"/>
  <c r="Q58" i="33"/>
  <c r="R58" i="33" s="1"/>
  <c r="P58" i="33"/>
  <c r="O58" i="33"/>
  <c r="N58" i="33"/>
  <c r="L58" i="33"/>
  <c r="M58" i="33" s="1"/>
  <c r="K58" i="33"/>
  <c r="J58" i="33"/>
  <c r="I58" i="33"/>
  <c r="H58" i="33"/>
  <c r="G58" i="33"/>
  <c r="F58" i="33"/>
  <c r="U57" i="33"/>
  <c r="T57" i="33"/>
  <c r="S57" i="33"/>
  <c r="Q57" i="33"/>
  <c r="R57" i="33" s="1"/>
  <c r="P57" i="33"/>
  <c r="O57" i="33"/>
  <c r="N57" i="33"/>
  <c r="L57" i="33"/>
  <c r="M57" i="33" s="1"/>
  <c r="K57" i="33"/>
  <c r="J57" i="33"/>
  <c r="I57" i="33"/>
  <c r="H57" i="33"/>
  <c r="G57" i="33"/>
  <c r="F57" i="33"/>
  <c r="U56" i="33"/>
  <c r="T56" i="33"/>
  <c r="S56" i="33"/>
  <c r="Q56" i="33"/>
  <c r="R56" i="33" s="1"/>
  <c r="P56" i="33"/>
  <c r="O56" i="33"/>
  <c r="N56" i="33"/>
  <c r="L56" i="33"/>
  <c r="M56" i="33" s="1"/>
  <c r="K56" i="33"/>
  <c r="J56" i="33"/>
  <c r="I56" i="33"/>
  <c r="H56" i="33"/>
  <c r="G56" i="33"/>
  <c r="F56" i="33"/>
  <c r="U55" i="33"/>
  <c r="T55" i="33"/>
  <c r="S55" i="33"/>
  <c r="Q55" i="33"/>
  <c r="R55" i="33" s="1"/>
  <c r="P55" i="33"/>
  <c r="O55" i="33"/>
  <c r="N55" i="33"/>
  <c r="L55" i="33"/>
  <c r="M55" i="33" s="1"/>
  <c r="K55" i="33"/>
  <c r="J55" i="33"/>
  <c r="I55" i="33"/>
  <c r="H55" i="33"/>
  <c r="G55" i="33"/>
  <c r="F55" i="33"/>
  <c r="U54" i="33"/>
  <c r="T54" i="33"/>
  <c r="S54" i="33"/>
  <c r="Q54" i="33"/>
  <c r="R54" i="33" s="1"/>
  <c r="P54" i="33"/>
  <c r="O54" i="33"/>
  <c r="N54" i="33"/>
  <c r="L54" i="33"/>
  <c r="M54" i="33" s="1"/>
  <c r="K54" i="33"/>
  <c r="J54" i="33"/>
  <c r="I54" i="33"/>
  <c r="H54" i="33"/>
  <c r="G54" i="33"/>
  <c r="F54" i="33"/>
  <c r="U53" i="33"/>
  <c r="T53" i="33"/>
  <c r="S53" i="33"/>
  <c r="Q53" i="33"/>
  <c r="R53" i="33" s="1"/>
  <c r="P53" i="33"/>
  <c r="O53" i="33"/>
  <c r="N53" i="33"/>
  <c r="L53" i="33"/>
  <c r="M53" i="33" s="1"/>
  <c r="K53" i="33"/>
  <c r="J53" i="33"/>
  <c r="I53" i="33"/>
  <c r="H53" i="33"/>
  <c r="G53" i="33"/>
  <c r="F53" i="33"/>
  <c r="U52" i="33"/>
  <c r="T52" i="33"/>
  <c r="S52" i="33"/>
  <c r="Q52" i="33"/>
  <c r="P52" i="33"/>
  <c r="O52" i="33"/>
  <c r="N52" i="33"/>
  <c r="L52" i="33"/>
  <c r="M52" i="33" s="1"/>
  <c r="K52" i="33"/>
  <c r="J52" i="33"/>
  <c r="I52" i="33"/>
  <c r="H52" i="33"/>
  <c r="G52" i="33"/>
  <c r="F52" i="33"/>
  <c r="U51" i="33"/>
  <c r="T51" i="33"/>
  <c r="S51" i="33"/>
  <c r="Q51" i="33"/>
  <c r="R51" i="33" s="1"/>
  <c r="P51" i="33"/>
  <c r="O51" i="33"/>
  <c r="N51" i="33"/>
  <c r="L51" i="33"/>
  <c r="M51" i="33" s="1"/>
  <c r="K51" i="33"/>
  <c r="J51" i="33"/>
  <c r="I51" i="33"/>
  <c r="H51" i="33"/>
  <c r="G51" i="33"/>
  <c r="F51" i="33"/>
  <c r="U50" i="33"/>
  <c r="T50" i="33"/>
  <c r="S50" i="33"/>
  <c r="Q50" i="33"/>
  <c r="R50" i="33" s="1"/>
  <c r="P50" i="33"/>
  <c r="O50" i="33"/>
  <c r="N50" i="33"/>
  <c r="L50" i="33"/>
  <c r="M50" i="33" s="1"/>
  <c r="K50" i="33"/>
  <c r="J50" i="33"/>
  <c r="I50" i="33"/>
  <c r="H50" i="33"/>
  <c r="G50" i="33"/>
  <c r="F50" i="33"/>
  <c r="U40" i="33"/>
  <c r="T40" i="33"/>
  <c r="S40" i="33"/>
  <c r="Q40" i="33"/>
  <c r="R40" i="33" s="1"/>
  <c r="P40" i="33"/>
  <c r="O40" i="33"/>
  <c r="N40" i="33"/>
  <c r="L40" i="33"/>
  <c r="M40" i="33" s="1"/>
  <c r="K40" i="33"/>
  <c r="J40" i="33"/>
  <c r="I40" i="33"/>
  <c r="H40" i="33"/>
  <c r="G40" i="33"/>
  <c r="F40" i="33"/>
  <c r="U39" i="33"/>
  <c r="T39" i="33"/>
  <c r="S39" i="33"/>
  <c r="Q39" i="33"/>
  <c r="R39" i="33" s="1"/>
  <c r="P39" i="33"/>
  <c r="O39" i="33"/>
  <c r="N39" i="33"/>
  <c r="L39" i="33"/>
  <c r="M39" i="33" s="1"/>
  <c r="K39" i="33"/>
  <c r="J39" i="33"/>
  <c r="I39" i="33"/>
  <c r="H39" i="33"/>
  <c r="G39" i="33"/>
  <c r="F39" i="33"/>
  <c r="U38" i="33"/>
  <c r="T38" i="33"/>
  <c r="S38" i="33"/>
  <c r="Q38" i="33"/>
  <c r="R38" i="33" s="1"/>
  <c r="P38" i="33"/>
  <c r="O38" i="33"/>
  <c r="N38" i="33"/>
  <c r="L38" i="33"/>
  <c r="M38" i="33" s="1"/>
  <c r="K38" i="33"/>
  <c r="J38" i="33"/>
  <c r="I38" i="33"/>
  <c r="H38" i="33"/>
  <c r="G38" i="33"/>
  <c r="F38" i="33"/>
  <c r="U37" i="33"/>
  <c r="T37" i="33"/>
  <c r="S37" i="33"/>
  <c r="Q37" i="33"/>
  <c r="R37" i="33" s="1"/>
  <c r="P37" i="33"/>
  <c r="O37" i="33"/>
  <c r="N37" i="33"/>
  <c r="L37" i="33"/>
  <c r="M37" i="33" s="1"/>
  <c r="K37" i="33"/>
  <c r="J37" i="33"/>
  <c r="I37" i="33"/>
  <c r="H37" i="33"/>
  <c r="G37" i="33"/>
  <c r="F37" i="33"/>
  <c r="U36" i="33"/>
  <c r="T36" i="33"/>
  <c r="S36" i="33"/>
  <c r="Q36" i="33"/>
  <c r="R36" i="33" s="1"/>
  <c r="P36" i="33"/>
  <c r="O36" i="33"/>
  <c r="N36" i="33"/>
  <c r="L36" i="33"/>
  <c r="M36" i="33" s="1"/>
  <c r="K36" i="33"/>
  <c r="J36" i="33"/>
  <c r="I36" i="33"/>
  <c r="H36" i="33"/>
  <c r="G36" i="33"/>
  <c r="F36" i="33"/>
  <c r="U35" i="33"/>
  <c r="T35" i="33"/>
  <c r="S35" i="33"/>
  <c r="Q35" i="33"/>
  <c r="R35" i="33" s="1"/>
  <c r="P35" i="33"/>
  <c r="O35" i="33"/>
  <c r="N35" i="33"/>
  <c r="L35" i="33"/>
  <c r="M35" i="33" s="1"/>
  <c r="K35" i="33"/>
  <c r="J35" i="33"/>
  <c r="I35" i="33"/>
  <c r="H35" i="33"/>
  <c r="G35" i="33"/>
  <c r="F35" i="33"/>
  <c r="U34" i="33"/>
  <c r="T34" i="33"/>
  <c r="S34" i="33"/>
  <c r="Q34" i="33"/>
  <c r="R34" i="33" s="1"/>
  <c r="P34" i="33"/>
  <c r="O34" i="33"/>
  <c r="N34" i="33"/>
  <c r="L34" i="33"/>
  <c r="M34" i="33" s="1"/>
  <c r="K34" i="33"/>
  <c r="J34" i="33"/>
  <c r="I34" i="33"/>
  <c r="H34" i="33"/>
  <c r="G34" i="33"/>
  <c r="F34" i="33"/>
  <c r="U33" i="33"/>
  <c r="T33" i="33"/>
  <c r="S33" i="33"/>
  <c r="Q33" i="33"/>
  <c r="R33" i="33" s="1"/>
  <c r="P33" i="33"/>
  <c r="O33" i="33"/>
  <c r="N33" i="33"/>
  <c r="L33" i="33"/>
  <c r="M33" i="33" s="1"/>
  <c r="K33" i="33"/>
  <c r="J33" i="33"/>
  <c r="I33" i="33"/>
  <c r="H33" i="33"/>
  <c r="G33" i="33"/>
  <c r="F33" i="33"/>
  <c r="U32" i="33"/>
  <c r="T32" i="33"/>
  <c r="S32" i="33"/>
  <c r="Q32" i="33"/>
  <c r="R32" i="33" s="1"/>
  <c r="P32" i="33"/>
  <c r="O32" i="33"/>
  <c r="N32" i="33"/>
  <c r="L32" i="33"/>
  <c r="M32" i="33" s="1"/>
  <c r="K32" i="33"/>
  <c r="J32" i="33"/>
  <c r="I32" i="33"/>
  <c r="H32" i="33"/>
  <c r="G32" i="33"/>
  <c r="F32" i="33"/>
  <c r="U31" i="33"/>
  <c r="T31" i="33"/>
  <c r="S31" i="33"/>
  <c r="Q31" i="33"/>
  <c r="R31" i="33" s="1"/>
  <c r="P31" i="33"/>
  <c r="O31" i="33"/>
  <c r="N31" i="33"/>
  <c r="L31" i="33"/>
  <c r="K31" i="33"/>
  <c r="J31" i="33"/>
  <c r="I31" i="33"/>
  <c r="H31" i="33"/>
  <c r="G31" i="33"/>
  <c r="F31" i="33"/>
  <c r="U21" i="33"/>
  <c r="T21" i="33"/>
  <c r="S21" i="33"/>
  <c r="U20" i="33"/>
  <c r="T20" i="33"/>
  <c r="S20" i="33"/>
  <c r="U19" i="33"/>
  <c r="T19" i="33"/>
  <c r="S19" i="33"/>
  <c r="U18" i="33"/>
  <c r="T18" i="33"/>
  <c r="S18" i="33"/>
  <c r="U17" i="33"/>
  <c r="T17" i="33"/>
  <c r="S17" i="33"/>
  <c r="U16" i="33"/>
  <c r="T16" i="33"/>
  <c r="S16" i="33"/>
  <c r="U15" i="33"/>
  <c r="T15" i="33"/>
  <c r="S15" i="33"/>
  <c r="U14" i="33"/>
  <c r="T14" i="33"/>
  <c r="S14" i="33"/>
  <c r="U13" i="33"/>
  <c r="T13" i="33"/>
  <c r="S13" i="33"/>
  <c r="U12" i="33"/>
  <c r="T12" i="33"/>
  <c r="S12" i="33"/>
  <c r="Q21" i="33"/>
  <c r="R21" i="33" s="1"/>
  <c r="P21" i="33"/>
  <c r="O21" i="33"/>
  <c r="N21" i="33"/>
  <c r="Q20" i="33"/>
  <c r="R20" i="33" s="1"/>
  <c r="P20" i="33"/>
  <c r="O20" i="33"/>
  <c r="N20" i="33"/>
  <c r="Q19" i="33"/>
  <c r="R19" i="33" s="1"/>
  <c r="P19" i="33"/>
  <c r="O19" i="33"/>
  <c r="N19" i="33"/>
  <c r="Q18" i="33"/>
  <c r="R18" i="33" s="1"/>
  <c r="P18" i="33"/>
  <c r="O18" i="33"/>
  <c r="N18" i="33"/>
  <c r="Q17" i="33"/>
  <c r="R17" i="33" s="1"/>
  <c r="P17" i="33"/>
  <c r="O17" i="33"/>
  <c r="N17" i="33"/>
  <c r="Q16" i="33"/>
  <c r="R16" i="33" s="1"/>
  <c r="P16" i="33"/>
  <c r="O16" i="33"/>
  <c r="N16" i="33"/>
  <c r="Q15" i="33"/>
  <c r="R15" i="33" s="1"/>
  <c r="P15" i="33"/>
  <c r="O15" i="33"/>
  <c r="N15" i="33"/>
  <c r="Q14" i="33"/>
  <c r="R14" i="33" s="1"/>
  <c r="P14" i="33"/>
  <c r="O14" i="33"/>
  <c r="N14" i="33"/>
  <c r="Q13" i="33"/>
  <c r="R13" i="33" s="1"/>
  <c r="P13" i="33"/>
  <c r="O13" i="33"/>
  <c r="N13" i="33"/>
  <c r="Q12" i="33"/>
  <c r="R12" i="33" s="1"/>
  <c r="P12" i="33"/>
  <c r="O12" i="33"/>
  <c r="N12" i="33"/>
  <c r="L21" i="33"/>
  <c r="M21" i="33" s="1"/>
  <c r="K21" i="33"/>
  <c r="J21" i="33"/>
  <c r="I21" i="33"/>
  <c r="L20" i="33"/>
  <c r="M20" i="33" s="1"/>
  <c r="K20" i="33"/>
  <c r="J20" i="33"/>
  <c r="I20" i="33"/>
  <c r="L19" i="33"/>
  <c r="M19" i="33" s="1"/>
  <c r="K19" i="33"/>
  <c r="J19" i="33"/>
  <c r="I19" i="33"/>
  <c r="L18" i="33"/>
  <c r="M18" i="33" s="1"/>
  <c r="K18" i="33"/>
  <c r="J18" i="33"/>
  <c r="I18" i="33"/>
  <c r="L17" i="33"/>
  <c r="M17" i="33" s="1"/>
  <c r="K17" i="33"/>
  <c r="J17" i="33"/>
  <c r="I17" i="33"/>
  <c r="L16" i="33"/>
  <c r="M16" i="33" s="1"/>
  <c r="K16" i="33"/>
  <c r="J16" i="33"/>
  <c r="I16" i="33"/>
  <c r="L15" i="33"/>
  <c r="M15" i="33" s="1"/>
  <c r="K15" i="33"/>
  <c r="J15" i="33"/>
  <c r="I15" i="33"/>
  <c r="L14" i="33"/>
  <c r="M14" i="33" s="1"/>
  <c r="K14" i="33"/>
  <c r="J14" i="33"/>
  <c r="I14" i="33"/>
  <c r="L13" i="33"/>
  <c r="M13" i="33" s="1"/>
  <c r="K13" i="33"/>
  <c r="J13" i="33"/>
  <c r="I13" i="33"/>
  <c r="L12" i="33"/>
  <c r="M12" i="33" s="1"/>
  <c r="K12" i="33"/>
  <c r="J12" i="33"/>
  <c r="I12" i="33"/>
  <c r="H21" i="33"/>
  <c r="G21" i="33"/>
  <c r="F21" i="33"/>
  <c r="H20" i="33"/>
  <c r="G20" i="33"/>
  <c r="F20" i="33"/>
  <c r="H19" i="33"/>
  <c r="G19" i="33"/>
  <c r="F19" i="33"/>
  <c r="H18" i="33"/>
  <c r="G18" i="33"/>
  <c r="F18" i="33"/>
  <c r="H17" i="33"/>
  <c r="G17" i="33"/>
  <c r="F17" i="33"/>
  <c r="H16" i="33"/>
  <c r="G16" i="33"/>
  <c r="F16" i="33"/>
  <c r="H15" i="33"/>
  <c r="G15" i="33"/>
  <c r="F15" i="33"/>
  <c r="H14" i="33"/>
  <c r="G14" i="33"/>
  <c r="F14" i="33"/>
  <c r="H13" i="33"/>
  <c r="G13" i="33"/>
  <c r="F13" i="33"/>
  <c r="H12" i="33"/>
  <c r="G12" i="33"/>
  <c r="F12" i="33"/>
  <c r="E243" i="33"/>
  <c r="W78" i="33"/>
  <c r="W77" i="33"/>
  <c r="W76" i="33"/>
  <c r="W75" i="33"/>
  <c r="W74" i="33"/>
  <c r="W73" i="33"/>
  <c r="W72" i="33"/>
  <c r="W71" i="33"/>
  <c r="W70" i="33"/>
  <c r="W69" i="33"/>
  <c r="W64" i="33"/>
  <c r="W59" i="33"/>
  <c r="W58" i="33"/>
  <c r="W57" i="33"/>
  <c r="W56" i="33"/>
  <c r="W55" i="33"/>
  <c r="W54" i="33"/>
  <c r="W53" i="33"/>
  <c r="W52" i="33"/>
  <c r="W51" i="33"/>
  <c r="W50" i="33"/>
  <c r="W45" i="33"/>
  <c r="W40" i="33"/>
  <c r="W39" i="33"/>
  <c r="W38" i="33"/>
  <c r="W37" i="33"/>
  <c r="W36" i="33"/>
  <c r="W35" i="33"/>
  <c r="W34" i="33"/>
  <c r="W33" i="33"/>
  <c r="W32" i="33"/>
  <c r="W31" i="33"/>
  <c r="W26" i="33"/>
  <c r="W21" i="33"/>
  <c r="W20" i="33"/>
  <c r="W19" i="33"/>
  <c r="W18" i="33"/>
  <c r="W17" i="33"/>
  <c r="W16" i="33"/>
  <c r="W15" i="33"/>
  <c r="W14" i="33"/>
  <c r="W13" i="33"/>
  <c r="W12" i="33"/>
  <c r="W7" i="33"/>
  <c r="W158" i="33"/>
  <c r="W157" i="33"/>
  <c r="W156" i="33"/>
  <c r="W155" i="33"/>
  <c r="W154" i="33"/>
  <c r="W153" i="33"/>
  <c r="W152" i="33"/>
  <c r="W151" i="33"/>
  <c r="W150" i="33"/>
  <c r="W149" i="33"/>
  <c r="W144" i="33"/>
  <c r="W139" i="33"/>
  <c r="W138" i="33"/>
  <c r="W137" i="33"/>
  <c r="W136" i="33"/>
  <c r="W135" i="33"/>
  <c r="W134" i="33"/>
  <c r="W133" i="33"/>
  <c r="W132" i="33"/>
  <c r="W131" i="33"/>
  <c r="W130" i="33"/>
  <c r="W125" i="33"/>
  <c r="W120" i="33"/>
  <c r="W119" i="33"/>
  <c r="W118" i="33"/>
  <c r="W117" i="33"/>
  <c r="W116" i="33"/>
  <c r="W115" i="33"/>
  <c r="W114" i="33"/>
  <c r="W113" i="33"/>
  <c r="W112" i="33"/>
  <c r="W111" i="33"/>
  <c r="W106" i="33"/>
  <c r="W101" i="33"/>
  <c r="W100" i="33"/>
  <c r="W99" i="33"/>
  <c r="W98" i="33"/>
  <c r="W97" i="33"/>
  <c r="W96" i="33"/>
  <c r="W95" i="33"/>
  <c r="W94" i="33"/>
  <c r="W93" i="33"/>
  <c r="W92" i="33"/>
  <c r="W87" i="33"/>
  <c r="W318" i="33"/>
  <c r="W317" i="33"/>
  <c r="W316" i="33"/>
  <c r="W315" i="33"/>
  <c r="W314" i="33"/>
  <c r="W313" i="33"/>
  <c r="W312" i="33"/>
  <c r="W311" i="33"/>
  <c r="W310" i="33"/>
  <c r="W309" i="33"/>
  <c r="W304" i="33"/>
  <c r="W299" i="33"/>
  <c r="W298" i="33"/>
  <c r="W297" i="33"/>
  <c r="W296" i="33"/>
  <c r="W295" i="33"/>
  <c r="W294" i="33"/>
  <c r="W293" i="33"/>
  <c r="W292" i="33"/>
  <c r="W291" i="33"/>
  <c r="W290" i="33"/>
  <c r="W285" i="33"/>
  <c r="W280" i="33"/>
  <c r="W279" i="33"/>
  <c r="W278" i="33"/>
  <c r="W277" i="33"/>
  <c r="W276" i="33"/>
  <c r="W275" i="33"/>
  <c r="W274" i="33"/>
  <c r="W273" i="33"/>
  <c r="W272" i="33"/>
  <c r="W271" i="33"/>
  <c r="W266" i="33"/>
  <c r="W261" i="33"/>
  <c r="W260" i="33"/>
  <c r="W259" i="33"/>
  <c r="W258" i="33"/>
  <c r="W257" i="33"/>
  <c r="W256" i="33"/>
  <c r="W255" i="33"/>
  <c r="W254" i="33"/>
  <c r="W253" i="33"/>
  <c r="W252" i="33"/>
  <c r="W247" i="33"/>
  <c r="W238" i="33"/>
  <c r="W237" i="33"/>
  <c r="W236" i="33"/>
  <c r="W235" i="33"/>
  <c r="W234" i="33"/>
  <c r="W233" i="33"/>
  <c r="W232" i="33"/>
  <c r="W231" i="33"/>
  <c r="W230" i="33"/>
  <c r="W229" i="33"/>
  <c r="W224" i="33"/>
  <c r="W219" i="33"/>
  <c r="W218" i="33"/>
  <c r="W217" i="33"/>
  <c r="W216" i="33"/>
  <c r="W215" i="33"/>
  <c r="W214" i="33"/>
  <c r="W213" i="33"/>
  <c r="W212" i="33"/>
  <c r="W211" i="33"/>
  <c r="W210" i="33"/>
  <c r="W205" i="33"/>
  <c r="W200" i="33"/>
  <c r="W199" i="33"/>
  <c r="W198" i="33"/>
  <c r="W197" i="33"/>
  <c r="W196" i="33"/>
  <c r="W195" i="33"/>
  <c r="W194" i="33"/>
  <c r="W193" i="33"/>
  <c r="W192" i="33"/>
  <c r="W191" i="33"/>
  <c r="W186" i="33"/>
  <c r="W181" i="33"/>
  <c r="W180" i="33"/>
  <c r="W179" i="33"/>
  <c r="W178" i="33"/>
  <c r="W177" i="33"/>
  <c r="W176" i="33"/>
  <c r="W175" i="33"/>
  <c r="W174" i="33"/>
  <c r="W173" i="33"/>
  <c r="W172" i="33"/>
  <c r="W167" i="33"/>
  <c r="W396" i="33"/>
  <c r="W397" i="33"/>
  <c r="W398" i="33"/>
  <c r="W370" i="33"/>
  <c r="W371" i="33"/>
  <c r="W372" i="33"/>
  <c r="W365" i="33"/>
  <c r="W346" i="33"/>
  <c r="W355" i="33"/>
  <c r="W356" i="33"/>
  <c r="W357" i="33"/>
  <c r="W339" i="33"/>
  <c r="W340" i="33"/>
  <c r="W341" i="33"/>
  <c r="U422" i="33"/>
  <c r="T422" i="33"/>
  <c r="S422" i="33"/>
  <c r="Q422" i="33"/>
  <c r="P422" i="33"/>
  <c r="O422" i="33"/>
  <c r="N422" i="33"/>
  <c r="L422" i="33"/>
  <c r="K422" i="33"/>
  <c r="J422" i="33"/>
  <c r="I422" i="33"/>
  <c r="H422" i="33"/>
  <c r="G422" i="33"/>
  <c r="F422" i="33"/>
  <c r="U479" i="33"/>
  <c r="T479" i="33"/>
  <c r="S479" i="33"/>
  <c r="Q479" i="33"/>
  <c r="P479" i="33"/>
  <c r="O479" i="33"/>
  <c r="N479" i="33"/>
  <c r="L479" i="33"/>
  <c r="K479" i="33"/>
  <c r="J479" i="33"/>
  <c r="I479" i="33"/>
  <c r="H479" i="33"/>
  <c r="G479" i="33"/>
  <c r="F479" i="33"/>
  <c r="U460" i="33"/>
  <c r="T460" i="33"/>
  <c r="S460" i="33"/>
  <c r="Q460" i="33"/>
  <c r="P460" i="33"/>
  <c r="O460" i="33"/>
  <c r="N460" i="33"/>
  <c r="L460" i="33"/>
  <c r="K460" i="33"/>
  <c r="J460" i="33"/>
  <c r="I460" i="33"/>
  <c r="H460" i="33"/>
  <c r="G460" i="33"/>
  <c r="F460" i="33"/>
  <c r="U441" i="33"/>
  <c r="T441" i="33"/>
  <c r="S441" i="33"/>
  <c r="Q441" i="33"/>
  <c r="P441" i="33"/>
  <c r="O441" i="33"/>
  <c r="N441" i="33"/>
  <c r="L441" i="33"/>
  <c r="K441" i="33"/>
  <c r="J441" i="33"/>
  <c r="I441" i="33"/>
  <c r="H441" i="33"/>
  <c r="G441" i="33"/>
  <c r="F441" i="33"/>
  <c r="W395" i="33"/>
  <c r="W394" i="33"/>
  <c r="W393" i="33"/>
  <c r="W392" i="33"/>
  <c r="W391" i="33"/>
  <c r="W390" i="33"/>
  <c r="W389" i="33"/>
  <c r="W384" i="33"/>
  <c r="W379" i="33"/>
  <c r="W378" i="33"/>
  <c r="W377" i="33"/>
  <c r="W376" i="33"/>
  <c r="W375" i="33"/>
  <c r="W374" i="33"/>
  <c r="W373" i="33"/>
  <c r="W360" i="33"/>
  <c r="W359" i="33"/>
  <c r="W358" i="33"/>
  <c r="W354" i="33"/>
  <c r="W353" i="33"/>
  <c r="W352" i="33"/>
  <c r="W351" i="33"/>
  <c r="W338" i="33"/>
  <c r="W337" i="33"/>
  <c r="W336" i="33"/>
  <c r="W335" i="33"/>
  <c r="W334" i="33"/>
  <c r="W333" i="33"/>
  <c r="W332" i="33"/>
  <c r="W327" i="33"/>
  <c r="E323" i="33"/>
  <c r="E163" i="33"/>
  <c r="E83" i="33"/>
  <c r="E3" i="33"/>
  <c r="W24" i="23"/>
  <c r="W7" i="23"/>
  <c r="W383" i="32"/>
  <c r="W382" i="32"/>
  <c r="W381" i="32"/>
  <c r="W380" i="32"/>
  <c r="W379" i="32"/>
  <c r="W378" i="32"/>
  <c r="W377" i="32"/>
  <c r="W372" i="32"/>
  <c r="W367" i="32"/>
  <c r="W366" i="32"/>
  <c r="W365" i="32"/>
  <c r="W364" i="32"/>
  <c r="W363" i="32"/>
  <c r="W362" i="32"/>
  <c r="W361" i="32"/>
  <c r="W356" i="32"/>
  <c r="W351" i="32"/>
  <c r="W350" i="32"/>
  <c r="W349" i="32"/>
  <c r="W348" i="32"/>
  <c r="W347" i="32"/>
  <c r="W346" i="32"/>
  <c r="W345" i="32"/>
  <c r="W342" i="32"/>
  <c r="W341" i="32"/>
  <c r="W340" i="32"/>
  <c r="W339" i="32"/>
  <c r="W338" i="32"/>
  <c r="W337" i="32"/>
  <c r="W336" i="32"/>
  <c r="W331" i="32"/>
  <c r="W326" i="32"/>
  <c r="W325" i="32"/>
  <c r="W324" i="32"/>
  <c r="W323" i="32"/>
  <c r="W322" i="32"/>
  <c r="W321" i="32"/>
  <c r="W320" i="32"/>
  <c r="W315" i="32"/>
  <c r="U383" i="32"/>
  <c r="T383" i="32"/>
  <c r="S383" i="32"/>
  <c r="U382" i="32"/>
  <c r="T382" i="32"/>
  <c r="S382" i="32"/>
  <c r="U381" i="32"/>
  <c r="T381" i="32"/>
  <c r="S381" i="32"/>
  <c r="U380" i="32"/>
  <c r="T380" i="32"/>
  <c r="S380" i="32"/>
  <c r="U379" i="32"/>
  <c r="T379" i="32"/>
  <c r="S379" i="32"/>
  <c r="U378" i="32"/>
  <c r="T378" i="32"/>
  <c r="S378" i="32"/>
  <c r="U377" i="32"/>
  <c r="T377" i="32"/>
  <c r="S377" i="32"/>
  <c r="Q383" i="32"/>
  <c r="P383" i="32"/>
  <c r="O383" i="32"/>
  <c r="N383" i="32"/>
  <c r="Q382" i="32"/>
  <c r="P382" i="32"/>
  <c r="O382" i="32"/>
  <c r="N382" i="32"/>
  <c r="Q381" i="32"/>
  <c r="P381" i="32"/>
  <c r="O381" i="32"/>
  <c r="N381" i="32"/>
  <c r="Q380" i="32"/>
  <c r="P380" i="32"/>
  <c r="O380" i="32"/>
  <c r="N380" i="32"/>
  <c r="Q379" i="32"/>
  <c r="P379" i="32"/>
  <c r="O379" i="32"/>
  <c r="N379" i="32"/>
  <c r="Q378" i="32"/>
  <c r="P378" i="32"/>
  <c r="O378" i="32"/>
  <c r="N378" i="32"/>
  <c r="Q377" i="32"/>
  <c r="P377" i="32"/>
  <c r="O377" i="32"/>
  <c r="N377" i="32"/>
  <c r="L383" i="32"/>
  <c r="K383" i="32"/>
  <c r="J383" i="32"/>
  <c r="I383" i="32"/>
  <c r="L382" i="32"/>
  <c r="K382" i="32"/>
  <c r="J382" i="32"/>
  <c r="I382" i="32"/>
  <c r="L381" i="32"/>
  <c r="K381" i="32"/>
  <c r="J381" i="32"/>
  <c r="I381" i="32"/>
  <c r="L380" i="32"/>
  <c r="K380" i="32"/>
  <c r="J380" i="32"/>
  <c r="I380" i="32"/>
  <c r="L379" i="32"/>
  <c r="K379" i="32"/>
  <c r="J379" i="32"/>
  <c r="I379" i="32"/>
  <c r="L378" i="32"/>
  <c r="K378" i="32"/>
  <c r="J378" i="32"/>
  <c r="I378" i="32"/>
  <c r="L377" i="32"/>
  <c r="K377" i="32"/>
  <c r="J377" i="32"/>
  <c r="I377" i="32"/>
  <c r="U306" i="32"/>
  <c r="T306" i="32"/>
  <c r="S306" i="32"/>
  <c r="U305" i="32"/>
  <c r="T305" i="32"/>
  <c r="S305" i="32"/>
  <c r="U304" i="32"/>
  <c r="T304" i="32"/>
  <c r="S304" i="32"/>
  <c r="U303" i="32"/>
  <c r="T303" i="32"/>
  <c r="S303" i="32"/>
  <c r="U302" i="32"/>
  <c r="T302" i="32"/>
  <c r="S302" i="32"/>
  <c r="U301" i="32"/>
  <c r="T301" i="32"/>
  <c r="S301" i="32"/>
  <c r="U300" i="32"/>
  <c r="T300" i="32"/>
  <c r="S300" i="32"/>
  <c r="Q306" i="32"/>
  <c r="P306" i="32"/>
  <c r="O306" i="32"/>
  <c r="N306" i="32"/>
  <c r="Q305" i="32"/>
  <c r="P305" i="32"/>
  <c r="O305" i="32"/>
  <c r="N305" i="32"/>
  <c r="Q304" i="32"/>
  <c r="P304" i="32"/>
  <c r="O304" i="32"/>
  <c r="N304" i="32"/>
  <c r="Q303" i="32"/>
  <c r="P303" i="32"/>
  <c r="O303" i="32"/>
  <c r="N303" i="32"/>
  <c r="Q302" i="32"/>
  <c r="P302" i="32"/>
  <c r="O302" i="32"/>
  <c r="N302" i="32"/>
  <c r="Q301" i="32"/>
  <c r="P301" i="32"/>
  <c r="O301" i="32"/>
  <c r="N301" i="32"/>
  <c r="Q300" i="32"/>
  <c r="P300" i="32"/>
  <c r="O300" i="32"/>
  <c r="N300" i="32"/>
  <c r="L306" i="32"/>
  <c r="K306" i="32"/>
  <c r="J306" i="32"/>
  <c r="I306" i="32"/>
  <c r="L305" i="32"/>
  <c r="K305" i="32"/>
  <c r="J305" i="32"/>
  <c r="I305" i="32"/>
  <c r="L304" i="32"/>
  <c r="K304" i="32"/>
  <c r="J304" i="32"/>
  <c r="I304" i="32"/>
  <c r="L303" i="32"/>
  <c r="K303" i="32"/>
  <c r="J303" i="32"/>
  <c r="I303" i="32"/>
  <c r="L302" i="32"/>
  <c r="K302" i="32"/>
  <c r="J302" i="32"/>
  <c r="I302" i="32"/>
  <c r="L301" i="32"/>
  <c r="K301" i="32"/>
  <c r="J301" i="32"/>
  <c r="I301" i="32"/>
  <c r="L300" i="32"/>
  <c r="K300" i="32"/>
  <c r="J300" i="32"/>
  <c r="I300" i="32"/>
  <c r="W306" i="32"/>
  <c r="W305" i="32"/>
  <c r="W304" i="32"/>
  <c r="W303" i="32"/>
  <c r="W302" i="32"/>
  <c r="W301" i="32"/>
  <c r="W300" i="32"/>
  <c r="W295" i="32"/>
  <c r="W279" i="32"/>
  <c r="W254" i="32"/>
  <c r="W238" i="32"/>
  <c r="W218" i="32"/>
  <c r="W202" i="32"/>
  <c r="W177" i="32"/>
  <c r="W161" i="32"/>
  <c r="U229" i="32"/>
  <c r="T229" i="32"/>
  <c r="S229" i="32"/>
  <c r="U228" i="32"/>
  <c r="T228" i="32"/>
  <c r="S228" i="32"/>
  <c r="U227" i="32"/>
  <c r="T227" i="32"/>
  <c r="S227" i="32"/>
  <c r="U226" i="32"/>
  <c r="T226" i="32"/>
  <c r="S226" i="32"/>
  <c r="U225" i="32"/>
  <c r="T225" i="32"/>
  <c r="S225" i="32"/>
  <c r="U224" i="32"/>
  <c r="T224" i="32"/>
  <c r="S224" i="32"/>
  <c r="U223" i="32"/>
  <c r="T223" i="32"/>
  <c r="S223" i="32"/>
  <c r="Q229" i="32"/>
  <c r="P229" i="32"/>
  <c r="O229" i="32"/>
  <c r="N229" i="32"/>
  <c r="Q228" i="32"/>
  <c r="P228" i="32"/>
  <c r="O228" i="32"/>
  <c r="N228" i="32"/>
  <c r="Q227" i="32"/>
  <c r="P227" i="32"/>
  <c r="O227" i="32"/>
  <c r="N227" i="32"/>
  <c r="Q226" i="32"/>
  <c r="P226" i="32"/>
  <c r="O226" i="32"/>
  <c r="N226" i="32"/>
  <c r="Q225" i="32"/>
  <c r="P225" i="32"/>
  <c r="O225" i="32"/>
  <c r="N225" i="32"/>
  <c r="Q224" i="32"/>
  <c r="P224" i="32"/>
  <c r="O224" i="32"/>
  <c r="N224" i="32"/>
  <c r="Q223" i="32"/>
  <c r="P223" i="32"/>
  <c r="O223" i="32"/>
  <c r="N223" i="32"/>
  <c r="L229" i="32"/>
  <c r="K229" i="32"/>
  <c r="J229" i="32"/>
  <c r="I229" i="32"/>
  <c r="L228" i="32"/>
  <c r="K228" i="32"/>
  <c r="J228" i="32"/>
  <c r="I228" i="32"/>
  <c r="L227" i="32"/>
  <c r="K227" i="32"/>
  <c r="J227" i="32"/>
  <c r="I227" i="32"/>
  <c r="L226" i="32"/>
  <c r="K226" i="32"/>
  <c r="J226" i="32"/>
  <c r="I226" i="32"/>
  <c r="L225" i="32"/>
  <c r="K225" i="32"/>
  <c r="J225" i="32"/>
  <c r="I225" i="32"/>
  <c r="L224" i="32"/>
  <c r="K224" i="32"/>
  <c r="J224" i="32"/>
  <c r="I224" i="32"/>
  <c r="L223" i="32"/>
  <c r="K223" i="32"/>
  <c r="J223" i="32"/>
  <c r="I223" i="32"/>
  <c r="F223" i="32"/>
  <c r="W229" i="32"/>
  <c r="W228" i="32"/>
  <c r="W227" i="32"/>
  <c r="W226" i="32"/>
  <c r="W225" i="32"/>
  <c r="W224" i="32"/>
  <c r="W223" i="32"/>
  <c r="U152" i="32"/>
  <c r="T152" i="32"/>
  <c r="S152" i="32"/>
  <c r="U151" i="32"/>
  <c r="T151" i="32"/>
  <c r="S151" i="32"/>
  <c r="U150" i="32"/>
  <c r="T150" i="32"/>
  <c r="S150" i="32"/>
  <c r="U149" i="32"/>
  <c r="T149" i="32"/>
  <c r="S149" i="32"/>
  <c r="U148" i="32"/>
  <c r="T148" i="32"/>
  <c r="S148" i="32"/>
  <c r="U147" i="32"/>
  <c r="T147" i="32"/>
  <c r="S147" i="32"/>
  <c r="U146" i="32"/>
  <c r="T146" i="32"/>
  <c r="S146" i="32"/>
  <c r="Q152" i="32"/>
  <c r="P152" i="32"/>
  <c r="O152" i="32"/>
  <c r="N152" i="32"/>
  <c r="Q151" i="32"/>
  <c r="P151" i="32"/>
  <c r="O151" i="32"/>
  <c r="N151" i="32"/>
  <c r="Q150" i="32"/>
  <c r="P150" i="32"/>
  <c r="O150" i="32"/>
  <c r="N150" i="32"/>
  <c r="Q149" i="32"/>
  <c r="P149" i="32"/>
  <c r="O149" i="32"/>
  <c r="N149" i="32"/>
  <c r="Q148" i="32"/>
  <c r="P148" i="32"/>
  <c r="O148" i="32"/>
  <c r="N148" i="32"/>
  <c r="Q147" i="32"/>
  <c r="P147" i="32"/>
  <c r="O147" i="32"/>
  <c r="N147" i="32"/>
  <c r="Q146" i="32"/>
  <c r="P146" i="32"/>
  <c r="O146" i="32"/>
  <c r="N146" i="32"/>
  <c r="L152" i="32"/>
  <c r="K152" i="32"/>
  <c r="J152" i="32"/>
  <c r="I152" i="32"/>
  <c r="L151" i="32"/>
  <c r="K151" i="32"/>
  <c r="J151" i="32"/>
  <c r="I151" i="32"/>
  <c r="L150" i="32"/>
  <c r="K150" i="32"/>
  <c r="J150" i="32"/>
  <c r="I150" i="32"/>
  <c r="L149" i="32"/>
  <c r="K149" i="32"/>
  <c r="J149" i="32"/>
  <c r="I149" i="32"/>
  <c r="L148" i="32"/>
  <c r="K148" i="32"/>
  <c r="J148" i="32"/>
  <c r="I148" i="32"/>
  <c r="L147" i="32"/>
  <c r="K147" i="32"/>
  <c r="J147" i="32"/>
  <c r="I147" i="32"/>
  <c r="L146" i="32"/>
  <c r="K146" i="32"/>
  <c r="J146" i="32"/>
  <c r="I146" i="32"/>
  <c r="W152" i="32"/>
  <c r="W151" i="32"/>
  <c r="W150" i="32"/>
  <c r="W149" i="32"/>
  <c r="W148" i="32"/>
  <c r="W147" i="32"/>
  <c r="W146" i="32"/>
  <c r="W141" i="32"/>
  <c r="W125" i="32"/>
  <c r="W100" i="32"/>
  <c r="W84" i="32"/>
  <c r="U75" i="32"/>
  <c r="T75" i="32"/>
  <c r="S75" i="32"/>
  <c r="U74" i="32"/>
  <c r="T74" i="32"/>
  <c r="S74" i="32"/>
  <c r="U73" i="32"/>
  <c r="T73" i="32"/>
  <c r="S73" i="32"/>
  <c r="U72" i="32"/>
  <c r="T72" i="32"/>
  <c r="S72" i="32"/>
  <c r="U71" i="32"/>
  <c r="T71" i="32"/>
  <c r="S71" i="32"/>
  <c r="U70" i="32"/>
  <c r="T70" i="32"/>
  <c r="S70" i="32"/>
  <c r="U69" i="32"/>
  <c r="T69" i="32"/>
  <c r="S69" i="32"/>
  <c r="Q75" i="32"/>
  <c r="P75" i="32"/>
  <c r="O75" i="32"/>
  <c r="N75" i="32"/>
  <c r="Q74" i="32"/>
  <c r="P74" i="32"/>
  <c r="O74" i="32"/>
  <c r="N74" i="32"/>
  <c r="Q73" i="32"/>
  <c r="P73" i="32"/>
  <c r="O73" i="32"/>
  <c r="N73" i="32"/>
  <c r="Q72" i="32"/>
  <c r="P72" i="32"/>
  <c r="O72" i="32"/>
  <c r="N72" i="32"/>
  <c r="Q71" i="32"/>
  <c r="P71" i="32"/>
  <c r="O71" i="32"/>
  <c r="N71" i="32"/>
  <c r="Q70" i="32"/>
  <c r="P70" i="32"/>
  <c r="O70" i="32"/>
  <c r="N70" i="32"/>
  <c r="Q69" i="32"/>
  <c r="P69" i="32"/>
  <c r="O69" i="32"/>
  <c r="N69" i="32"/>
  <c r="L75" i="32"/>
  <c r="K75" i="32"/>
  <c r="J75" i="32"/>
  <c r="I75" i="32"/>
  <c r="L74" i="32"/>
  <c r="K74" i="32"/>
  <c r="J74" i="32"/>
  <c r="I74" i="32"/>
  <c r="L73" i="32"/>
  <c r="K73" i="32"/>
  <c r="J73" i="32"/>
  <c r="I73" i="32"/>
  <c r="L72" i="32"/>
  <c r="K72" i="32"/>
  <c r="J72" i="32"/>
  <c r="I72" i="32"/>
  <c r="L71" i="32"/>
  <c r="K71" i="32"/>
  <c r="J71" i="32"/>
  <c r="I71" i="32"/>
  <c r="L70" i="32"/>
  <c r="K70" i="32"/>
  <c r="J70" i="32"/>
  <c r="I70" i="32"/>
  <c r="L69" i="32"/>
  <c r="K69" i="32"/>
  <c r="J69" i="32"/>
  <c r="I69" i="32"/>
  <c r="H18" i="32"/>
  <c r="G18" i="32"/>
  <c r="F18" i="32"/>
  <c r="H17" i="32"/>
  <c r="G17" i="32"/>
  <c r="F17" i="32"/>
  <c r="H16" i="32"/>
  <c r="G16" i="32"/>
  <c r="F16" i="32"/>
  <c r="H15" i="32"/>
  <c r="G15" i="32"/>
  <c r="F15" i="32"/>
  <c r="H14" i="32"/>
  <c r="G14" i="32"/>
  <c r="F14" i="32"/>
  <c r="H13" i="32"/>
  <c r="G13" i="32"/>
  <c r="F13" i="32"/>
  <c r="H12" i="32"/>
  <c r="G12" i="32"/>
  <c r="F12" i="32"/>
  <c r="W75" i="32"/>
  <c r="W74" i="32"/>
  <c r="W73" i="32"/>
  <c r="W72" i="32"/>
  <c r="W71" i="32"/>
  <c r="W70" i="32"/>
  <c r="W69" i="32"/>
  <c r="U461" i="32"/>
  <c r="K29" i="18" s="1"/>
  <c r="T461" i="32"/>
  <c r="J29" i="18" s="1"/>
  <c r="S461" i="32"/>
  <c r="I29" i="18" s="1"/>
  <c r="Q461" i="32"/>
  <c r="P461" i="32"/>
  <c r="O461" i="32"/>
  <c r="N461" i="32"/>
  <c r="L461" i="32"/>
  <c r="K461" i="32"/>
  <c r="J461" i="32"/>
  <c r="I461" i="32"/>
  <c r="H461" i="32"/>
  <c r="F29" i="18" s="1"/>
  <c r="G461" i="32"/>
  <c r="E29" i="18" s="1"/>
  <c r="F461" i="32"/>
  <c r="D29" i="18" s="1"/>
  <c r="R460" i="32"/>
  <c r="M460" i="32"/>
  <c r="R459" i="32"/>
  <c r="M459" i="32"/>
  <c r="R458" i="32"/>
  <c r="M458" i="32"/>
  <c r="R457" i="32"/>
  <c r="M457" i="32"/>
  <c r="R456" i="32"/>
  <c r="M456" i="32"/>
  <c r="R455" i="32"/>
  <c r="M455" i="32"/>
  <c r="R454" i="32"/>
  <c r="M454" i="32"/>
  <c r="U445" i="32"/>
  <c r="T445" i="32"/>
  <c r="S445" i="32"/>
  <c r="Q445" i="32"/>
  <c r="P445" i="32"/>
  <c r="O445" i="32"/>
  <c r="N445" i="32"/>
  <c r="L445" i="32"/>
  <c r="K445" i="32"/>
  <c r="J445" i="32"/>
  <c r="I445" i="32"/>
  <c r="H445" i="32"/>
  <c r="G445" i="32"/>
  <c r="F445" i="32"/>
  <c r="R444" i="32"/>
  <c r="M444" i="32"/>
  <c r="R443" i="32"/>
  <c r="M443" i="32"/>
  <c r="R442" i="32"/>
  <c r="M442" i="32"/>
  <c r="R441" i="32"/>
  <c r="M441" i="32"/>
  <c r="R440" i="32"/>
  <c r="M440" i="32"/>
  <c r="R439" i="32"/>
  <c r="M439" i="32"/>
  <c r="R438" i="32"/>
  <c r="M438" i="32"/>
  <c r="U429" i="32"/>
  <c r="K22" i="18" s="1"/>
  <c r="T429" i="32"/>
  <c r="J22" i="18" s="1"/>
  <c r="S429" i="32"/>
  <c r="I22" i="18" s="1"/>
  <c r="Q429" i="32"/>
  <c r="P429" i="32"/>
  <c r="O429" i="32"/>
  <c r="N429" i="32"/>
  <c r="L429" i="32"/>
  <c r="K429" i="32"/>
  <c r="J429" i="32"/>
  <c r="I429" i="32"/>
  <c r="H429" i="32"/>
  <c r="F22" i="18" s="1"/>
  <c r="G429" i="32"/>
  <c r="E22" i="18" s="1"/>
  <c r="F429" i="32"/>
  <c r="D22" i="18" s="1"/>
  <c r="R428" i="32"/>
  <c r="M428" i="32"/>
  <c r="R427" i="32"/>
  <c r="M427" i="32"/>
  <c r="R426" i="32"/>
  <c r="M426" i="32"/>
  <c r="R425" i="32"/>
  <c r="M425" i="32"/>
  <c r="R424" i="32"/>
  <c r="M424" i="32"/>
  <c r="R423" i="32"/>
  <c r="M423" i="32"/>
  <c r="R422" i="32"/>
  <c r="M422" i="32"/>
  <c r="U420" i="32"/>
  <c r="T420" i="32"/>
  <c r="S420" i="32"/>
  <c r="Q420" i="32"/>
  <c r="P420" i="32"/>
  <c r="O420" i="32"/>
  <c r="N420" i="32"/>
  <c r="L420" i="32"/>
  <c r="K420" i="32"/>
  <c r="J420" i="32"/>
  <c r="I420" i="32"/>
  <c r="H420" i="32"/>
  <c r="G420" i="32"/>
  <c r="F420" i="32"/>
  <c r="R419" i="32"/>
  <c r="M419" i="32"/>
  <c r="R418" i="32"/>
  <c r="M418" i="32"/>
  <c r="R417" i="32"/>
  <c r="M417" i="32"/>
  <c r="R416" i="32"/>
  <c r="M416" i="32"/>
  <c r="R415" i="32"/>
  <c r="M415" i="32"/>
  <c r="R414" i="32"/>
  <c r="M414" i="32"/>
  <c r="R413" i="32"/>
  <c r="M413" i="32"/>
  <c r="U404" i="32"/>
  <c r="K28" i="18" s="1"/>
  <c r="T404" i="32"/>
  <c r="J28" i="18" s="1"/>
  <c r="S404" i="32"/>
  <c r="I28" i="18" s="1"/>
  <c r="Q404" i="32"/>
  <c r="P404" i="32"/>
  <c r="O404" i="32"/>
  <c r="N404" i="32"/>
  <c r="L404" i="32"/>
  <c r="K404" i="32"/>
  <c r="J404" i="32"/>
  <c r="I404" i="32"/>
  <c r="H404" i="32"/>
  <c r="F28" i="18" s="1"/>
  <c r="G404" i="32"/>
  <c r="E28" i="18" s="1"/>
  <c r="F404" i="32"/>
  <c r="D28" i="18" s="1"/>
  <c r="R403" i="32"/>
  <c r="M403" i="32"/>
  <c r="R402" i="32"/>
  <c r="M402" i="32"/>
  <c r="R401" i="32"/>
  <c r="M401" i="32"/>
  <c r="R400" i="32"/>
  <c r="M400" i="32"/>
  <c r="R399" i="32"/>
  <c r="M399" i="32"/>
  <c r="R398" i="32"/>
  <c r="M398" i="32"/>
  <c r="R397" i="32"/>
  <c r="M397" i="32"/>
  <c r="H383" i="32"/>
  <c r="G383" i="32"/>
  <c r="F383" i="32"/>
  <c r="H382" i="32"/>
  <c r="G382" i="32"/>
  <c r="F382" i="32"/>
  <c r="H381" i="32"/>
  <c r="G381" i="32"/>
  <c r="F381" i="32"/>
  <c r="H380" i="32"/>
  <c r="G380" i="32"/>
  <c r="F380" i="32"/>
  <c r="H379" i="32"/>
  <c r="G379" i="32"/>
  <c r="F379" i="32"/>
  <c r="H378" i="32"/>
  <c r="G378" i="32"/>
  <c r="F378" i="32"/>
  <c r="H377" i="32"/>
  <c r="G377" i="32"/>
  <c r="F377" i="32"/>
  <c r="U367" i="32"/>
  <c r="T367" i="32"/>
  <c r="S367" i="32"/>
  <c r="Q367" i="32"/>
  <c r="P367" i="32"/>
  <c r="O367" i="32"/>
  <c r="N367" i="32"/>
  <c r="L367" i="32"/>
  <c r="K367" i="32"/>
  <c r="J367" i="32"/>
  <c r="I367" i="32"/>
  <c r="H367" i="32"/>
  <c r="G367" i="32"/>
  <c r="F367" i="32"/>
  <c r="U366" i="32"/>
  <c r="T366" i="32"/>
  <c r="S366" i="32"/>
  <c r="Q366" i="32"/>
  <c r="P366" i="32"/>
  <c r="O366" i="32"/>
  <c r="N366" i="32"/>
  <c r="L366" i="32"/>
  <c r="K366" i="32"/>
  <c r="J366" i="32"/>
  <c r="I366" i="32"/>
  <c r="H366" i="32"/>
  <c r="G366" i="32"/>
  <c r="F366" i="32"/>
  <c r="U365" i="32"/>
  <c r="T365" i="32"/>
  <c r="S365" i="32"/>
  <c r="Q365" i="32"/>
  <c r="P365" i="32"/>
  <c r="O365" i="32"/>
  <c r="N365" i="32"/>
  <c r="L365" i="32"/>
  <c r="K365" i="32"/>
  <c r="J365" i="32"/>
  <c r="I365" i="32"/>
  <c r="H365" i="32"/>
  <c r="G365" i="32"/>
  <c r="F365" i="32"/>
  <c r="U364" i="32"/>
  <c r="T364" i="32"/>
  <c r="S364" i="32"/>
  <c r="Q364" i="32"/>
  <c r="P364" i="32"/>
  <c r="O364" i="32"/>
  <c r="N364" i="32"/>
  <c r="L364" i="32"/>
  <c r="K364" i="32"/>
  <c r="J364" i="32"/>
  <c r="I364" i="32"/>
  <c r="H364" i="32"/>
  <c r="G364" i="32"/>
  <c r="F364" i="32"/>
  <c r="U363" i="32"/>
  <c r="T363" i="32"/>
  <c r="S363" i="32"/>
  <c r="Q363" i="32"/>
  <c r="P363" i="32"/>
  <c r="O363" i="32"/>
  <c r="N363" i="32"/>
  <c r="L363" i="32"/>
  <c r="K363" i="32"/>
  <c r="J363" i="32"/>
  <c r="I363" i="32"/>
  <c r="H363" i="32"/>
  <c r="G363" i="32"/>
  <c r="F363" i="32"/>
  <c r="U362" i="32"/>
  <c r="T362" i="32"/>
  <c r="S362" i="32"/>
  <c r="Q362" i="32"/>
  <c r="P362" i="32"/>
  <c r="O362" i="32"/>
  <c r="N362" i="32"/>
  <c r="L362" i="32"/>
  <c r="K362" i="32"/>
  <c r="J362" i="32"/>
  <c r="I362" i="32"/>
  <c r="H362" i="32"/>
  <c r="G362" i="32"/>
  <c r="F362" i="32"/>
  <c r="U361" i="32"/>
  <c r="T361" i="32"/>
  <c r="S361" i="32"/>
  <c r="Q361" i="32"/>
  <c r="P361" i="32"/>
  <c r="O361" i="32"/>
  <c r="N361" i="32"/>
  <c r="L361" i="32"/>
  <c r="K361" i="32"/>
  <c r="J361" i="32"/>
  <c r="I361" i="32"/>
  <c r="H361" i="32"/>
  <c r="G361" i="32"/>
  <c r="F361" i="32"/>
  <c r="U351" i="32"/>
  <c r="T351" i="32"/>
  <c r="S351" i="32"/>
  <c r="Q351" i="32"/>
  <c r="P351" i="32"/>
  <c r="O351" i="32"/>
  <c r="N351" i="32"/>
  <c r="L351" i="32"/>
  <c r="K351" i="32"/>
  <c r="J351" i="32"/>
  <c r="I351" i="32"/>
  <c r="H351" i="32"/>
  <c r="G351" i="32"/>
  <c r="F351" i="32"/>
  <c r="U350" i="32"/>
  <c r="T350" i="32"/>
  <c r="S350" i="32"/>
  <c r="Q350" i="32"/>
  <c r="P350" i="32"/>
  <c r="O350" i="32"/>
  <c r="N350" i="32"/>
  <c r="L350" i="32"/>
  <c r="K350" i="32"/>
  <c r="J350" i="32"/>
  <c r="I350" i="32"/>
  <c r="H350" i="32"/>
  <c r="G350" i="32"/>
  <c r="F350" i="32"/>
  <c r="U349" i="32"/>
  <c r="T349" i="32"/>
  <c r="S349" i="32"/>
  <c r="Q349" i="32"/>
  <c r="P349" i="32"/>
  <c r="O349" i="32"/>
  <c r="N349" i="32"/>
  <c r="L349" i="32"/>
  <c r="K349" i="32"/>
  <c r="J349" i="32"/>
  <c r="I349" i="32"/>
  <c r="H349" i="32"/>
  <c r="G349" i="32"/>
  <c r="F349" i="32"/>
  <c r="U348" i="32"/>
  <c r="T348" i="32"/>
  <c r="S348" i="32"/>
  <c r="Q348" i="32"/>
  <c r="P348" i="32"/>
  <c r="O348" i="32"/>
  <c r="N348" i="32"/>
  <c r="L348" i="32"/>
  <c r="K348" i="32"/>
  <c r="J348" i="32"/>
  <c r="I348" i="32"/>
  <c r="H348" i="32"/>
  <c r="G348" i="32"/>
  <c r="F348" i="32"/>
  <c r="U347" i="32"/>
  <c r="T347" i="32"/>
  <c r="S347" i="32"/>
  <c r="Q347" i="32"/>
  <c r="P347" i="32"/>
  <c r="O347" i="32"/>
  <c r="N347" i="32"/>
  <c r="L347" i="32"/>
  <c r="K347" i="32"/>
  <c r="J347" i="32"/>
  <c r="I347" i="32"/>
  <c r="H347" i="32"/>
  <c r="G347" i="32"/>
  <c r="F347" i="32"/>
  <c r="U346" i="32"/>
  <c r="T346" i="32"/>
  <c r="S346" i="32"/>
  <c r="Q346" i="32"/>
  <c r="P346" i="32"/>
  <c r="O346" i="32"/>
  <c r="N346" i="32"/>
  <c r="L346" i="32"/>
  <c r="K346" i="32"/>
  <c r="J346" i="32"/>
  <c r="I346" i="32"/>
  <c r="H346" i="32"/>
  <c r="G346" i="32"/>
  <c r="F346" i="32"/>
  <c r="U345" i="32"/>
  <c r="T345" i="32"/>
  <c r="S345" i="32"/>
  <c r="Q345" i="32"/>
  <c r="P345" i="32"/>
  <c r="O345" i="32"/>
  <c r="N345" i="32"/>
  <c r="L345" i="32"/>
  <c r="K345" i="32"/>
  <c r="J345" i="32"/>
  <c r="I345" i="32"/>
  <c r="H345" i="32"/>
  <c r="G345" i="32"/>
  <c r="F345" i="32"/>
  <c r="U342" i="32"/>
  <c r="T342" i="32"/>
  <c r="S342" i="32"/>
  <c r="Q342" i="32"/>
  <c r="P342" i="32"/>
  <c r="O342" i="32"/>
  <c r="N342" i="32"/>
  <c r="L342" i="32"/>
  <c r="K342" i="32"/>
  <c r="J342" i="32"/>
  <c r="I342" i="32"/>
  <c r="H342" i="32"/>
  <c r="G342" i="32"/>
  <c r="F342" i="32"/>
  <c r="U341" i="32"/>
  <c r="T341" i="32"/>
  <c r="S341" i="32"/>
  <c r="Q341" i="32"/>
  <c r="P341" i="32"/>
  <c r="O341" i="32"/>
  <c r="N341" i="32"/>
  <c r="L341" i="32"/>
  <c r="K341" i="32"/>
  <c r="J341" i="32"/>
  <c r="I341" i="32"/>
  <c r="H341" i="32"/>
  <c r="G341" i="32"/>
  <c r="F341" i="32"/>
  <c r="U340" i="32"/>
  <c r="T340" i="32"/>
  <c r="S340" i="32"/>
  <c r="Q340" i="32"/>
  <c r="P340" i="32"/>
  <c r="O340" i="32"/>
  <c r="N340" i="32"/>
  <c r="L340" i="32"/>
  <c r="K340" i="32"/>
  <c r="J340" i="32"/>
  <c r="I340" i="32"/>
  <c r="H340" i="32"/>
  <c r="G340" i="32"/>
  <c r="F340" i="32"/>
  <c r="U339" i="32"/>
  <c r="T339" i="32"/>
  <c r="S339" i="32"/>
  <c r="Q339" i="32"/>
  <c r="P339" i="32"/>
  <c r="O339" i="32"/>
  <c r="N339" i="32"/>
  <c r="L339" i="32"/>
  <c r="K339" i="32"/>
  <c r="J339" i="32"/>
  <c r="I339" i="32"/>
  <c r="H339" i="32"/>
  <c r="G339" i="32"/>
  <c r="F339" i="32"/>
  <c r="U338" i="32"/>
  <c r="T338" i="32"/>
  <c r="S338" i="32"/>
  <c r="Q338" i="32"/>
  <c r="P338" i="32"/>
  <c r="O338" i="32"/>
  <c r="N338" i="32"/>
  <c r="L338" i="32"/>
  <c r="K338" i="32"/>
  <c r="J338" i="32"/>
  <c r="I338" i="32"/>
  <c r="H338" i="32"/>
  <c r="G338" i="32"/>
  <c r="F338" i="32"/>
  <c r="U337" i="32"/>
  <c r="T337" i="32"/>
  <c r="S337" i="32"/>
  <c r="Q337" i="32"/>
  <c r="P337" i="32"/>
  <c r="O337" i="32"/>
  <c r="N337" i="32"/>
  <c r="L337" i="32"/>
  <c r="K337" i="32"/>
  <c r="J337" i="32"/>
  <c r="I337" i="32"/>
  <c r="H337" i="32"/>
  <c r="G337" i="32"/>
  <c r="F337" i="32"/>
  <c r="U336" i="32"/>
  <c r="T336" i="32"/>
  <c r="S336" i="32"/>
  <c r="Q336" i="32"/>
  <c r="P336" i="32"/>
  <c r="O336" i="32"/>
  <c r="N336" i="32"/>
  <c r="L336" i="32"/>
  <c r="K336" i="32"/>
  <c r="J336" i="32"/>
  <c r="I336" i="32"/>
  <c r="H336" i="32"/>
  <c r="G336" i="32"/>
  <c r="F336" i="32"/>
  <c r="U326" i="32"/>
  <c r="T326" i="32"/>
  <c r="S326" i="32"/>
  <c r="Q326" i="32"/>
  <c r="P326" i="32"/>
  <c r="O326" i="32"/>
  <c r="N326" i="32"/>
  <c r="L326" i="32"/>
  <c r="K326" i="32"/>
  <c r="J326" i="32"/>
  <c r="I326" i="32"/>
  <c r="H326" i="32"/>
  <c r="G326" i="32"/>
  <c r="F326" i="32"/>
  <c r="U325" i="32"/>
  <c r="T325" i="32"/>
  <c r="S325" i="32"/>
  <c r="Q325" i="32"/>
  <c r="P325" i="32"/>
  <c r="O325" i="32"/>
  <c r="N325" i="32"/>
  <c r="L325" i="32"/>
  <c r="K325" i="32"/>
  <c r="J325" i="32"/>
  <c r="I325" i="32"/>
  <c r="H325" i="32"/>
  <c r="G325" i="32"/>
  <c r="F325" i="32"/>
  <c r="U324" i="32"/>
  <c r="T324" i="32"/>
  <c r="S324" i="32"/>
  <c r="Q324" i="32"/>
  <c r="P324" i="32"/>
  <c r="O324" i="32"/>
  <c r="N324" i="32"/>
  <c r="L324" i="32"/>
  <c r="K324" i="32"/>
  <c r="J324" i="32"/>
  <c r="I324" i="32"/>
  <c r="H324" i="32"/>
  <c r="G324" i="32"/>
  <c r="F324" i="32"/>
  <c r="U323" i="32"/>
  <c r="T323" i="32"/>
  <c r="S323" i="32"/>
  <c r="Q323" i="32"/>
  <c r="P323" i="32"/>
  <c r="O323" i="32"/>
  <c r="N323" i="32"/>
  <c r="L323" i="32"/>
  <c r="K323" i="32"/>
  <c r="J323" i="32"/>
  <c r="I323" i="32"/>
  <c r="H323" i="32"/>
  <c r="G323" i="32"/>
  <c r="F323" i="32"/>
  <c r="U322" i="32"/>
  <c r="T322" i="32"/>
  <c r="S322" i="32"/>
  <c r="Q322" i="32"/>
  <c r="P322" i="32"/>
  <c r="O322" i="32"/>
  <c r="N322" i="32"/>
  <c r="L322" i="32"/>
  <c r="K322" i="32"/>
  <c r="J322" i="32"/>
  <c r="I322" i="32"/>
  <c r="H322" i="32"/>
  <c r="G322" i="32"/>
  <c r="F322" i="32"/>
  <c r="U321" i="32"/>
  <c r="T321" i="32"/>
  <c r="S321" i="32"/>
  <c r="Q321" i="32"/>
  <c r="P321" i="32"/>
  <c r="O321" i="32"/>
  <c r="N321" i="32"/>
  <c r="L321" i="32"/>
  <c r="K321" i="32"/>
  <c r="J321" i="32"/>
  <c r="I321" i="32"/>
  <c r="H321" i="32"/>
  <c r="G321" i="32"/>
  <c r="F321" i="32"/>
  <c r="U320" i="32"/>
  <c r="T320" i="32"/>
  <c r="S320" i="32"/>
  <c r="Q320" i="32"/>
  <c r="P320" i="32"/>
  <c r="O320" i="32"/>
  <c r="N320" i="32"/>
  <c r="L320" i="32"/>
  <c r="K320" i="32"/>
  <c r="J320" i="32"/>
  <c r="I320" i="32"/>
  <c r="H320" i="32"/>
  <c r="G320" i="32"/>
  <c r="F320" i="32"/>
  <c r="E311" i="32"/>
  <c r="H306" i="32"/>
  <c r="G306" i="32"/>
  <c r="F306" i="32"/>
  <c r="H305" i="32"/>
  <c r="G305" i="32"/>
  <c r="F305" i="32"/>
  <c r="H304" i="32"/>
  <c r="G304" i="32"/>
  <c r="F304" i="32"/>
  <c r="H303" i="32"/>
  <c r="G303" i="32"/>
  <c r="F303" i="32"/>
  <c r="H302" i="32"/>
  <c r="G302" i="32"/>
  <c r="F302" i="32"/>
  <c r="H301" i="32"/>
  <c r="G301" i="32"/>
  <c r="F301" i="32"/>
  <c r="H300" i="32"/>
  <c r="G300" i="32"/>
  <c r="F300" i="32"/>
  <c r="W290" i="32"/>
  <c r="U290" i="32"/>
  <c r="T290" i="32"/>
  <c r="S290" i="32"/>
  <c r="Q290" i="32"/>
  <c r="P290" i="32"/>
  <c r="O290" i="32"/>
  <c r="N290" i="32"/>
  <c r="L290" i="32"/>
  <c r="K290" i="32"/>
  <c r="J290" i="32"/>
  <c r="I290" i="32"/>
  <c r="H290" i="32"/>
  <c r="G290" i="32"/>
  <c r="F290" i="32"/>
  <c r="W289" i="32"/>
  <c r="U289" i="32"/>
  <c r="T289" i="32"/>
  <c r="S289" i="32"/>
  <c r="Q289" i="32"/>
  <c r="P289" i="32"/>
  <c r="O289" i="32"/>
  <c r="N289" i="32"/>
  <c r="L289" i="32"/>
  <c r="K289" i="32"/>
  <c r="J289" i="32"/>
  <c r="I289" i="32"/>
  <c r="H289" i="32"/>
  <c r="G289" i="32"/>
  <c r="F289" i="32"/>
  <c r="W288" i="32"/>
  <c r="U288" i="32"/>
  <c r="T288" i="32"/>
  <c r="S288" i="32"/>
  <c r="Q288" i="32"/>
  <c r="P288" i="32"/>
  <c r="O288" i="32"/>
  <c r="N288" i="32"/>
  <c r="L288" i="32"/>
  <c r="K288" i="32"/>
  <c r="J288" i="32"/>
  <c r="I288" i="32"/>
  <c r="H288" i="32"/>
  <c r="G288" i="32"/>
  <c r="F288" i="32"/>
  <c r="W287" i="32"/>
  <c r="U287" i="32"/>
  <c r="T287" i="32"/>
  <c r="S287" i="32"/>
  <c r="Q287" i="32"/>
  <c r="P287" i="32"/>
  <c r="O287" i="32"/>
  <c r="N287" i="32"/>
  <c r="L287" i="32"/>
  <c r="K287" i="32"/>
  <c r="J287" i="32"/>
  <c r="I287" i="32"/>
  <c r="H287" i="32"/>
  <c r="G287" i="32"/>
  <c r="F287" i="32"/>
  <c r="W286" i="32"/>
  <c r="U286" i="32"/>
  <c r="T286" i="32"/>
  <c r="S286" i="32"/>
  <c r="Q286" i="32"/>
  <c r="P286" i="32"/>
  <c r="O286" i="32"/>
  <c r="N286" i="32"/>
  <c r="L286" i="32"/>
  <c r="K286" i="32"/>
  <c r="J286" i="32"/>
  <c r="I286" i="32"/>
  <c r="H286" i="32"/>
  <c r="G286" i="32"/>
  <c r="F286" i="32"/>
  <c r="W285" i="32"/>
  <c r="U285" i="32"/>
  <c r="T285" i="32"/>
  <c r="S285" i="32"/>
  <c r="Q285" i="32"/>
  <c r="P285" i="32"/>
  <c r="O285" i="32"/>
  <c r="N285" i="32"/>
  <c r="L285" i="32"/>
  <c r="K285" i="32"/>
  <c r="J285" i="32"/>
  <c r="I285" i="32"/>
  <c r="H285" i="32"/>
  <c r="G285" i="32"/>
  <c r="F285" i="32"/>
  <c r="W284" i="32"/>
  <c r="U284" i="32"/>
  <c r="T284" i="32"/>
  <c r="S284" i="32"/>
  <c r="Q284" i="32"/>
  <c r="P284" i="32"/>
  <c r="O284" i="32"/>
  <c r="N284" i="32"/>
  <c r="L284" i="32"/>
  <c r="K284" i="32"/>
  <c r="J284" i="32"/>
  <c r="I284" i="32"/>
  <c r="H284" i="32"/>
  <c r="G284" i="32"/>
  <c r="F284" i="32"/>
  <c r="W274" i="32"/>
  <c r="U274" i="32"/>
  <c r="T274" i="32"/>
  <c r="S274" i="32"/>
  <c r="Q274" i="32"/>
  <c r="P274" i="32"/>
  <c r="O274" i="32"/>
  <c r="N274" i="32"/>
  <c r="L274" i="32"/>
  <c r="K274" i="32"/>
  <c r="J274" i="32"/>
  <c r="I274" i="32"/>
  <c r="H274" i="32"/>
  <c r="G274" i="32"/>
  <c r="F274" i="32"/>
  <c r="W273" i="32"/>
  <c r="U273" i="32"/>
  <c r="T273" i="32"/>
  <c r="S273" i="32"/>
  <c r="Q273" i="32"/>
  <c r="P273" i="32"/>
  <c r="O273" i="32"/>
  <c r="N273" i="32"/>
  <c r="L273" i="32"/>
  <c r="K273" i="32"/>
  <c r="J273" i="32"/>
  <c r="I273" i="32"/>
  <c r="H273" i="32"/>
  <c r="G273" i="32"/>
  <c r="F273" i="32"/>
  <c r="W272" i="32"/>
  <c r="U272" i="32"/>
  <c r="T272" i="32"/>
  <c r="S272" i="32"/>
  <c r="Q272" i="32"/>
  <c r="P272" i="32"/>
  <c r="O272" i="32"/>
  <c r="N272" i="32"/>
  <c r="L272" i="32"/>
  <c r="K272" i="32"/>
  <c r="J272" i="32"/>
  <c r="I272" i="32"/>
  <c r="H272" i="32"/>
  <c r="G272" i="32"/>
  <c r="F272" i="32"/>
  <c r="W271" i="32"/>
  <c r="U271" i="32"/>
  <c r="T271" i="32"/>
  <c r="S271" i="32"/>
  <c r="Q271" i="32"/>
  <c r="P271" i="32"/>
  <c r="O271" i="32"/>
  <c r="N271" i="32"/>
  <c r="L271" i="32"/>
  <c r="K271" i="32"/>
  <c r="J271" i="32"/>
  <c r="I271" i="32"/>
  <c r="H271" i="32"/>
  <c r="G271" i="32"/>
  <c r="F271" i="32"/>
  <c r="W270" i="32"/>
  <c r="U270" i="32"/>
  <c r="T270" i="32"/>
  <c r="S270" i="32"/>
  <c r="Q270" i="32"/>
  <c r="P270" i="32"/>
  <c r="O270" i="32"/>
  <c r="N270" i="32"/>
  <c r="L270" i="32"/>
  <c r="K270" i="32"/>
  <c r="J270" i="32"/>
  <c r="I270" i="32"/>
  <c r="H270" i="32"/>
  <c r="G270" i="32"/>
  <c r="F270" i="32"/>
  <c r="W269" i="32"/>
  <c r="U269" i="32"/>
  <c r="T269" i="32"/>
  <c r="S269" i="32"/>
  <c r="Q269" i="32"/>
  <c r="P269" i="32"/>
  <c r="O269" i="32"/>
  <c r="N269" i="32"/>
  <c r="L269" i="32"/>
  <c r="K269" i="32"/>
  <c r="J269" i="32"/>
  <c r="I269" i="32"/>
  <c r="H269" i="32"/>
  <c r="G269" i="32"/>
  <c r="F269" i="32"/>
  <c r="W268" i="32"/>
  <c r="U268" i="32"/>
  <c r="T268" i="32"/>
  <c r="S268" i="32"/>
  <c r="Q268" i="32"/>
  <c r="P268" i="32"/>
  <c r="O268" i="32"/>
  <c r="N268" i="32"/>
  <c r="L268" i="32"/>
  <c r="K268" i="32"/>
  <c r="J268" i="32"/>
  <c r="I268" i="32"/>
  <c r="H268" i="32"/>
  <c r="G268" i="32"/>
  <c r="F268" i="32"/>
  <c r="W265" i="32"/>
  <c r="U265" i="32"/>
  <c r="T265" i="32"/>
  <c r="S265" i="32"/>
  <c r="Q265" i="32"/>
  <c r="P265" i="32"/>
  <c r="O265" i="32"/>
  <c r="N265" i="32"/>
  <c r="L265" i="32"/>
  <c r="K265" i="32"/>
  <c r="J265" i="32"/>
  <c r="I265" i="32"/>
  <c r="H265" i="32"/>
  <c r="G265" i="32"/>
  <c r="F265" i="32"/>
  <c r="W264" i="32"/>
  <c r="U264" i="32"/>
  <c r="T264" i="32"/>
  <c r="S264" i="32"/>
  <c r="Q264" i="32"/>
  <c r="P264" i="32"/>
  <c r="O264" i="32"/>
  <c r="N264" i="32"/>
  <c r="L264" i="32"/>
  <c r="K264" i="32"/>
  <c r="J264" i="32"/>
  <c r="I264" i="32"/>
  <c r="H264" i="32"/>
  <c r="G264" i="32"/>
  <c r="F264" i="32"/>
  <c r="W263" i="32"/>
  <c r="U263" i="32"/>
  <c r="T263" i="32"/>
  <c r="S263" i="32"/>
  <c r="Q263" i="32"/>
  <c r="P263" i="32"/>
  <c r="O263" i="32"/>
  <c r="N263" i="32"/>
  <c r="L263" i="32"/>
  <c r="K263" i="32"/>
  <c r="J263" i="32"/>
  <c r="I263" i="32"/>
  <c r="H263" i="32"/>
  <c r="G263" i="32"/>
  <c r="F263" i="32"/>
  <c r="W262" i="32"/>
  <c r="U262" i="32"/>
  <c r="T262" i="32"/>
  <c r="S262" i="32"/>
  <c r="Q262" i="32"/>
  <c r="P262" i="32"/>
  <c r="O262" i="32"/>
  <c r="N262" i="32"/>
  <c r="L262" i="32"/>
  <c r="K262" i="32"/>
  <c r="J262" i="32"/>
  <c r="I262" i="32"/>
  <c r="H262" i="32"/>
  <c r="G262" i="32"/>
  <c r="F262" i="32"/>
  <c r="W261" i="32"/>
  <c r="U261" i="32"/>
  <c r="T261" i="32"/>
  <c r="S261" i="32"/>
  <c r="Q261" i="32"/>
  <c r="P261" i="32"/>
  <c r="O261" i="32"/>
  <c r="N261" i="32"/>
  <c r="L261" i="32"/>
  <c r="K261" i="32"/>
  <c r="J261" i="32"/>
  <c r="I261" i="32"/>
  <c r="H261" i="32"/>
  <c r="G261" i="32"/>
  <c r="F261" i="32"/>
  <c r="W260" i="32"/>
  <c r="U260" i="32"/>
  <c r="T260" i="32"/>
  <c r="S260" i="32"/>
  <c r="Q260" i="32"/>
  <c r="P260" i="32"/>
  <c r="O260" i="32"/>
  <c r="N260" i="32"/>
  <c r="L260" i="32"/>
  <c r="K260" i="32"/>
  <c r="J260" i="32"/>
  <c r="I260" i="32"/>
  <c r="H260" i="32"/>
  <c r="G260" i="32"/>
  <c r="F260" i="32"/>
  <c r="W259" i="32"/>
  <c r="U259" i="32"/>
  <c r="T259" i="32"/>
  <c r="S259" i="32"/>
  <c r="Q259" i="32"/>
  <c r="P259" i="32"/>
  <c r="O259" i="32"/>
  <c r="N259" i="32"/>
  <c r="L259" i="32"/>
  <c r="K259" i="32"/>
  <c r="J259" i="32"/>
  <c r="I259" i="32"/>
  <c r="H259" i="32"/>
  <c r="G259" i="32"/>
  <c r="F259" i="32"/>
  <c r="W249" i="32"/>
  <c r="U249" i="32"/>
  <c r="T249" i="32"/>
  <c r="S249" i="32"/>
  <c r="Q249" i="32"/>
  <c r="P249" i="32"/>
  <c r="O249" i="32"/>
  <c r="N249" i="32"/>
  <c r="L249" i="32"/>
  <c r="K249" i="32"/>
  <c r="J249" i="32"/>
  <c r="I249" i="32"/>
  <c r="H249" i="32"/>
  <c r="G249" i="32"/>
  <c r="F249" i="32"/>
  <c r="W248" i="32"/>
  <c r="U248" i="32"/>
  <c r="T248" i="32"/>
  <c r="S248" i="32"/>
  <c r="Q248" i="32"/>
  <c r="P248" i="32"/>
  <c r="O248" i="32"/>
  <c r="N248" i="32"/>
  <c r="L248" i="32"/>
  <c r="K248" i="32"/>
  <c r="J248" i="32"/>
  <c r="I248" i="32"/>
  <c r="H248" i="32"/>
  <c r="G248" i="32"/>
  <c r="F248" i="32"/>
  <c r="W247" i="32"/>
  <c r="U247" i="32"/>
  <c r="T247" i="32"/>
  <c r="S247" i="32"/>
  <c r="Q247" i="32"/>
  <c r="P247" i="32"/>
  <c r="O247" i="32"/>
  <c r="N247" i="32"/>
  <c r="L247" i="32"/>
  <c r="K247" i="32"/>
  <c r="J247" i="32"/>
  <c r="I247" i="32"/>
  <c r="H247" i="32"/>
  <c r="G247" i="32"/>
  <c r="F247" i="32"/>
  <c r="W246" i="32"/>
  <c r="U246" i="32"/>
  <c r="T246" i="32"/>
  <c r="S246" i="32"/>
  <c r="Q246" i="32"/>
  <c r="P246" i="32"/>
  <c r="O246" i="32"/>
  <c r="N246" i="32"/>
  <c r="L246" i="32"/>
  <c r="K246" i="32"/>
  <c r="J246" i="32"/>
  <c r="I246" i="32"/>
  <c r="H246" i="32"/>
  <c r="G246" i="32"/>
  <c r="F246" i="32"/>
  <c r="W245" i="32"/>
  <c r="U245" i="32"/>
  <c r="T245" i="32"/>
  <c r="S245" i="32"/>
  <c r="Q245" i="32"/>
  <c r="P245" i="32"/>
  <c r="O245" i="32"/>
  <c r="N245" i="32"/>
  <c r="L245" i="32"/>
  <c r="K245" i="32"/>
  <c r="J245" i="32"/>
  <c r="I245" i="32"/>
  <c r="H245" i="32"/>
  <c r="G245" i="32"/>
  <c r="F245" i="32"/>
  <c r="W244" i="32"/>
  <c r="U244" i="32"/>
  <c r="T244" i="32"/>
  <c r="S244" i="32"/>
  <c r="Q244" i="32"/>
  <c r="P244" i="32"/>
  <c r="O244" i="32"/>
  <c r="N244" i="32"/>
  <c r="L244" i="32"/>
  <c r="K244" i="32"/>
  <c r="J244" i="32"/>
  <c r="I244" i="32"/>
  <c r="H244" i="32"/>
  <c r="G244" i="32"/>
  <c r="F244" i="32"/>
  <c r="W243" i="32"/>
  <c r="U243" i="32"/>
  <c r="T243" i="32"/>
  <c r="S243" i="32"/>
  <c r="Q243" i="32"/>
  <c r="P243" i="32"/>
  <c r="O243" i="32"/>
  <c r="N243" i="32"/>
  <c r="L243" i="32"/>
  <c r="K243" i="32"/>
  <c r="J243" i="32"/>
  <c r="I243" i="32"/>
  <c r="H243" i="32"/>
  <c r="G243" i="32"/>
  <c r="F243" i="32"/>
  <c r="E234" i="32"/>
  <c r="H229" i="32"/>
  <c r="G229" i="32"/>
  <c r="F229" i="32"/>
  <c r="H228" i="32"/>
  <c r="G228" i="32"/>
  <c r="F228" i="32"/>
  <c r="H227" i="32"/>
  <c r="G227" i="32"/>
  <c r="F227" i="32"/>
  <c r="H226" i="32"/>
  <c r="G226" i="32"/>
  <c r="F226" i="32"/>
  <c r="H225" i="32"/>
  <c r="G225" i="32"/>
  <c r="F225" i="32"/>
  <c r="H224" i="32"/>
  <c r="G224" i="32"/>
  <c r="F224" i="32"/>
  <c r="H223" i="32"/>
  <c r="G223" i="32"/>
  <c r="W213" i="32"/>
  <c r="U213" i="32"/>
  <c r="T213" i="32"/>
  <c r="S213" i="32"/>
  <c r="Q213" i="32"/>
  <c r="P213" i="32"/>
  <c r="O213" i="32"/>
  <c r="N213" i="32"/>
  <c r="L213" i="32"/>
  <c r="K213" i="32"/>
  <c r="J213" i="32"/>
  <c r="I213" i="32"/>
  <c r="H213" i="32"/>
  <c r="G213" i="32"/>
  <c r="F213" i="32"/>
  <c r="W212" i="32"/>
  <c r="U212" i="32"/>
  <c r="T212" i="32"/>
  <c r="S212" i="32"/>
  <c r="Q212" i="32"/>
  <c r="P212" i="32"/>
  <c r="O212" i="32"/>
  <c r="N212" i="32"/>
  <c r="L212" i="32"/>
  <c r="K212" i="32"/>
  <c r="J212" i="32"/>
  <c r="I212" i="32"/>
  <c r="H212" i="32"/>
  <c r="G212" i="32"/>
  <c r="F212" i="32"/>
  <c r="W211" i="32"/>
  <c r="U211" i="32"/>
  <c r="T211" i="32"/>
  <c r="S211" i="32"/>
  <c r="Q211" i="32"/>
  <c r="P211" i="32"/>
  <c r="O211" i="32"/>
  <c r="N211" i="32"/>
  <c r="L211" i="32"/>
  <c r="K211" i="32"/>
  <c r="J211" i="32"/>
  <c r="I211" i="32"/>
  <c r="H211" i="32"/>
  <c r="G211" i="32"/>
  <c r="F211" i="32"/>
  <c r="W210" i="32"/>
  <c r="U210" i="32"/>
  <c r="T210" i="32"/>
  <c r="S210" i="32"/>
  <c r="Q210" i="32"/>
  <c r="P210" i="32"/>
  <c r="O210" i="32"/>
  <c r="N210" i="32"/>
  <c r="L210" i="32"/>
  <c r="K210" i="32"/>
  <c r="J210" i="32"/>
  <c r="I210" i="32"/>
  <c r="H210" i="32"/>
  <c r="G210" i="32"/>
  <c r="F210" i="32"/>
  <c r="W209" i="32"/>
  <c r="U209" i="32"/>
  <c r="T209" i="32"/>
  <c r="S209" i="32"/>
  <c r="Q209" i="32"/>
  <c r="P209" i="32"/>
  <c r="O209" i="32"/>
  <c r="N209" i="32"/>
  <c r="L209" i="32"/>
  <c r="K209" i="32"/>
  <c r="J209" i="32"/>
  <c r="I209" i="32"/>
  <c r="H209" i="32"/>
  <c r="G209" i="32"/>
  <c r="F209" i="32"/>
  <c r="W208" i="32"/>
  <c r="U208" i="32"/>
  <c r="T208" i="32"/>
  <c r="S208" i="32"/>
  <c r="Q208" i="32"/>
  <c r="P208" i="32"/>
  <c r="O208" i="32"/>
  <c r="N208" i="32"/>
  <c r="L208" i="32"/>
  <c r="K208" i="32"/>
  <c r="J208" i="32"/>
  <c r="I208" i="32"/>
  <c r="H208" i="32"/>
  <c r="G208" i="32"/>
  <c r="F208" i="32"/>
  <c r="W207" i="32"/>
  <c r="U207" i="32"/>
  <c r="T207" i="32"/>
  <c r="S207" i="32"/>
  <c r="Q207" i="32"/>
  <c r="P207" i="32"/>
  <c r="O207" i="32"/>
  <c r="N207" i="32"/>
  <c r="L207" i="32"/>
  <c r="K207" i="32"/>
  <c r="J207" i="32"/>
  <c r="I207" i="32"/>
  <c r="H207" i="32"/>
  <c r="G207" i="32"/>
  <c r="F207" i="32"/>
  <c r="W197" i="32"/>
  <c r="U197" i="32"/>
  <c r="T197" i="32"/>
  <c r="S197" i="32"/>
  <c r="Q197" i="32"/>
  <c r="P197" i="32"/>
  <c r="O197" i="32"/>
  <c r="N197" i="32"/>
  <c r="L197" i="32"/>
  <c r="K197" i="32"/>
  <c r="J197" i="32"/>
  <c r="I197" i="32"/>
  <c r="H197" i="32"/>
  <c r="G197" i="32"/>
  <c r="F197" i="32"/>
  <c r="W196" i="32"/>
  <c r="U196" i="32"/>
  <c r="T196" i="32"/>
  <c r="S196" i="32"/>
  <c r="Q196" i="32"/>
  <c r="P196" i="32"/>
  <c r="O196" i="32"/>
  <c r="N196" i="32"/>
  <c r="L196" i="32"/>
  <c r="K196" i="32"/>
  <c r="J196" i="32"/>
  <c r="I196" i="32"/>
  <c r="H196" i="32"/>
  <c r="G196" i="32"/>
  <c r="F196" i="32"/>
  <c r="W195" i="32"/>
  <c r="U195" i="32"/>
  <c r="T195" i="32"/>
  <c r="S195" i="32"/>
  <c r="Q195" i="32"/>
  <c r="P195" i="32"/>
  <c r="O195" i="32"/>
  <c r="N195" i="32"/>
  <c r="L195" i="32"/>
  <c r="K195" i="32"/>
  <c r="J195" i="32"/>
  <c r="I195" i="32"/>
  <c r="H195" i="32"/>
  <c r="G195" i="32"/>
  <c r="F195" i="32"/>
  <c r="W194" i="32"/>
  <c r="U194" i="32"/>
  <c r="T194" i="32"/>
  <c r="S194" i="32"/>
  <c r="Q194" i="32"/>
  <c r="P194" i="32"/>
  <c r="O194" i="32"/>
  <c r="N194" i="32"/>
  <c r="L194" i="32"/>
  <c r="K194" i="32"/>
  <c r="J194" i="32"/>
  <c r="I194" i="32"/>
  <c r="H194" i="32"/>
  <c r="G194" i="32"/>
  <c r="F194" i="32"/>
  <c r="W193" i="32"/>
  <c r="U193" i="32"/>
  <c r="T193" i="32"/>
  <c r="S193" i="32"/>
  <c r="Q193" i="32"/>
  <c r="P193" i="32"/>
  <c r="O193" i="32"/>
  <c r="N193" i="32"/>
  <c r="L193" i="32"/>
  <c r="K193" i="32"/>
  <c r="J193" i="32"/>
  <c r="I193" i="32"/>
  <c r="H193" i="32"/>
  <c r="G193" i="32"/>
  <c r="F193" i="32"/>
  <c r="W192" i="32"/>
  <c r="U192" i="32"/>
  <c r="T192" i="32"/>
  <c r="S192" i="32"/>
  <c r="Q192" i="32"/>
  <c r="P192" i="32"/>
  <c r="O192" i="32"/>
  <c r="N192" i="32"/>
  <c r="L192" i="32"/>
  <c r="K192" i="32"/>
  <c r="J192" i="32"/>
  <c r="I192" i="32"/>
  <c r="H192" i="32"/>
  <c r="G192" i="32"/>
  <c r="F192" i="32"/>
  <c r="W191" i="32"/>
  <c r="U191" i="32"/>
  <c r="T191" i="32"/>
  <c r="S191" i="32"/>
  <c r="Q191" i="32"/>
  <c r="P191" i="32"/>
  <c r="O191" i="32"/>
  <c r="N191" i="32"/>
  <c r="L191" i="32"/>
  <c r="K191" i="32"/>
  <c r="J191" i="32"/>
  <c r="I191" i="32"/>
  <c r="H191" i="32"/>
  <c r="G191" i="32"/>
  <c r="F191" i="32"/>
  <c r="W188" i="32"/>
  <c r="U188" i="32"/>
  <c r="T188" i="32"/>
  <c r="S188" i="32"/>
  <c r="Q188" i="32"/>
  <c r="P188" i="32"/>
  <c r="O188" i="32"/>
  <c r="N188" i="32"/>
  <c r="L188" i="32"/>
  <c r="K188" i="32"/>
  <c r="J188" i="32"/>
  <c r="I188" i="32"/>
  <c r="H188" i="32"/>
  <c r="G188" i="32"/>
  <c r="F188" i="32"/>
  <c r="W187" i="32"/>
  <c r="U187" i="32"/>
  <c r="T187" i="32"/>
  <c r="S187" i="32"/>
  <c r="Q187" i="32"/>
  <c r="P187" i="32"/>
  <c r="O187" i="32"/>
  <c r="N187" i="32"/>
  <c r="L187" i="32"/>
  <c r="K187" i="32"/>
  <c r="J187" i="32"/>
  <c r="I187" i="32"/>
  <c r="H187" i="32"/>
  <c r="G187" i="32"/>
  <c r="F187" i="32"/>
  <c r="W186" i="32"/>
  <c r="U186" i="32"/>
  <c r="T186" i="32"/>
  <c r="S186" i="32"/>
  <c r="Q186" i="32"/>
  <c r="P186" i="32"/>
  <c r="O186" i="32"/>
  <c r="N186" i="32"/>
  <c r="L186" i="32"/>
  <c r="K186" i="32"/>
  <c r="J186" i="32"/>
  <c r="I186" i="32"/>
  <c r="H186" i="32"/>
  <c r="G186" i="32"/>
  <c r="F186" i="32"/>
  <c r="W185" i="32"/>
  <c r="U185" i="32"/>
  <c r="T185" i="32"/>
  <c r="S185" i="32"/>
  <c r="Q185" i="32"/>
  <c r="P185" i="32"/>
  <c r="O185" i="32"/>
  <c r="N185" i="32"/>
  <c r="L185" i="32"/>
  <c r="K185" i="32"/>
  <c r="J185" i="32"/>
  <c r="I185" i="32"/>
  <c r="H185" i="32"/>
  <c r="G185" i="32"/>
  <c r="F185" i="32"/>
  <c r="W184" i="32"/>
  <c r="U184" i="32"/>
  <c r="T184" i="32"/>
  <c r="S184" i="32"/>
  <c r="Q184" i="32"/>
  <c r="P184" i="32"/>
  <c r="O184" i="32"/>
  <c r="N184" i="32"/>
  <c r="L184" i="32"/>
  <c r="K184" i="32"/>
  <c r="J184" i="32"/>
  <c r="I184" i="32"/>
  <c r="H184" i="32"/>
  <c r="G184" i="32"/>
  <c r="F184" i="32"/>
  <c r="W183" i="32"/>
  <c r="U183" i="32"/>
  <c r="T183" i="32"/>
  <c r="S183" i="32"/>
  <c r="Q183" i="32"/>
  <c r="P183" i="32"/>
  <c r="O183" i="32"/>
  <c r="N183" i="32"/>
  <c r="L183" i="32"/>
  <c r="K183" i="32"/>
  <c r="J183" i="32"/>
  <c r="I183" i="32"/>
  <c r="H183" i="32"/>
  <c r="G183" i="32"/>
  <c r="F183" i="32"/>
  <c r="W182" i="32"/>
  <c r="U182" i="32"/>
  <c r="T182" i="32"/>
  <c r="S182" i="32"/>
  <c r="Q182" i="32"/>
  <c r="P182" i="32"/>
  <c r="O182" i="32"/>
  <c r="N182" i="32"/>
  <c r="L182" i="32"/>
  <c r="K182" i="32"/>
  <c r="J182" i="32"/>
  <c r="I182" i="32"/>
  <c r="H182" i="32"/>
  <c r="G182" i="32"/>
  <c r="F182" i="32"/>
  <c r="W172" i="32"/>
  <c r="U172" i="32"/>
  <c r="T172" i="32"/>
  <c r="S172" i="32"/>
  <c r="Q172" i="32"/>
  <c r="P172" i="32"/>
  <c r="O172" i="32"/>
  <c r="N172" i="32"/>
  <c r="L172" i="32"/>
  <c r="K172" i="32"/>
  <c r="J172" i="32"/>
  <c r="I172" i="32"/>
  <c r="H172" i="32"/>
  <c r="G172" i="32"/>
  <c r="F172" i="32"/>
  <c r="W171" i="32"/>
  <c r="U171" i="32"/>
  <c r="T171" i="32"/>
  <c r="S171" i="32"/>
  <c r="Q171" i="32"/>
  <c r="P171" i="32"/>
  <c r="O171" i="32"/>
  <c r="N171" i="32"/>
  <c r="L171" i="32"/>
  <c r="K171" i="32"/>
  <c r="J171" i="32"/>
  <c r="I171" i="32"/>
  <c r="H171" i="32"/>
  <c r="G171" i="32"/>
  <c r="F171" i="32"/>
  <c r="W170" i="32"/>
  <c r="U170" i="32"/>
  <c r="T170" i="32"/>
  <c r="S170" i="32"/>
  <c r="Q170" i="32"/>
  <c r="P170" i="32"/>
  <c r="O170" i="32"/>
  <c r="N170" i="32"/>
  <c r="L170" i="32"/>
  <c r="K170" i="32"/>
  <c r="J170" i="32"/>
  <c r="I170" i="32"/>
  <c r="H170" i="32"/>
  <c r="G170" i="32"/>
  <c r="F170" i="32"/>
  <c r="W169" i="32"/>
  <c r="U169" i="32"/>
  <c r="T169" i="32"/>
  <c r="S169" i="32"/>
  <c r="Q169" i="32"/>
  <c r="P169" i="32"/>
  <c r="O169" i="32"/>
  <c r="N169" i="32"/>
  <c r="L169" i="32"/>
  <c r="K169" i="32"/>
  <c r="J169" i="32"/>
  <c r="I169" i="32"/>
  <c r="H169" i="32"/>
  <c r="G169" i="32"/>
  <c r="F169" i="32"/>
  <c r="W168" i="32"/>
  <c r="U168" i="32"/>
  <c r="T168" i="32"/>
  <c r="S168" i="32"/>
  <c r="Q168" i="32"/>
  <c r="P168" i="32"/>
  <c r="O168" i="32"/>
  <c r="N168" i="32"/>
  <c r="L168" i="32"/>
  <c r="K168" i="32"/>
  <c r="J168" i="32"/>
  <c r="I168" i="32"/>
  <c r="H168" i="32"/>
  <c r="G168" i="32"/>
  <c r="F168" i="32"/>
  <c r="W167" i="32"/>
  <c r="U167" i="32"/>
  <c r="T167" i="32"/>
  <c r="S167" i="32"/>
  <c r="Q167" i="32"/>
  <c r="P167" i="32"/>
  <c r="O167" i="32"/>
  <c r="N167" i="32"/>
  <c r="L167" i="32"/>
  <c r="K167" i="32"/>
  <c r="J167" i="32"/>
  <c r="I167" i="32"/>
  <c r="H167" i="32"/>
  <c r="G167" i="32"/>
  <c r="F167" i="32"/>
  <c r="W166" i="32"/>
  <c r="U166" i="32"/>
  <c r="T166" i="32"/>
  <c r="S166" i="32"/>
  <c r="Q166" i="32"/>
  <c r="P166" i="32"/>
  <c r="O166" i="32"/>
  <c r="N166" i="32"/>
  <c r="L166" i="32"/>
  <c r="K166" i="32"/>
  <c r="J166" i="32"/>
  <c r="I166" i="32"/>
  <c r="H166" i="32"/>
  <c r="G166" i="32"/>
  <c r="F166" i="32"/>
  <c r="E157" i="32"/>
  <c r="H152" i="32"/>
  <c r="G152" i="32"/>
  <c r="F152" i="32"/>
  <c r="H151" i="32"/>
  <c r="G151" i="32"/>
  <c r="F151" i="32"/>
  <c r="H150" i="32"/>
  <c r="G150" i="32"/>
  <c r="F150" i="32"/>
  <c r="H149" i="32"/>
  <c r="G149" i="32"/>
  <c r="F149" i="32"/>
  <c r="H148" i="32"/>
  <c r="G148" i="32"/>
  <c r="F148" i="32"/>
  <c r="H147" i="32"/>
  <c r="G147" i="32"/>
  <c r="F147" i="32"/>
  <c r="H146" i="32"/>
  <c r="G146" i="32"/>
  <c r="F146" i="32"/>
  <c r="W136" i="32"/>
  <c r="U136" i="32"/>
  <c r="T136" i="32"/>
  <c r="S136" i="32"/>
  <c r="Q136" i="32"/>
  <c r="P136" i="32"/>
  <c r="O136" i="32"/>
  <c r="N136" i="32"/>
  <c r="L136" i="32"/>
  <c r="K136" i="32"/>
  <c r="J136" i="32"/>
  <c r="I136" i="32"/>
  <c r="H136" i="32"/>
  <c r="G136" i="32"/>
  <c r="F136" i="32"/>
  <c r="W135" i="32"/>
  <c r="U135" i="32"/>
  <c r="T135" i="32"/>
  <c r="S135" i="32"/>
  <c r="Q135" i="32"/>
  <c r="P135" i="32"/>
  <c r="O135" i="32"/>
  <c r="N135" i="32"/>
  <c r="L135" i="32"/>
  <c r="K135" i="32"/>
  <c r="J135" i="32"/>
  <c r="I135" i="32"/>
  <c r="H135" i="32"/>
  <c r="G135" i="32"/>
  <c r="F135" i="32"/>
  <c r="W134" i="32"/>
  <c r="U134" i="32"/>
  <c r="T134" i="32"/>
  <c r="S134" i="32"/>
  <c r="Q134" i="32"/>
  <c r="P134" i="32"/>
  <c r="O134" i="32"/>
  <c r="N134" i="32"/>
  <c r="L134" i="32"/>
  <c r="K134" i="32"/>
  <c r="J134" i="32"/>
  <c r="I134" i="32"/>
  <c r="H134" i="32"/>
  <c r="G134" i="32"/>
  <c r="F134" i="32"/>
  <c r="W133" i="32"/>
  <c r="U133" i="32"/>
  <c r="T133" i="32"/>
  <c r="S133" i="32"/>
  <c r="Q133" i="32"/>
  <c r="P133" i="32"/>
  <c r="O133" i="32"/>
  <c r="N133" i="32"/>
  <c r="L133" i="32"/>
  <c r="K133" i="32"/>
  <c r="J133" i="32"/>
  <c r="I133" i="32"/>
  <c r="H133" i="32"/>
  <c r="G133" i="32"/>
  <c r="F133" i="32"/>
  <c r="W132" i="32"/>
  <c r="U132" i="32"/>
  <c r="T132" i="32"/>
  <c r="S132" i="32"/>
  <c r="Q132" i="32"/>
  <c r="P132" i="32"/>
  <c r="O132" i="32"/>
  <c r="N132" i="32"/>
  <c r="L132" i="32"/>
  <c r="K132" i="32"/>
  <c r="J132" i="32"/>
  <c r="I132" i="32"/>
  <c r="H132" i="32"/>
  <c r="G132" i="32"/>
  <c r="F132" i="32"/>
  <c r="W131" i="32"/>
  <c r="U131" i="32"/>
  <c r="T131" i="32"/>
  <c r="S131" i="32"/>
  <c r="Q131" i="32"/>
  <c r="P131" i="32"/>
  <c r="O131" i="32"/>
  <c r="N131" i="32"/>
  <c r="L131" i="32"/>
  <c r="K131" i="32"/>
  <c r="J131" i="32"/>
  <c r="I131" i="32"/>
  <c r="H131" i="32"/>
  <c r="G131" i="32"/>
  <c r="F131" i="32"/>
  <c r="W130" i="32"/>
  <c r="U130" i="32"/>
  <c r="T130" i="32"/>
  <c r="S130" i="32"/>
  <c r="Q130" i="32"/>
  <c r="P130" i="32"/>
  <c r="O130" i="32"/>
  <c r="N130" i="32"/>
  <c r="L130" i="32"/>
  <c r="K130" i="32"/>
  <c r="J130" i="32"/>
  <c r="I130" i="32"/>
  <c r="H130" i="32"/>
  <c r="G130" i="32"/>
  <c r="F130" i="32"/>
  <c r="W120" i="32"/>
  <c r="U120" i="32"/>
  <c r="T120" i="32"/>
  <c r="S120" i="32"/>
  <c r="Q120" i="32"/>
  <c r="P120" i="32"/>
  <c r="O120" i="32"/>
  <c r="N120" i="32"/>
  <c r="L120" i="32"/>
  <c r="K120" i="32"/>
  <c r="J120" i="32"/>
  <c r="I120" i="32"/>
  <c r="H120" i="32"/>
  <c r="G120" i="32"/>
  <c r="F120" i="32"/>
  <c r="W119" i="32"/>
  <c r="U119" i="32"/>
  <c r="T119" i="32"/>
  <c r="S119" i="32"/>
  <c r="Q119" i="32"/>
  <c r="P119" i="32"/>
  <c r="O119" i="32"/>
  <c r="N119" i="32"/>
  <c r="L119" i="32"/>
  <c r="K119" i="32"/>
  <c r="J119" i="32"/>
  <c r="I119" i="32"/>
  <c r="H119" i="32"/>
  <c r="G119" i="32"/>
  <c r="F119" i="32"/>
  <c r="W118" i="32"/>
  <c r="U118" i="32"/>
  <c r="T118" i="32"/>
  <c r="S118" i="32"/>
  <c r="Q118" i="32"/>
  <c r="P118" i="32"/>
  <c r="O118" i="32"/>
  <c r="N118" i="32"/>
  <c r="L118" i="32"/>
  <c r="K118" i="32"/>
  <c r="J118" i="32"/>
  <c r="I118" i="32"/>
  <c r="H118" i="32"/>
  <c r="G118" i="32"/>
  <c r="F118" i="32"/>
  <c r="W117" i="32"/>
  <c r="U117" i="32"/>
  <c r="T117" i="32"/>
  <c r="S117" i="32"/>
  <c r="Q117" i="32"/>
  <c r="P117" i="32"/>
  <c r="O117" i="32"/>
  <c r="N117" i="32"/>
  <c r="L117" i="32"/>
  <c r="K117" i="32"/>
  <c r="J117" i="32"/>
  <c r="I117" i="32"/>
  <c r="H117" i="32"/>
  <c r="G117" i="32"/>
  <c r="F117" i="32"/>
  <c r="W116" i="32"/>
  <c r="U116" i="32"/>
  <c r="T116" i="32"/>
  <c r="S116" i="32"/>
  <c r="Q116" i="32"/>
  <c r="P116" i="32"/>
  <c r="O116" i="32"/>
  <c r="N116" i="32"/>
  <c r="L116" i="32"/>
  <c r="K116" i="32"/>
  <c r="J116" i="32"/>
  <c r="I116" i="32"/>
  <c r="H116" i="32"/>
  <c r="G116" i="32"/>
  <c r="F116" i="32"/>
  <c r="W115" i="32"/>
  <c r="U115" i="32"/>
  <c r="T115" i="32"/>
  <c r="S115" i="32"/>
  <c r="Q115" i="32"/>
  <c r="P115" i="32"/>
  <c r="O115" i="32"/>
  <c r="N115" i="32"/>
  <c r="L115" i="32"/>
  <c r="K115" i="32"/>
  <c r="J115" i="32"/>
  <c r="I115" i="32"/>
  <c r="H115" i="32"/>
  <c r="G115" i="32"/>
  <c r="F115" i="32"/>
  <c r="W114" i="32"/>
  <c r="U114" i="32"/>
  <c r="T114" i="32"/>
  <c r="S114" i="32"/>
  <c r="Q114" i="32"/>
  <c r="P114" i="32"/>
  <c r="O114" i="32"/>
  <c r="N114" i="32"/>
  <c r="L114" i="32"/>
  <c r="K114" i="32"/>
  <c r="J114" i="32"/>
  <c r="I114" i="32"/>
  <c r="H114" i="32"/>
  <c r="G114" i="32"/>
  <c r="F114" i="32"/>
  <c r="W111" i="32"/>
  <c r="U111" i="32"/>
  <c r="T111" i="32"/>
  <c r="S111" i="32"/>
  <c r="Q111" i="32"/>
  <c r="P111" i="32"/>
  <c r="O111" i="32"/>
  <c r="N111" i="32"/>
  <c r="L111" i="32"/>
  <c r="K111" i="32"/>
  <c r="J111" i="32"/>
  <c r="I111" i="32"/>
  <c r="H111" i="32"/>
  <c r="G111" i="32"/>
  <c r="F111" i="32"/>
  <c r="W110" i="32"/>
  <c r="U110" i="32"/>
  <c r="T110" i="32"/>
  <c r="S110" i="32"/>
  <c r="Q110" i="32"/>
  <c r="P110" i="32"/>
  <c r="O110" i="32"/>
  <c r="N110" i="32"/>
  <c r="L110" i="32"/>
  <c r="K110" i="32"/>
  <c r="J110" i="32"/>
  <c r="I110" i="32"/>
  <c r="H110" i="32"/>
  <c r="G110" i="32"/>
  <c r="F110" i="32"/>
  <c r="W109" i="32"/>
  <c r="U109" i="32"/>
  <c r="T109" i="32"/>
  <c r="S109" i="32"/>
  <c r="Q109" i="32"/>
  <c r="P109" i="32"/>
  <c r="O109" i="32"/>
  <c r="N109" i="32"/>
  <c r="L109" i="32"/>
  <c r="K109" i="32"/>
  <c r="J109" i="32"/>
  <c r="I109" i="32"/>
  <c r="H109" i="32"/>
  <c r="G109" i="32"/>
  <c r="F109" i="32"/>
  <c r="W108" i="32"/>
  <c r="U108" i="32"/>
  <c r="T108" i="32"/>
  <c r="S108" i="32"/>
  <c r="Q108" i="32"/>
  <c r="P108" i="32"/>
  <c r="O108" i="32"/>
  <c r="N108" i="32"/>
  <c r="L108" i="32"/>
  <c r="K108" i="32"/>
  <c r="J108" i="32"/>
  <c r="I108" i="32"/>
  <c r="H108" i="32"/>
  <c r="G108" i="32"/>
  <c r="F108" i="32"/>
  <c r="W107" i="32"/>
  <c r="U107" i="32"/>
  <c r="T107" i="32"/>
  <c r="S107" i="32"/>
  <c r="Q107" i="32"/>
  <c r="P107" i="32"/>
  <c r="O107" i="32"/>
  <c r="N107" i="32"/>
  <c r="L107" i="32"/>
  <c r="K107" i="32"/>
  <c r="J107" i="32"/>
  <c r="I107" i="32"/>
  <c r="H107" i="32"/>
  <c r="G107" i="32"/>
  <c r="F107" i="32"/>
  <c r="W106" i="32"/>
  <c r="U106" i="32"/>
  <c r="T106" i="32"/>
  <c r="S106" i="32"/>
  <c r="Q106" i="32"/>
  <c r="P106" i="32"/>
  <c r="O106" i="32"/>
  <c r="N106" i="32"/>
  <c r="L106" i="32"/>
  <c r="K106" i="32"/>
  <c r="J106" i="32"/>
  <c r="I106" i="32"/>
  <c r="H106" i="32"/>
  <c r="G106" i="32"/>
  <c r="F106" i="32"/>
  <c r="W105" i="32"/>
  <c r="U105" i="32"/>
  <c r="T105" i="32"/>
  <c r="S105" i="32"/>
  <c r="Q105" i="32"/>
  <c r="P105" i="32"/>
  <c r="O105" i="32"/>
  <c r="N105" i="32"/>
  <c r="L105" i="32"/>
  <c r="K105" i="32"/>
  <c r="J105" i="32"/>
  <c r="I105" i="32"/>
  <c r="H105" i="32"/>
  <c r="G105" i="32"/>
  <c r="F105" i="32"/>
  <c r="W95" i="32"/>
  <c r="U95" i="32"/>
  <c r="T95" i="32"/>
  <c r="S95" i="32"/>
  <c r="Q95" i="32"/>
  <c r="P95" i="32"/>
  <c r="O95" i="32"/>
  <c r="N95" i="32"/>
  <c r="L95" i="32"/>
  <c r="K95" i="32"/>
  <c r="J95" i="32"/>
  <c r="I95" i="32"/>
  <c r="H95" i="32"/>
  <c r="G95" i="32"/>
  <c r="F95" i="32"/>
  <c r="W94" i="32"/>
  <c r="U94" i="32"/>
  <c r="T94" i="32"/>
  <c r="S94" i="32"/>
  <c r="Q94" i="32"/>
  <c r="P94" i="32"/>
  <c r="O94" i="32"/>
  <c r="N94" i="32"/>
  <c r="L94" i="32"/>
  <c r="K94" i="32"/>
  <c r="J94" i="32"/>
  <c r="I94" i="32"/>
  <c r="H94" i="32"/>
  <c r="G94" i="32"/>
  <c r="F94" i="32"/>
  <c r="W93" i="32"/>
  <c r="U93" i="32"/>
  <c r="T93" i="32"/>
  <c r="S93" i="32"/>
  <c r="Q93" i="32"/>
  <c r="P93" i="32"/>
  <c r="O93" i="32"/>
  <c r="N93" i="32"/>
  <c r="L93" i="32"/>
  <c r="K93" i="32"/>
  <c r="J93" i="32"/>
  <c r="I93" i="32"/>
  <c r="H93" i="32"/>
  <c r="G93" i="32"/>
  <c r="F93" i="32"/>
  <c r="W92" i="32"/>
  <c r="U92" i="32"/>
  <c r="T92" i="32"/>
  <c r="S92" i="32"/>
  <c r="Q92" i="32"/>
  <c r="P92" i="32"/>
  <c r="O92" i="32"/>
  <c r="N92" i="32"/>
  <c r="L92" i="32"/>
  <c r="K92" i="32"/>
  <c r="J92" i="32"/>
  <c r="I92" i="32"/>
  <c r="H92" i="32"/>
  <c r="G92" i="32"/>
  <c r="F92" i="32"/>
  <c r="W91" i="32"/>
  <c r="U91" i="32"/>
  <c r="T91" i="32"/>
  <c r="S91" i="32"/>
  <c r="Q91" i="32"/>
  <c r="P91" i="32"/>
  <c r="O91" i="32"/>
  <c r="N91" i="32"/>
  <c r="L91" i="32"/>
  <c r="K91" i="32"/>
  <c r="J91" i="32"/>
  <c r="I91" i="32"/>
  <c r="H91" i="32"/>
  <c r="G91" i="32"/>
  <c r="F91" i="32"/>
  <c r="W90" i="32"/>
  <c r="U90" i="32"/>
  <c r="T90" i="32"/>
  <c r="S90" i="32"/>
  <c r="Q90" i="32"/>
  <c r="P90" i="32"/>
  <c r="O90" i="32"/>
  <c r="N90" i="32"/>
  <c r="L90" i="32"/>
  <c r="K90" i="32"/>
  <c r="J90" i="32"/>
  <c r="I90" i="32"/>
  <c r="H90" i="32"/>
  <c r="G90" i="32"/>
  <c r="F90" i="32"/>
  <c r="W89" i="32"/>
  <c r="U89" i="32"/>
  <c r="T89" i="32"/>
  <c r="S89" i="32"/>
  <c r="Q89" i="32"/>
  <c r="P89" i="32"/>
  <c r="O89" i="32"/>
  <c r="N89" i="32"/>
  <c r="L89" i="32"/>
  <c r="K89" i="32"/>
  <c r="J89" i="32"/>
  <c r="I89" i="32"/>
  <c r="H89" i="32"/>
  <c r="G89" i="32"/>
  <c r="F89" i="32"/>
  <c r="E80" i="32"/>
  <c r="H75" i="32"/>
  <c r="G75" i="32"/>
  <c r="F75" i="32"/>
  <c r="H74" i="32"/>
  <c r="G74" i="32"/>
  <c r="F74" i="32"/>
  <c r="H73" i="32"/>
  <c r="G73" i="32"/>
  <c r="F73" i="32"/>
  <c r="H72" i="32"/>
  <c r="G72" i="32"/>
  <c r="F72" i="32"/>
  <c r="H71" i="32"/>
  <c r="G71" i="32"/>
  <c r="F71" i="32"/>
  <c r="H70" i="32"/>
  <c r="G70" i="32"/>
  <c r="F70" i="32"/>
  <c r="H69" i="32"/>
  <c r="G69" i="32"/>
  <c r="F69" i="32"/>
  <c r="W59" i="32"/>
  <c r="U59" i="32"/>
  <c r="T59" i="32"/>
  <c r="S59" i="32"/>
  <c r="Q59" i="32"/>
  <c r="P59" i="32"/>
  <c r="O59" i="32"/>
  <c r="N59" i="32"/>
  <c r="L59" i="32"/>
  <c r="K59" i="32"/>
  <c r="J59" i="32"/>
  <c r="I59" i="32"/>
  <c r="H59" i="32"/>
  <c r="G59" i="32"/>
  <c r="F59" i="32"/>
  <c r="W58" i="32"/>
  <c r="U58" i="32"/>
  <c r="T58" i="32"/>
  <c r="S58" i="32"/>
  <c r="Q58" i="32"/>
  <c r="P58" i="32"/>
  <c r="O58" i="32"/>
  <c r="N58" i="32"/>
  <c r="L58" i="32"/>
  <c r="K58" i="32"/>
  <c r="J58" i="32"/>
  <c r="I58" i="32"/>
  <c r="H58" i="32"/>
  <c r="G58" i="32"/>
  <c r="F58" i="32"/>
  <c r="W57" i="32"/>
  <c r="U57" i="32"/>
  <c r="T57" i="32"/>
  <c r="S57" i="32"/>
  <c r="Q57" i="32"/>
  <c r="P57" i="32"/>
  <c r="O57" i="32"/>
  <c r="N57" i="32"/>
  <c r="L57" i="32"/>
  <c r="K57" i="32"/>
  <c r="J57" i="32"/>
  <c r="I57" i="32"/>
  <c r="H57" i="32"/>
  <c r="G57" i="32"/>
  <c r="F57" i="32"/>
  <c r="W56" i="32"/>
  <c r="U56" i="32"/>
  <c r="T56" i="32"/>
  <c r="S56" i="32"/>
  <c r="Q56" i="32"/>
  <c r="P56" i="32"/>
  <c r="O56" i="32"/>
  <c r="N56" i="32"/>
  <c r="L56" i="32"/>
  <c r="K56" i="32"/>
  <c r="J56" i="32"/>
  <c r="I56" i="32"/>
  <c r="H56" i="32"/>
  <c r="G56" i="32"/>
  <c r="F56" i="32"/>
  <c r="W55" i="32"/>
  <c r="U55" i="32"/>
  <c r="T55" i="32"/>
  <c r="S55" i="32"/>
  <c r="Q55" i="32"/>
  <c r="P55" i="32"/>
  <c r="O55" i="32"/>
  <c r="N55" i="32"/>
  <c r="L55" i="32"/>
  <c r="K55" i="32"/>
  <c r="J55" i="32"/>
  <c r="I55" i="32"/>
  <c r="H55" i="32"/>
  <c r="G55" i="32"/>
  <c r="F55" i="32"/>
  <c r="W54" i="32"/>
  <c r="U54" i="32"/>
  <c r="T54" i="32"/>
  <c r="S54" i="32"/>
  <c r="Q54" i="32"/>
  <c r="P54" i="32"/>
  <c r="O54" i="32"/>
  <c r="N54" i="32"/>
  <c r="L54" i="32"/>
  <c r="K54" i="32"/>
  <c r="J54" i="32"/>
  <c r="I54" i="32"/>
  <c r="H54" i="32"/>
  <c r="G54" i="32"/>
  <c r="F54" i="32"/>
  <c r="W53" i="32"/>
  <c r="U53" i="32"/>
  <c r="T53" i="32"/>
  <c r="S53" i="32"/>
  <c r="Q53" i="32"/>
  <c r="P53" i="32"/>
  <c r="O53" i="32"/>
  <c r="N53" i="32"/>
  <c r="L53" i="32"/>
  <c r="K53" i="32"/>
  <c r="J53" i="32"/>
  <c r="I53" i="32"/>
  <c r="H53" i="32"/>
  <c r="G53" i="32"/>
  <c r="F53" i="32"/>
  <c r="W43" i="32"/>
  <c r="U43" i="32"/>
  <c r="T43" i="32"/>
  <c r="S43" i="32"/>
  <c r="Q43" i="32"/>
  <c r="P43" i="32"/>
  <c r="O43" i="32"/>
  <c r="N43" i="32"/>
  <c r="L43" i="32"/>
  <c r="K43" i="32"/>
  <c r="J43" i="32"/>
  <c r="I43" i="32"/>
  <c r="H43" i="32"/>
  <c r="G43" i="32"/>
  <c r="F43" i="32"/>
  <c r="W42" i="32"/>
  <c r="U42" i="32"/>
  <c r="T42" i="32"/>
  <c r="S42" i="32"/>
  <c r="Q42" i="32"/>
  <c r="P42" i="32"/>
  <c r="O42" i="32"/>
  <c r="N42" i="32"/>
  <c r="L42" i="32"/>
  <c r="K42" i="32"/>
  <c r="J42" i="32"/>
  <c r="I42" i="32"/>
  <c r="H42" i="32"/>
  <c r="G42" i="32"/>
  <c r="F42" i="32"/>
  <c r="W41" i="32"/>
  <c r="U41" i="32"/>
  <c r="T41" i="32"/>
  <c r="S41" i="32"/>
  <c r="Q41" i="32"/>
  <c r="P41" i="32"/>
  <c r="O41" i="32"/>
  <c r="N41" i="32"/>
  <c r="L41" i="32"/>
  <c r="K41" i="32"/>
  <c r="J41" i="32"/>
  <c r="I41" i="32"/>
  <c r="H41" i="32"/>
  <c r="G41" i="32"/>
  <c r="F41" i="32"/>
  <c r="W40" i="32"/>
  <c r="U40" i="32"/>
  <c r="T40" i="32"/>
  <c r="S40" i="32"/>
  <c r="Q40" i="32"/>
  <c r="P40" i="32"/>
  <c r="O40" i="32"/>
  <c r="N40" i="32"/>
  <c r="L40" i="32"/>
  <c r="K40" i="32"/>
  <c r="J40" i="32"/>
  <c r="I40" i="32"/>
  <c r="H40" i="32"/>
  <c r="G40" i="32"/>
  <c r="F40" i="32"/>
  <c r="W39" i="32"/>
  <c r="U39" i="32"/>
  <c r="T39" i="32"/>
  <c r="S39" i="32"/>
  <c r="Q39" i="32"/>
  <c r="P39" i="32"/>
  <c r="O39" i="32"/>
  <c r="N39" i="32"/>
  <c r="L39" i="32"/>
  <c r="K39" i="32"/>
  <c r="J39" i="32"/>
  <c r="I39" i="32"/>
  <c r="H39" i="32"/>
  <c r="G39" i="32"/>
  <c r="F39" i="32"/>
  <c r="W38" i="32"/>
  <c r="U38" i="32"/>
  <c r="T38" i="32"/>
  <c r="S38" i="32"/>
  <c r="Q38" i="32"/>
  <c r="P38" i="32"/>
  <c r="O38" i="32"/>
  <c r="N38" i="32"/>
  <c r="L38" i="32"/>
  <c r="K38" i="32"/>
  <c r="J38" i="32"/>
  <c r="I38" i="32"/>
  <c r="H38" i="32"/>
  <c r="G38" i="32"/>
  <c r="F38" i="32"/>
  <c r="W37" i="32"/>
  <c r="U37" i="32"/>
  <c r="T37" i="32"/>
  <c r="S37" i="32"/>
  <c r="Q37" i="32"/>
  <c r="P37" i="32"/>
  <c r="O37" i="32"/>
  <c r="N37" i="32"/>
  <c r="L37" i="32"/>
  <c r="K37" i="32"/>
  <c r="J37" i="32"/>
  <c r="I37" i="32"/>
  <c r="H37" i="32"/>
  <c r="G37" i="32"/>
  <c r="F37" i="32"/>
  <c r="W34" i="32"/>
  <c r="U34" i="32"/>
  <c r="T34" i="32"/>
  <c r="S34" i="32"/>
  <c r="Q34" i="32"/>
  <c r="P34" i="32"/>
  <c r="O34" i="32"/>
  <c r="N34" i="32"/>
  <c r="L34" i="32"/>
  <c r="K34" i="32"/>
  <c r="J34" i="32"/>
  <c r="I34" i="32"/>
  <c r="H34" i="32"/>
  <c r="G34" i="32"/>
  <c r="F34" i="32"/>
  <c r="W33" i="32"/>
  <c r="U33" i="32"/>
  <c r="T33" i="32"/>
  <c r="S33" i="32"/>
  <c r="Q33" i="32"/>
  <c r="P33" i="32"/>
  <c r="O33" i="32"/>
  <c r="N33" i="32"/>
  <c r="L33" i="32"/>
  <c r="K33" i="32"/>
  <c r="J33" i="32"/>
  <c r="I33" i="32"/>
  <c r="H33" i="32"/>
  <c r="G33" i="32"/>
  <c r="F33" i="32"/>
  <c r="W32" i="32"/>
  <c r="U32" i="32"/>
  <c r="T32" i="32"/>
  <c r="S32" i="32"/>
  <c r="Q32" i="32"/>
  <c r="P32" i="32"/>
  <c r="O32" i="32"/>
  <c r="N32" i="32"/>
  <c r="L32" i="32"/>
  <c r="K32" i="32"/>
  <c r="J32" i="32"/>
  <c r="I32" i="32"/>
  <c r="H32" i="32"/>
  <c r="G32" i="32"/>
  <c r="F32" i="32"/>
  <c r="W31" i="32"/>
  <c r="U31" i="32"/>
  <c r="T31" i="32"/>
  <c r="S31" i="32"/>
  <c r="Q31" i="32"/>
  <c r="P31" i="32"/>
  <c r="O31" i="32"/>
  <c r="N31" i="32"/>
  <c r="L31" i="32"/>
  <c r="K31" i="32"/>
  <c r="J31" i="32"/>
  <c r="I31" i="32"/>
  <c r="H31" i="32"/>
  <c r="G31" i="32"/>
  <c r="F31" i="32"/>
  <c r="W30" i="32"/>
  <c r="U30" i="32"/>
  <c r="T30" i="32"/>
  <c r="S30" i="32"/>
  <c r="Q30" i="32"/>
  <c r="P30" i="32"/>
  <c r="O30" i="32"/>
  <c r="N30" i="32"/>
  <c r="L30" i="32"/>
  <c r="K30" i="32"/>
  <c r="J30" i="32"/>
  <c r="I30" i="32"/>
  <c r="H30" i="32"/>
  <c r="G30" i="32"/>
  <c r="F30" i="32"/>
  <c r="W29" i="32"/>
  <c r="U29" i="32"/>
  <c r="T29" i="32"/>
  <c r="S29" i="32"/>
  <c r="Q29" i="32"/>
  <c r="P29" i="32"/>
  <c r="O29" i="32"/>
  <c r="N29" i="32"/>
  <c r="L29" i="32"/>
  <c r="K29" i="32"/>
  <c r="J29" i="32"/>
  <c r="I29" i="32"/>
  <c r="H29" i="32"/>
  <c r="G29" i="32"/>
  <c r="F29" i="32"/>
  <c r="W28" i="32"/>
  <c r="U28" i="32"/>
  <c r="T28" i="32"/>
  <c r="S28" i="32"/>
  <c r="Q28" i="32"/>
  <c r="P28" i="32"/>
  <c r="O28" i="32"/>
  <c r="N28" i="32"/>
  <c r="L28" i="32"/>
  <c r="K28" i="32"/>
  <c r="J28" i="32"/>
  <c r="I28" i="32"/>
  <c r="H28" i="32"/>
  <c r="G28" i="32"/>
  <c r="F28" i="32"/>
  <c r="W18" i="32"/>
  <c r="U18" i="32"/>
  <c r="T18" i="32"/>
  <c r="S18" i="32"/>
  <c r="Q18" i="32"/>
  <c r="P18" i="32"/>
  <c r="O18" i="32"/>
  <c r="N18" i="32"/>
  <c r="L18" i="32"/>
  <c r="K18" i="32"/>
  <c r="J18" i="32"/>
  <c r="I18" i="32"/>
  <c r="W17" i="32"/>
  <c r="U17" i="32"/>
  <c r="T17" i="32"/>
  <c r="S17" i="32"/>
  <c r="Q17" i="32"/>
  <c r="P17" i="32"/>
  <c r="O17" i="32"/>
  <c r="N17" i="32"/>
  <c r="L17" i="32"/>
  <c r="K17" i="32"/>
  <c r="J17" i="32"/>
  <c r="I17" i="32"/>
  <c r="W16" i="32"/>
  <c r="U16" i="32"/>
  <c r="T16" i="32"/>
  <c r="S16" i="32"/>
  <c r="Q16" i="32"/>
  <c r="P16" i="32"/>
  <c r="O16" i="32"/>
  <c r="N16" i="32"/>
  <c r="L16" i="32"/>
  <c r="K16" i="32"/>
  <c r="J16" i="32"/>
  <c r="I16" i="32"/>
  <c r="W15" i="32"/>
  <c r="U15" i="32"/>
  <c r="T15" i="32"/>
  <c r="S15" i="32"/>
  <c r="Q15" i="32"/>
  <c r="P15" i="32"/>
  <c r="O15" i="32"/>
  <c r="N15" i="32"/>
  <c r="L15" i="32"/>
  <c r="K15" i="32"/>
  <c r="J15" i="32"/>
  <c r="I15" i="32"/>
  <c r="W14" i="32"/>
  <c r="U14" i="32"/>
  <c r="T14" i="32"/>
  <c r="S14" i="32"/>
  <c r="Q14" i="32"/>
  <c r="P14" i="32"/>
  <c r="O14" i="32"/>
  <c r="N14" i="32"/>
  <c r="L14" i="32"/>
  <c r="K14" i="32"/>
  <c r="J14" i="32"/>
  <c r="I14" i="32"/>
  <c r="W13" i="32"/>
  <c r="U13" i="32"/>
  <c r="T13" i="32"/>
  <c r="S13" i="32"/>
  <c r="Q13" i="32"/>
  <c r="P13" i="32"/>
  <c r="O13" i="32"/>
  <c r="N13" i="32"/>
  <c r="L13" i="32"/>
  <c r="K13" i="32"/>
  <c r="J13" i="32"/>
  <c r="I13" i="32"/>
  <c r="W12" i="32"/>
  <c r="U12" i="32"/>
  <c r="T12" i="32"/>
  <c r="S12" i="32"/>
  <c r="Q12" i="32"/>
  <c r="P12" i="32"/>
  <c r="O12" i="32"/>
  <c r="N12" i="32"/>
  <c r="L12" i="32"/>
  <c r="K12" i="32"/>
  <c r="J12" i="32"/>
  <c r="I12" i="32"/>
  <c r="E3" i="32"/>
  <c r="U118" i="16"/>
  <c r="T118" i="16"/>
  <c r="S118" i="16"/>
  <c r="U117" i="16"/>
  <c r="T117" i="16"/>
  <c r="S117" i="16"/>
  <c r="U116" i="16"/>
  <c r="T116" i="16"/>
  <c r="S116" i="16"/>
  <c r="U115" i="16"/>
  <c r="T115" i="16"/>
  <c r="S115" i="16"/>
  <c r="U114" i="16"/>
  <c r="T114" i="16"/>
  <c r="S114" i="16"/>
  <c r="U113" i="16"/>
  <c r="T113" i="16"/>
  <c r="S113" i="16"/>
  <c r="U112" i="16"/>
  <c r="T112" i="16"/>
  <c r="S112" i="16"/>
  <c r="U111" i="16"/>
  <c r="T111" i="16"/>
  <c r="S111" i="16"/>
  <c r="U110" i="16"/>
  <c r="T110" i="16"/>
  <c r="S110" i="16"/>
  <c r="U109" i="16"/>
  <c r="T109" i="16"/>
  <c r="S109" i="16"/>
  <c r="U108" i="16"/>
  <c r="BD17" i="18" s="1"/>
  <c r="T108" i="16"/>
  <c r="BC17" i="18" s="1"/>
  <c r="S108" i="16"/>
  <c r="BB17" i="18" s="1"/>
  <c r="Q118" i="16"/>
  <c r="P118" i="16"/>
  <c r="O118" i="16"/>
  <c r="N118" i="16"/>
  <c r="Q117" i="16"/>
  <c r="P117" i="16"/>
  <c r="O117" i="16"/>
  <c r="N117" i="16"/>
  <c r="Q116" i="16"/>
  <c r="P116" i="16"/>
  <c r="O116" i="16"/>
  <c r="N116" i="16"/>
  <c r="Q115" i="16"/>
  <c r="P115" i="16"/>
  <c r="O115" i="16"/>
  <c r="N115" i="16"/>
  <c r="Q114" i="16"/>
  <c r="P114" i="16"/>
  <c r="O114" i="16"/>
  <c r="N114" i="16"/>
  <c r="Q113" i="16"/>
  <c r="P113" i="16"/>
  <c r="O113" i="16"/>
  <c r="N113" i="16"/>
  <c r="Q112" i="16"/>
  <c r="P112" i="16"/>
  <c r="O112" i="16"/>
  <c r="N112" i="16"/>
  <c r="Q111" i="16"/>
  <c r="P111" i="16"/>
  <c r="O111" i="16"/>
  <c r="N111" i="16"/>
  <c r="Q110" i="16"/>
  <c r="P110" i="16"/>
  <c r="O110" i="16"/>
  <c r="N110" i="16"/>
  <c r="Q109" i="16"/>
  <c r="P109" i="16"/>
  <c r="O109" i="16"/>
  <c r="N109" i="16"/>
  <c r="Q108" i="16"/>
  <c r="P108" i="16"/>
  <c r="O108" i="16"/>
  <c r="N108" i="16"/>
  <c r="L118" i="16"/>
  <c r="K118" i="16"/>
  <c r="J118" i="16"/>
  <c r="I118" i="16"/>
  <c r="L117" i="16"/>
  <c r="K117" i="16"/>
  <c r="J117" i="16"/>
  <c r="I117" i="16"/>
  <c r="L116" i="16"/>
  <c r="K116" i="16"/>
  <c r="J116" i="16"/>
  <c r="I116" i="16"/>
  <c r="L115" i="16"/>
  <c r="K115" i="16"/>
  <c r="J115" i="16"/>
  <c r="I115" i="16"/>
  <c r="L114" i="16"/>
  <c r="K114" i="16"/>
  <c r="J114" i="16"/>
  <c r="I114" i="16"/>
  <c r="L113" i="16"/>
  <c r="K113" i="16"/>
  <c r="J113" i="16"/>
  <c r="I113" i="16"/>
  <c r="L112" i="16"/>
  <c r="K112" i="16"/>
  <c r="J112" i="16"/>
  <c r="I112" i="16"/>
  <c r="L111" i="16"/>
  <c r="K111" i="16"/>
  <c r="J111" i="16"/>
  <c r="I111" i="16"/>
  <c r="L110" i="16"/>
  <c r="K110" i="16"/>
  <c r="J110" i="16"/>
  <c r="I110" i="16"/>
  <c r="L109" i="16"/>
  <c r="K109" i="16"/>
  <c r="J109" i="16"/>
  <c r="I109" i="16"/>
  <c r="L108" i="16"/>
  <c r="K108" i="16"/>
  <c r="J108" i="16"/>
  <c r="I108" i="16"/>
  <c r="H118" i="16"/>
  <c r="G118" i="16"/>
  <c r="F118" i="16"/>
  <c r="H117" i="16"/>
  <c r="G117" i="16"/>
  <c r="F117" i="16"/>
  <c r="H116" i="16"/>
  <c r="G116" i="16"/>
  <c r="F116" i="16"/>
  <c r="H115" i="16"/>
  <c r="G115" i="16"/>
  <c r="F115" i="16"/>
  <c r="H114" i="16"/>
  <c r="G114" i="16"/>
  <c r="F114" i="16"/>
  <c r="H113" i="16"/>
  <c r="G113" i="16"/>
  <c r="F113" i="16"/>
  <c r="H112" i="16"/>
  <c r="G112" i="16"/>
  <c r="F112" i="16"/>
  <c r="H111" i="16"/>
  <c r="G111" i="16"/>
  <c r="F111" i="16"/>
  <c r="H110" i="16"/>
  <c r="G110" i="16"/>
  <c r="F110" i="16"/>
  <c r="H109" i="16"/>
  <c r="G109" i="16"/>
  <c r="F109" i="16"/>
  <c r="H108" i="16"/>
  <c r="AY17" i="18" s="1"/>
  <c r="G108" i="16"/>
  <c r="AX17" i="18" s="1"/>
  <c r="F108" i="16"/>
  <c r="AW17" i="18" s="1"/>
  <c r="U94" i="16"/>
  <c r="T94" i="16"/>
  <c r="S94" i="16"/>
  <c r="U93" i="16"/>
  <c r="T93" i="16"/>
  <c r="S93" i="16"/>
  <c r="U92" i="16"/>
  <c r="T92" i="16"/>
  <c r="S92" i="16"/>
  <c r="U91" i="16"/>
  <c r="T91" i="16"/>
  <c r="S91" i="16"/>
  <c r="U90" i="16"/>
  <c r="T90" i="16"/>
  <c r="S90" i="16"/>
  <c r="U89" i="16"/>
  <c r="T89" i="16"/>
  <c r="S89" i="16"/>
  <c r="U88" i="16"/>
  <c r="T88" i="16"/>
  <c r="S88" i="16"/>
  <c r="U87" i="16"/>
  <c r="T87" i="16"/>
  <c r="S87" i="16"/>
  <c r="U86" i="16"/>
  <c r="T86" i="16"/>
  <c r="S86" i="16"/>
  <c r="U85" i="16"/>
  <c r="T85" i="16"/>
  <c r="S85" i="16"/>
  <c r="U84" i="16"/>
  <c r="AU17" i="18" s="1"/>
  <c r="T84" i="16"/>
  <c r="AT17" i="18" s="1"/>
  <c r="S84" i="16"/>
  <c r="AS17" i="18" s="1"/>
  <c r="Q94" i="16"/>
  <c r="P94" i="16"/>
  <c r="O94" i="16"/>
  <c r="N94" i="16"/>
  <c r="Q93" i="16"/>
  <c r="P93" i="16"/>
  <c r="O93" i="16"/>
  <c r="N93" i="16"/>
  <c r="Q92" i="16"/>
  <c r="P92" i="16"/>
  <c r="O92" i="16"/>
  <c r="N92" i="16"/>
  <c r="Q91" i="16"/>
  <c r="P91" i="16"/>
  <c r="O91" i="16"/>
  <c r="N91" i="16"/>
  <c r="Q90" i="16"/>
  <c r="P90" i="16"/>
  <c r="O90" i="16"/>
  <c r="N90" i="16"/>
  <c r="Q89" i="16"/>
  <c r="P89" i="16"/>
  <c r="O89" i="16"/>
  <c r="N89" i="16"/>
  <c r="Q88" i="16"/>
  <c r="P88" i="16"/>
  <c r="O88" i="16"/>
  <c r="N88" i="16"/>
  <c r="Q87" i="16"/>
  <c r="P87" i="16"/>
  <c r="O87" i="16"/>
  <c r="N87" i="16"/>
  <c r="Q86" i="16"/>
  <c r="P86" i="16"/>
  <c r="O86" i="16"/>
  <c r="N86" i="16"/>
  <c r="Q85" i="16"/>
  <c r="P85" i="16"/>
  <c r="O85" i="16"/>
  <c r="N85" i="16"/>
  <c r="Q84" i="16"/>
  <c r="P84" i="16"/>
  <c r="O84" i="16"/>
  <c r="N84" i="16"/>
  <c r="L94" i="16"/>
  <c r="K94" i="16"/>
  <c r="J94" i="16"/>
  <c r="I94" i="16"/>
  <c r="L93" i="16"/>
  <c r="K93" i="16"/>
  <c r="J93" i="16"/>
  <c r="I93" i="16"/>
  <c r="L92" i="16"/>
  <c r="K92" i="16"/>
  <c r="J92" i="16"/>
  <c r="I92" i="16"/>
  <c r="L91" i="16"/>
  <c r="K91" i="16"/>
  <c r="J91" i="16"/>
  <c r="I91" i="16"/>
  <c r="L90" i="16"/>
  <c r="K90" i="16"/>
  <c r="J90" i="16"/>
  <c r="I90" i="16"/>
  <c r="L89" i="16"/>
  <c r="K89" i="16"/>
  <c r="J89" i="16"/>
  <c r="I89" i="16"/>
  <c r="L88" i="16"/>
  <c r="K88" i="16"/>
  <c r="J88" i="16"/>
  <c r="I88" i="16"/>
  <c r="L87" i="16"/>
  <c r="K87" i="16"/>
  <c r="J87" i="16"/>
  <c r="I87" i="16"/>
  <c r="L86" i="16"/>
  <c r="K86" i="16"/>
  <c r="J86" i="16"/>
  <c r="I86" i="16"/>
  <c r="L85" i="16"/>
  <c r="K85" i="16"/>
  <c r="J85" i="16"/>
  <c r="I85" i="16"/>
  <c r="L84" i="16"/>
  <c r="K84" i="16"/>
  <c r="J84" i="16"/>
  <c r="I84" i="16"/>
  <c r="H94" i="16"/>
  <c r="G94" i="16"/>
  <c r="F94" i="16"/>
  <c r="H93" i="16"/>
  <c r="G93" i="16"/>
  <c r="F93" i="16"/>
  <c r="H92" i="16"/>
  <c r="G92" i="16"/>
  <c r="F92" i="16"/>
  <c r="H91" i="16"/>
  <c r="G91" i="16"/>
  <c r="F91" i="16"/>
  <c r="H90" i="16"/>
  <c r="G90" i="16"/>
  <c r="F90" i="16"/>
  <c r="H89" i="16"/>
  <c r="G89" i="16"/>
  <c r="F89" i="16"/>
  <c r="H88" i="16"/>
  <c r="G88" i="16"/>
  <c r="F88" i="16"/>
  <c r="H87" i="16"/>
  <c r="G87" i="16"/>
  <c r="F87" i="16"/>
  <c r="H86" i="16"/>
  <c r="G86" i="16"/>
  <c r="F86" i="16"/>
  <c r="H85" i="16"/>
  <c r="G85" i="16"/>
  <c r="F85" i="16"/>
  <c r="H84" i="16"/>
  <c r="AP17" i="18" s="1"/>
  <c r="G84" i="16"/>
  <c r="AO17" i="18" s="1"/>
  <c r="F84" i="16"/>
  <c r="AN17" i="18" s="1"/>
  <c r="U70" i="16"/>
  <c r="T70" i="16"/>
  <c r="S70" i="16"/>
  <c r="U69" i="16"/>
  <c r="T69" i="16"/>
  <c r="S69" i="16"/>
  <c r="U68" i="16"/>
  <c r="T68" i="16"/>
  <c r="S68" i="16"/>
  <c r="U67" i="16"/>
  <c r="T67" i="16"/>
  <c r="S67" i="16"/>
  <c r="U66" i="16"/>
  <c r="T66" i="16"/>
  <c r="S66" i="16"/>
  <c r="U65" i="16"/>
  <c r="T65" i="16"/>
  <c r="S65" i="16"/>
  <c r="U64" i="16"/>
  <c r="T64" i="16"/>
  <c r="S64" i="16"/>
  <c r="U63" i="16"/>
  <c r="T63" i="16"/>
  <c r="S63" i="16"/>
  <c r="U62" i="16"/>
  <c r="T62" i="16"/>
  <c r="S62" i="16"/>
  <c r="U61" i="16"/>
  <c r="T61" i="16"/>
  <c r="S61" i="16"/>
  <c r="U60" i="16"/>
  <c r="AL17" i="18" s="1"/>
  <c r="T60" i="16"/>
  <c r="AK17" i="18" s="1"/>
  <c r="S60" i="16"/>
  <c r="AJ17" i="18" s="1"/>
  <c r="Q70" i="16"/>
  <c r="P70" i="16"/>
  <c r="O70" i="16"/>
  <c r="N70" i="16"/>
  <c r="Q69" i="16"/>
  <c r="P69" i="16"/>
  <c r="O69" i="16"/>
  <c r="N69" i="16"/>
  <c r="Q68" i="16"/>
  <c r="P68" i="16"/>
  <c r="O68" i="16"/>
  <c r="N68" i="16"/>
  <c r="Q67" i="16"/>
  <c r="P67" i="16"/>
  <c r="O67" i="16"/>
  <c r="N67" i="16"/>
  <c r="Q66" i="16"/>
  <c r="P66" i="16"/>
  <c r="O66" i="16"/>
  <c r="N66" i="16"/>
  <c r="Q65" i="16"/>
  <c r="P65" i="16"/>
  <c r="O65" i="16"/>
  <c r="N65" i="16"/>
  <c r="Q64" i="16"/>
  <c r="P64" i="16"/>
  <c r="O64" i="16"/>
  <c r="N64" i="16"/>
  <c r="Q63" i="16"/>
  <c r="P63" i="16"/>
  <c r="O63" i="16"/>
  <c r="N63" i="16"/>
  <c r="Q62" i="16"/>
  <c r="P62" i="16"/>
  <c r="O62" i="16"/>
  <c r="N62" i="16"/>
  <c r="Q61" i="16"/>
  <c r="P61" i="16"/>
  <c r="O61" i="16"/>
  <c r="N61" i="16"/>
  <c r="Q60" i="16"/>
  <c r="P60" i="16"/>
  <c r="O60" i="16"/>
  <c r="N60" i="16"/>
  <c r="L70" i="16"/>
  <c r="K70" i="16"/>
  <c r="J70" i="16"/>
  <c r="I70" i="16"/>
  <c r="L69" i="16"/>
  <c r="K69" i="16"/>
  <c r="J69" i="16"/>
  <c r="I69" i="16"/>
  <c r="L68" i="16"/>
  <c r="K68" i="16"/>
  <c r="J68" i="16"/>
  <c r="I68" i="16"/>
  <c r="L67" i="16"/>
  <c r="K67" i="16"/>
  <c r="J67" i="16"/>
  <c r="I67" i="16"/>
  <c r="L66" i="16"/>
  <c r="K66" i="16"/>
  <c r="J66" i="16"/>
  <c r="I66" i="16"/>
  <c r="L65" i="16"/>
  <c r="K65" i="16"/>
  <c r="J65" i="16"/>
  <c r="I65" i="16"/>
  <c r="L64" i="16"/>
  <c r="K64" i="16"/>
  <c r="J64" i="16"/>
  <c r="I64" i="16"/>
  <c r="L63" i="16"/>
  <c r="K63" i="16"/>
  <c r="J63" i="16"/>
  <c r="I63" i="16"/>
  <c r="L62" i="16"/>
  <c r="K62" i="16"/>
  <c r="J62" i="16"/>
  <c r="I62" i="16"/>
  <c r="L61" i="16"/>
  <c r="K61" i="16"/>
  <c r="J61" i="16"/>
  <c r="I61" i="16"/>
  <c r="L60" i="16"/>
  <c r="K60" i="16"/>
  <c r="J60" i="16"/>
  <c r="I60" i="16"/>
  <c r="H70" i="16"/>
  <c r="G70" i="16"/>
  <c r="F70" i="16"/>
  <c r="H69" i="16"/>
  <c r="G69" i="16"/>
  <c r="F69" i="16"/>
  <c r="H68" i="16"/>
  <c r="G68" i="16"/>
  <c r="F68" i="16"/>
  <c r="H67" i="16"/>
  <c r="G67" i="16"/>
  <c r="F67" i="16"/>
  <c r="H66" i="16"/>
  <c r="G66" i="16"/>
  <c r="F66" i="16"/>
  <c r="H65" i="16"/>
  <c r="G65" i="16"/>
  <c r="F65" i="16"/>
  <c r="H64" i="16"/>
  <c r="G64" i="16"/>
  <c r="F64" i="16"/>
  <c r="H63" i="16"/>
  <c r="G63" i="16"/>
  <c r="F63" i="16"/>
  <c r="H62" i="16"/>
  <c r="G62" i="16"/>
  <c r="F62" i="16"/>
  <c r="H61" i="16"/>
  <c r="G61" i="16"/>
  <c r="F61" i="16"/>
  <c r="H60" i="16"/>
  <c r="AG17" i="18" s="1"/>
  <c r="G60" i="16"/>
  <c r="AF17" i="18" s="1"/>
  <c r="F60" i="16"/>
  <c r="AE17" i="18" s="1"/>
  <c r="U46" i="16"/>
  <c r="T46" i="16"/>
  <c r="S46" i="16"/>
  <c r="U45" i="16"/>
  <c r="T45" i="16"/>
  <c r="S45" i="16"/>
  <c r="U44" i="16"/>
  <c r="T44" i="16"/>
  <c r="S44" i="16"/>
  <c r="U43" i="16"/>
  <c r="T43" i="16"/>
  <c r="S43" i="16"/>
  <c r="U42" i="16"/>
  <c r="T42" i="16"/>
  <c r="S42" i="16"/>
  <c r="U41" i="16"/>
  <c r="T41" i="16"/>
  <c r="S41" i="16"/>
  <c r="U40" i="16"/>
  <c r="T40" i="16"/>
  <c r="S40" i="16"/>
  <c r="U39" i="16"/>
  <c r="T39" i="16"/>
  <c r="S39" i="16"/>
  <c r="U38" i="16"/>
  <c r="T38" i="16"/>
  <c r="S38" i="16"/>
  <c r="U37" i="16"/>
  <c r="T37" i="16"/>
  <c r="S37" i="16"/>
  <c r="U36" i="16"/>
  <c r="AC17" i="18" s="1"/>
  <c r="T36" i="16"/>
  <c r="AB17" i="18" s="1"/>
  <c r="S36" i="16"/>
  <c r="AA17" i="18" s="1"/>
  <c r="Q46" i="16"/>
  <c r="P46" i="16"/>
  <c r="O46" i="16"/>
  <c r="N46" i="16"/>
  <c r="Q45" i="16"/>
  <c r="P45" i="16"/>
  <c r="O45" i="16"/>
  <c r="N45" i="16"/>
  <c r="Q44" i="16"/>
  <c r="P44" i="16"/>
  <c r="O44" i="16"/>
  <c r="N44" i="16"/>
  <c r="Q43" i="16"/>
  <c r="P43" i="16"/>
  <c r="O43" i="16"/>
  <c r="N43" i="16"/>
  <c r="Q42" i="16"/>
  <c r="P42" i="16"/>
  <c r="O42" i="16"/>
  <c r="N42" i="16"/>
  <c r="Q41" i="16"/>
  <c r="P41" i="16"/>
  <c r="O41" i="16"/>
  <c r="N41" i="16"/>
  <c r="Q40" i="16"/>
  <c r="P40" i="16"/>
  <c r="O40" i="16"/>
  <c r="N40" i="16"/>
  <c r="Q39" i="16"/>
  <c r="P39" i="16"/>
  <c r="O39" i="16"/>
  <c r="N39" i="16"/>
  <c r="Q38" i="16"/>
  <c r="P38" i="16"/>
  <c r="O38" i="16"/>
  <c r="N38" i="16"/>
  <c r="Q37" i="16"/>
  <c r="P37" i="16"/>
  <c r="O37" i="16"/>
  <c r="N37" i="16"/>
  <c r="Q36" i="16"/>
  <c r="P36" i="16"/>
  <c r="O36" i="16"/>
  <c r="N36" i="16"/>
  <c r="L46" i="16"/>
  <c r="K46" i="16"/>
  <c r="J46" i="16"/>
  <c r="I46" i="16"/>
  <c r="L45" i="16"/>
  <c r="K45" i="16"/>
  <c r="J45" i="16"/>
  <c r="I45" i="16"/>
  <c r="L44" i="16"/>
  <c r="K44" i="16"/>
  <c r="J44" i="16"/>
  <c r="I44" i="16"/>
  <c r="L43" i="16"/>
  <c r="K43" i="16"/>
  <c r="J43" i="16"/>
  <c r="I43" i="16"/>
  <c r="L42" i="16"/>
  <c r="K42" i="16"/>
  <c r="J42" i="16"/>
  <c r="I42" i="16"/>
  <c r="L41" i="16"/>
  <c r="K41" i="16"/>
  <c r="J41" i="16"/>
  <c r="I41" i="16"/>
  <c r="L40" i="16"/>
  <c r="K40" i="16"/>
  <c r="J40" i="16"/>
  <c r="I40" i="16"/>
  <c r="L39" i="16"/>
  <c r="K39" i="16"/>
  <c r="J39" i="16"/>
  <c r="I39" i="16"/>
  <c r="L38" i="16"/>
  <c r="K38" i="16"/>
  <c r="J38" i="16"/>
  <c r="I38" i="16"/>
  <c r="L37" i="16"/>
  <c r="K37" i="16"/>
  <c r="J37" i="16"/>
  <c r="I37" i="16"/>
  <c r="L36" i="16"/>
  <c r="K36" i="16"/>
  <c r="J36" i="16"/>
  <c r="I36" i="16"/>
  <c r="H46" i="16"/>
  <c r="G46" i="16"/>
  <c r="F46" i="16"/>
  <c r="H45" i="16"/>
  <c r="G45" i="16"/>
  <c r="F45" i="16"/>
  <c r="H44" i="16"/>
  <c r="G44" i="16"/>
  <c r="F44" i="16"/>
  <c r="H43" i="16"/>
  <c r="G43" i="16"/>
  <c r="F43" i="16"/>
  <c r="H42" i="16"/>
  <c r="G42" i="16"/>
  <c r="F42" i="16"/>
  <c r="H41" i="16"/>
  <c r="G41" i="16"/>
  <c r="F41" i="16"/>
  <c r="H40" i="16"/>
  <c r="G40" i="16"/>
  <c r="F40" i="16"/>
  <c r="H39" i="16"/>
  <c r="G39" i="16"/>
  <c r="F39" i="16"/>
  <c r="H38" i="16"/>
  <c r="G38" i="16"/>
  <c r="F38" i="16"/>
  <c r="H37" i="16"/>
  <c r="G37" i="16"/>
  <c r="F37" i="16"/>
  <c r="H36" i="16"/>
  <c r="X17" i="18" s="1"/>
  <c r="G36" i="16"/>
  <c r="W17" i="18" s="1"/>
  <c r="F36" i="16"/>
  <c r="V17" i="18" s="1"/>
  <c r="U22" i="16"/>
  <c r="T22" i="16"/>
  <c r="S22" i="16"/>
  <c r="U21" i="16"/>
  <c r="T21" i="16"/>
  <c r="S21" i="16"/>
  <c r="U20" i="16"/>
  <c r="T20" i="16"/>
  <c r="S20" i="16"/>
  <c r="U19" i="16"/>
  <c r="T19" i="16"/>
  <c r="S19" i="16"/>
  <c r="U18" i="16"/>
  <c r="T18" i="16"/>
  <c r="S18" i="16"/>
  <c r="U17" i="16"/>
  <c r="T17" i="16"/>
  <c r="S17" i="16"/>
  <c r="U16" i="16"/>
  <c r="T16" i="16"/>
  <c r="S16" i="16"/>
  <c r="U15" i="16"/>
  <c r="T15" i="16"/>
  <c r="S15" i="16"/>
  <c r="U14" i="16"/>
  <c r="T14" i="16"/>
  <c r="S14" i="16"/>
  <c r="U13" i="16"/>
  <c r="T13" i="16"/>
  <c r="S13" i="16"/>
  <c r="U12" i="16"/>
  <c r="T17" i="18" s="1"/>
  <c r="T12" i="16"/>
  <c r="S17" i="18" s="1"/>
  <c r="S12" i="16"/>
  <c r="R17" i="18" s="1"/>
  <c r="Q22" i="16"/>
  <c r="P22" i="16"/>
  <c r="O22" i="16"/>
  <c r="N22" i="16"/>
  <c r="Q21" i="16"/>
  <c r="P21" i="16"/>
  <c r="O21" i="16"/>
  <c r="N21" i="16"/>
  <c r="Q20" i="16"/>
  <c r="P20" i="16"/>
  <c r="O20" i="16"/>
  <c r="N20" i="16"/>
  <c r="Q19" i="16"/>
  <c r="P19" i="16"/>
  <c r="O19" i="16"/>
  <c r="N19" i="16"/>
  <c r="Q18" i="16"/>
  <c r="P18" i="16"/>
  <c r="O18" i="16"/>
  <c r="N18" i="16"/>
  <c r="Q17" i="16"/>
  <c r="P17" i="16"/>
  <c r="O17" i="16"/>
  <c r="N17" i="16"/>
  <c r="Q16" i="16"/>
  <c r="P16" i="16"/>
  <c r="O16" i="16"/>
  <c r="N16" i="16"/>
  <c r="Q15" i="16"/>
  <c r="P15" i="16"/>
  <c r="O15" i="16"/>
  <c r="N15" i="16"/>
  <c r="Q14" i="16"/>
  <c r="P14" i="16"/>
  <c r="O14" i="16"/>
  <c r="N14" i="16"/>
  <c r="Q13" i="16"/>
  <c r="P13" i="16"/>
  <c r="O13" i="16"/>
  <c r="N13" i="16"/>
  <c r="Q12" i="16"/>
  <c r="P12" i="16"/>
  <c r="O12" i="16"/>
  <c r="N12" i="16"/>
  <c r="L22" i="16"/>
  <c r="K22" i="16"/>
  <c r="J22" i="16"/>
  <c r="I22" i="16"/>
  <c r="L21" i="16"/>
  <c r="K21" i="16"/>
  <c r="J21" i="16"/>
  <c r="I21" i="16"/>
  <c r="L20" i="16"/>
  <c r="K20" i="16"/>
  <c r="J20" i="16"/>
  <c r="I20" i="16"/>
  <c r="L19" i="16"/>
  <c r="K19" i="16"/>
  <c r="J19" i="16"/>
  <c r="I19" i="16"/>
  <c r="L18" i="16"/>
  <c r="K18" i="16"/>
  <c r="J18" i="16"/>
  <c r="I18" i="16"/>
  <c r="L17" i="16"/>
  <c r="K17" i="16"/>
  <c r="J17" i="16"/>
  <c r="I17" i="16"/>
  <c r="L16" i="16"/>
  <c r="K16" i="16"/>
  <c r="J16" i="16"/>
  <c r="I16" i="16"/>
  <c r="L15" i="16"/>
  <c r="K15" i="16"/>
  <c r="J15" i="16"/>
  <c r="I15" i="16"/>
  <c r="L14" i="16"/>
  <c r="K14" i="16"/>
  <c r="J14" i="16"/>
  <c r="I14" i="16"/>
  <c r="L13" i="16"/>
  <c r="K13" i="16"/>
  <c r="J13" i="16"/>
  <c r="I13" i="16"/>
  <c r="L12" i="16"/>
  <c r="K12" i="16"/>
  <c r="J12" i="16"/>
  <c r="I12" i="16"/>
  <c r="H22" i="16"/>
  <c r="G22" i="16"/>
  <c r="F22" i="16"/>
  <c r="H21" i="16"/>
  <c r="G21" i="16"/>
  <c r="F21" i="16"/>
  <c r="H20" i="16"/>
  <c r="G20" i="16"/>
  <c r="F20" i="16"/>
  <c r="H19" i="16"/>
  <c r="G19" i="16"/>
  <c r="F19" i="16"/>
  <c r="H18" i="16"/>
  <c r="G18" i="16"/>
  <c r="F18" i="16"/>
  <c r="H17" i="16"/>
  <c r="G17" i="16"/>
  <c r="F17" i="16"/>
  <c r="H16" i="16"/>
  <c r="G16" i="16"/>
  <c r="F16" i="16"/>
  <c r="H15" i="16"/>
  <c r="G15" i="16"/>
  <c r="F15" i="16"/>
  <c r="H14" i="16"/>
  <c r="G14" i="16"/>
  <c r="F14" i="16"/>
  <c r="H13" i="16"/>
  <c r="G13" i="16"/>
  <c r="F13" i="16"/>
  <c r="H12" i="16"/>
  <c r="O17" i="18" s="1"/>
  <c r="G12" i="16"/>
  <c r="N17" i="18" s="1"/>
  <c r="F12" i="16"/>
  <c r="M17" i="18" s="1"/>
  <c r="U143" i="16"/>
  <c r="T143" i="16"/>
  <c r="S143" i="16"/>
  <c r="Q143" i="16"/>
  <c r="P143" i="16"/>
  <c r="O143" i="16"/>
  <c r="N143" i="16"/>
  <c r="L143" i="16"/>
  <c r="K143" i="16"/>
  <c r="J143" i="16"/>
  <c r="I143" i="16"/>
  <c r="H143" i="16"/>
  <c r="G143" i="16"/>
  <c r="F143" i="16"/>
  <c r="R142" i="16"/>
  <c r="M142" i="16"/>
  <c r="R141" i="16"/>
  <c r="M141" i="16"/>
  <c r="R140" i="16"/>
  <c r="M140" i="16"/>
  <c r="R139" i="16"/>
  <c r="M139" i="16"/>
  <c r="R138" i="16"/>
  <c r="M138" i="16"/>
  <c r="R137" i="16"/>
  <c r="M137" i="16"/>
  <c r="R136" i="16"/>
  <c r="M136" i="16"/>
  <c r="R135" i="16"/>
  <c r="M135" i="16"/>
  <c r="R134" i="16"/>
  <c r="M134" i="16"/>
  <c r="R133" i="16"/>
  <c r="M133" i="16"/>
  <c r="R132" i="16"/>
  <c r="H17" i="18" s="1"/>
  <c r="M132" i="16"/>
  <c r="G17" i="18" s="1"/>
  <c r="E99" i="16"/>
  <c r="W118" i="16"/>
  <c r="W117" i="16"/>
  <c r="W116" i="16"/>
  <c r="W115" i="16"/>
  <c r="W114" i="16"/>
  <c r="W113" i="16"/>
  <c r="W112" i="16"/>
  <c r="W111" i="16"/>
  <c r="W110" i="16"/>
  <c r="W109" i="16"/>
  <c r="W108" i="16"/>
  <c r="E75" i="16"/>
  <c r="W94" i="16"/>
  <c r="W93" i="16"/>
  <c r="W92" i="16"/>
  <c r="W91" i="16"/>
  <c r="W90" i="16"/>
  <c r="W89" i="16"/>
  <c r="W88" i="16"/>
  <c r="W87" i="16"/>
  <c r="W86" i="16"/>
  <c r="W85" i="16"/>
  <c r="W84" i="16"/>
  <c r="E51" i="16"/>
  <c r="E27" i="16"/>
  <c r="W70" i="16"/>
  <c r="W69" i="16"/>
  <c r="W68" i="16"/>
  <c r="W67" i="16"/>
  <c r="W66" i="16"/>
  <c r="W65" i="16"/>
  <c r="W64" i="16"/>
  <c r="W63" i="16"/>
  <c r="W62" i="16"/>
  <c r="W61" i="16"/>
  <c r="W60" i="16"/>
  <c r="W46" i="16"/>
  <c r="W45" i="16"/>
  <c r="W44" i="16"/>
  <c r="W43" i="16"/>
  <c r="W42" i="16"/>
  <c r="W41" i="16"/>
  <c r="W40" i="16"/>
  <c r="W39" i="16"/>
  <c r="W38" i="16"/>
  <c r="W37" i="16"/>
  <c r="W36" i="16"/>
  <c r="W20" i="16"/>
  <c r="W21" i="16"/>
  <c r="W22" i="16"/>
  <c r="W19" i="16"/>
  <c r="W18" i="16"/>
  <c r="W17" i="16"/>
  <c r="W16" i="16"/>
  <c r="W15" i="16"/>
  <c r="W14" i="16"/>
  <c r="W13" i="16"/>
  <c r="W12" i="16"/>
  <c r="E3" i="16"/>
  <c r="U188" i="23"/>
  <c r="T188" i="23"/>
  <c r="S188" i="23"/>
  <c r="U187" i="23"/>
  <c r="T187" i="23"/>
  <c r="S187" i="23"/>
  <c r="U186" i="23"/>
  <c r="T186" i="23"/>
  <c r="S186" i="23"/>
  <c r="U185" i="23"/>
  <c r="T185" i="23"/>
  <c r="S185" i="23"/>
  <c r="U184" i="23"/>
  <c r="T184" i="23"/>
  <c r="S184" i="23"/>
  <c r="U183" i="23"/>
  <c r="T183" i="23"/>
  <c r="S183" i="23"/>
  <c r="U182" i="23"/>
  <c r="T182" i="23"/>
  <c r="S182" i="23"/>
  <c r="U181" i="23"/>
  <c r="T181" i="23"/>
  <c r="S181" i="23"/>
  <c r="Q188" i="23"/>
  <c r="P188" i="23"/>
  <c r="O188" i="23"/>
  <c r="N188" i="23"/>
  <c r="Q187" i="23"/>
  <c r="P187" i="23"/>
  <c r="O187" i="23"/>
  <c r="N187" i="23"/>
  <c r="Q186" i="23"/>
  <c r="P186" i="23"/>
  <c r="O186" i="23"/>
  <c r="N186" i="23"/>
  <c r="Q185" i="23"/>
  <c r="P185" i="23"/>
  <c r="O185" i="23"/>
  <c r="N185" i="23"/>
  <c r="Q184" i="23"/>
  <c r="P184" i="23"/>
  <c r="O184" i="23"/>
  <c r="N184" i="23"/>
  <c r="Q183" i="23"/>
  <c r="P183" i="23"/>
  <c r="O183" i="23"/>
  <c r="N183" i="23"/>
  <c r="Q182" i="23"/>
  <c r="P182" i="23"/>
  <c r="O182" i="23"/>
  <c r="N182" i="23"/>
  <c r="Q181" i="23"/>
  <c r="P181" i="23"/>
  <c r="O181" i="23"/>
  <c r="N181" i="23"/>
  <c r="L188" i="23"/>
  <c r="K188" i="23"/>
  <c r="J188" i="23"/>
  <c r="I188" i="23"/>
  <c r="L187" i="23"/>
  <c r="K187" i="23"/>
  <c r="J187" i="23"/>
  <c r="I187" i="23"/>
  <c r="L186" i="23"/>
  <c r="K186" i="23"/>
  <c r="J186" i="23"/>
  <c r="I186" i="23"/>
  <c r="L185" i="23"/>
  <c r="K185" i="23"/>
  <c r="J185" i="23"/>
  <c r="I185" i="23"/>
  <c r="L184" i="23"/>
  <c r="K184" i="23"/>
  <c r="J184" i="23"/>
  <c r="I184" i="23"/>
  <c r="L183" i="23"/>
  <c r="K183" i="23"/>
  <c r="J183" i="23"/>
  <c r="I183" i="23"/>
  <c r="L182" i="23"/>
  <c r="K182" i="23"/>
  <c r="J182" i="23"/>
  <c r="I182" i="23"/>
  <c r="L181" i="23"/>
  <c r="K181" i="23"/>
  <c r="J181" i="23"/>
  <c r="I181" i="23"/>
  <c r="H188" i="23"/>
  <c r="G188" i="23"/>
  <c r="F188" i="23"/>
  <c r="H187" i="23"/>
  <c r="G187" i="23"/>
  <c r="F187" i="23"/>
  <c r="H186" i="23"/>
  <c r="G186" i="23"/>
  <c r="F186" i="23"/>
  <c r="H185" i="23"/>
  <c r="G185" i="23"/>
  <c r="F185" i="23"/>
  <c r="H184" i="23"/>
  <c r="G184" i="23"/>
  <c r="F184" i="23"/>
  <c r="H183" i="23"/>
  <c r="G183" i="23"/>
  <c r="F183" i="23"/>
  <c r="H182" i="23"/>
  <c r="G182" i="23"/>
  <c r="F182" i="23"/>
  <c r="H181" i="23"/>
  <c r="G181" i="23"/>
  <c r="U171" i="23"/>
  <c r="T171" i="23"/>
  <c r="S171" i="23"/>
  <c r="U170" i="23"/>
  <c r="T170" i="23"/>
  <c r="S170" i="23"/>
  <c r="U169" i="23"/>
  <c r="T169" i="23"/>
  <c r="S169" i="23"/>
  <c r="U168" i="23"/>
  <c r="T168" i="23"/>
  <c r="S168" i="23"/>
  <c r="U167" i="23"/>
  <c r="T167" i="23"/>
  <c r="S167" i="23"/>
  <c r="U166" i="23"/>
  <c r="T166" i="23"/>
  <c r="S166" i="23"/>
  <c r="U165" i="23"/>
  <c r="T165" i="23"/>
  <c r="S165" i="23"/>
  <c r="U164" i="23"/>
  <c r="T164" i="23"/>
  <c r="S164" i="23"/>
  <c r="Q171" i="23"/>
  <c r="P171" i="23"/>
  <c r="O171" i="23"/>
  <c r="N171" i="23"/>
  <c r="Q170" i="23"/>
  <c r="P170" i="23"/>
  <c r="O170" i="23"/>
  <c r="N170" i="23"/>
  <c r="Q169" i="23"/>
  <c r="P169" i="23"/>
  <c r="O169" i="23"/>
  <c r="N169" i="23"/>
  <c r="Q168" i="23"/>
  <c r="P168" i="23"/>
  <c r="O168" i="23"/>
  <c r="N168" i="23"/>
  <c r="Q167" i="23"/>
  <c r="P167" i="23"/>
  <c r="O167" i="23"/>
  <c r="N167" i="23"/>
  <c r="Q166" i="23"/>
  <c r="P166" i="23"/>
  <c r="O166" i="23"/>
  <c r="N166" i="23"/>
  <c r="Q165" i="23"/>
  <c r="P165" i="23"/>
  <c r="O165" i="23"/>
  <c r="N165" i="23"/>
  <c r="Q164" i="23"/>
  <c r="P164" i="23"/>
  <c r="O164" i="23"/>
  <c r="N164" i="23"/>
  <c r="L171" i="23"/>
  <c r="K171" i="23"/>
  <c r="J171" i="23"/>
  <c r="I171" i="23"/>
  <c r="L170" i="23"/>
  <c r="K170" i="23"/>
  <c r="J170" i="23"/>
  <c r="I170" i="23"/>
  <c r="L169" i="23"/>
  <c r="K169" i="23"/>
  <c r="J169" i="23"/>
  <c r="I169" i="23"/>
  <c r="L168" i="23"/>
  <c r="K168" i="23"/>
  <c r="J168" i="23"/>
  <c r="I168" i="23"/>
  <c r="L167" i="23"/>
  <c r="K167" i="23"/>
  <c r="J167" i="23"/>
  <c r="I167" i="23"/>
  <c r="L166" i="23"/>
  <c r="K166" i="23"/>
  <c r="J166" i="23"/>
  <c r="I166" i="23"/>
  <c r="L165" i="23"/>
  <c r="K165" i="23"/>
  <c r="J165" i="23"/>
  <c r="I165" i="23"/>
  <c r="L164" i="23"/>
  <c r="K164" i="23"/>
  <c r="J164" i="23"/>
  <c r="I164" i="23"/>
  <c r="F181" i="23"/>
  <c r="H171" i="23"/>
  <c r="G171" i="23"/>
  <c r="F171" i="23"/>
  <c r="H170" i="23"/>
  <c r="G170" i="23"/>
  <c r="F170" i="23"/>
  <c r="H169" i="23"/>
  <c r="G169" i="23"/>
  <c r="F169" i="23"/>
  <c r="H168" i="23"/>
  <c r="G168" i="23"/>
  <c r="F168" i="23"/>
  <c r="H167" i="23"/>
  <c r="G167" i="23"/>
  <c r="F167" i="23"/>
  <c r="H166" i="23"/>
  <c r="G166" i="23"/>
  <c r="F166" i="23"/>
  <c r="H165" i="23"/>
  <c r="G165" i="23"/>
  <c r="F165" i="23"/>
  <c r="H164" i="23"/>
  <c r="G164" i="23"/>
  <c r="F164" i="23"/>
  <c r="U150" i="23"/>
  <c r="T150" i="23"/>
  <c r="S150" i="23"/>
  <c r="U149" i="23"/>
  <c r="T149" i="23"/>
  <c r="S149" i="23"/>
  <c r="U148" i="23"/>
  <c r="T148" i="23"/>
  <c r="S148" i="23"/>
  <c r="U147" i="23"/>
  <c r="T147" i="23"/>
  <c r="S147" i="23"/>
  <c r="U146" i="23"/>
  <c r="T146" i="23"/>
  <c r="S146" i="23"/>
  <c r="U145" i="23"/>
  <c r="T145" i="23"/>
  <c r="S145" i="23"/>
  <c r="U144" i="23"/>
  <c r="T144" i="23"/>
  <c r="S144" i="23"/>
  <c r="U143" i="23"/>
  <c r="T143" i="23"/>
  <c r="S143" i="23"/>
  <c r="Q150" i="23"/>
  <c r="P150" i="23"/>
  <c r="O150" i="23"/>
  <c r="N150" i="23"/>
  <c r="Q149" i="23"/>
  <c r="P149" i="23"/>
  <c r="O149" i="23"/>
  <c r="N149" i="23"/>
  <c r="Q148" i="23"/>
  <c r="P148" i="23"/>
  <c r="O148" i="23"/>
  <c r="N148" i="23"/>
  <c r="Q147" i="23"/>
  <c r="P147" i="23"/>
  <c r="O147" i="23"/>
  <c r="N147" i="23"/>
  <c r="Q146" i="23"/>
  <c r="P146" i="23"/>
  <c r="O146" i="23"/>
  <c r="N146" i="23"/>
  <c r="Q145" i="23"/>
  <c r="P145" i="23"/>
  <c r="O145" i="23"/>
  <c r="N145" i="23"/>
  <c r="Q144" i="23"/>
  <c r="P144" i="23"/>
  <c r="O144" i="23"/>
  <c r="N144" i="23"/>
  <c r="Q143" i="23"/>
  <c r="P143" i="23"/>
  <c r="O143" i="23"/>
  <c r="N143" i="23"/>
  <c r="L150" i="23"/>
  <c r="K150" i="23"/>
  <c r="J150" i="23"/>
  <c r="I150" i="23"/>
  <c r="L149" i="23"/>
  <c r="K149" i="23"/>
  <c r="J149" i="23"/>
  <c r="I149" i="23"/>
  <c r="L148" i="23"/>
  <c r="K148" i="23"/>
  <c r="J148" i="23"/>
  <c r="I148" i="23"/>
  <c r="L147" i="23"/>
  <c r="K147" i="23"/>
  <c r="J147" i="23"/>
  <c r="I147" i="23"/>
  <c r="L146" i="23"/>
  <c r="K146" i="23"/>
  <c r="J146" i="23"/>
  <c r="I146" i="23"/>
  <c r="L145" i="23"/>
  <c r="K145" i="23"/>
  <c r="J145" i="23"/>
  <c r="I145" i="23"/>
  <c r="L144" i="23"/>
  <c r="K144" i="23"/>
  <c r="J144" i="23"/>
  <c r="I144" i="23"/>
  <c r="L143" i="23"/>
  <c r="K143" i="23"/>
  <c r="J143" i="23"/>
  <c r="I143" i="23"/>
  <c r="H150" i="23"/>
  <c r="G150" i="23"/>
  <c r="F150" i="23"/>
  <c r="H149" i="23"/>
  <c r="G149" i="23"/>
  <c r="F149" i="23"/>
  <c r="H148" i="23"/>
  <c r="G148" i="23"/>
  <c r="F148" i="23"/>
  <c r="H147" i="23"/>
  <c r="G147" i="23"/>
  <c r="F147" i="23"/>
  <c r="H146" i="23"/>
  <c r="G146" i="23"/>
  <c r="F146" i="23"/>
  <c r="H145" i="23"/>
  <c r="G145" i="23"/>
  <c r="F145" i="23"/>
  <c r="H144" i="23"/>
  <c r="G144" i="23"/>
  <c r="F144" i="23"/>
  <c r="H143" i="23"/>
  <c r="G143" i="23"/>
  <c r="F143" i="23"/>
  <c r="U133" i="23"/>
  <c r="T133" i="23"/>
  <c r="S133" i="23"/>
  <c r="U132" i="23"/>
  <c r="T132" i="23"/>
  <c r="S132" i="23"/>
  <c r="U131" i="23"/>
  <c r="T131" i="23"/>
  <c r="S131" i="23"/>
  <c r="U130" i="23"/>
  <c r="T130" i="23"/>
  <c r="S130" i="23"/>
  <c r="U129" i="23"/>
  <c r="T129" i="23"/>
  <c r="S129" i="23"/>
  <c r="U128" i="23"/>
  <c r="T128" i="23"/>
  <c r="S128" i="23"/>
  <c r="U127" i="23"/>
  <c r="T127" i="23"/>
  <c r="S127" i="23"/>
  <c r="U126" i="23"/>
  <c r="T126" i="23"/>
  <c r="S126" i="23"/>
  <c r="Q133" i="23"/>
  <c r="P133" i="23"/>
  <c r="O133" i="23"/>
  <c r="N133" i="23"/>
  <c r="Q132" i="23"/>
  <c r="P132" i="23"/>
  <c r="O132" i="23"/>
  <c r="N132" i="23"/>
  <c r="Q131" i="23"/>
  <c r="P131" i="23"/>
  <c r="O131" i="23"/>
  <c r="N131" i="23"/>
  <c r="Q130" i="23"/>
  <c r="P130" i="23"/>
  <c r="O130" i="23"/>
  <c r="N130" i="23"/>
  <c r="Q129" i="23"/>
  <c r="P129" i="23"/>
  <c r="O129" i="23"/>
  <c r="N129" i="23"/>
  <c r="Q128" i="23"/>
  <c r="P128" i="23"/>
  <c r="O128" i="23"/>
  <c r="N128" i="23"/>
  <c r="Q127" i="23"/>
  <c r="P127" i="23"/>
  <c r="O127" i="23"/>
  <c r="N127" i="23"/>
  <c r="Q126" i="23"/>
  <c r="P126" i="23"/>
  <c r="O126" i="23"/>
  <c r="N126" i="23"/>
  <c r="L133" i="23"/>
  <c r="K133" i="23"/>
  <c r="J133" i="23"/>
  <c r="I133" i="23"/>
  <c r="L132" i="23"/>
  <c r="K132" i="23"/>
  <c r="J132" i="23"/>
  <c r="I132" i="23"/>
  <c r="L131" i="23"/>
  <c r="K131" i="23"/>
  <c r="J131" i="23"/>
  <c r="I131" i="23"/>
  <c r="L130" i="23"/>
  <c r="K130" i="23"/>
  <c r="J130" i="23"/>
  <c r="I130" i="23"/>
  <c r="L129" i="23"/>
  <c r="K129" i="23"/>
  <c r="J129" i="23"/>
  <c r="I129" i="23"/>
  <c r="L128" i="23"/>
  <c r="K128" i="23"/>
  <c r="J128" i="23"/>
  <c r="I128" i="23"/>
  <c r="L127" i="23"/>
  <c r="K127" i="23"/>
  <c r="J127" i="23"/>
  <c r="I127" i="23"/>
  <c r="L126" i="23"/>
  <c r="K126" i="23"/>
  <c r="J126" i="23"/>
  <c r="I126" i="23"/>
  <c r="H133" i="23"/>
  <c r="G133" i="23"/>
  <c r="F133" i="23"/>
  <c r="H132" i="23"/>
  <c r="G132" i="23"/>
  <c r="F132" i="23"/>
  <c r="H131" i="23"/>
  <c r="G131" i="23"/>
  <c r="F131" i="23"/>
  <c r="H130" i="23"/>
  <c r="G130" i="23"/>
  <c r="F130" i="23"/>
  <c r="H129" i="23"/>
  <c r="G129" i="23"/>
  <c r="F129" i="23"/>
  <c r="H128" i="23"/>
  <c r="G128" i="23"/>
  <c r="F128" i="23"/>
  <c r="H127" i="23"/>
  <c r="G127" i="23"/>
  <c r="F127" i="23"/>
  <c r="H126" i="23"/>
  <c r="G126" i="23"/>
  <c r="F126" i="23"/>
  <c r="U112" i="23"/>
  <c r="T112" i="23"/>
  <c r="S112" i="23"/>
  <c r="U111" i="23"/>
  <c r="T111" i="23"/>
  <c r="S111" i="23"/>
  <c r="U110" i="23"/>
  <c r="T110" i="23"/>
  <c r="S110" i="23"/>
  <c r="U109" i="23"/>
  <c r="T109" i="23"/>
  <c r="S109" i="23"/>
  <c r="U108" i="23"/>
  <c r="T108" i="23"/>
  <c r="S108" i="23"/>
  <c r="U107" i="23"/>
  <c r="T107" i="23"/>
  <c r="S107" i="23"/>
  <c r="U106" i="23"/>
  <c r="T106" i="23"/>
  <c r="S106" i="23"/>
  <c r="U105" i="23"/>
  <c r="T105" i="23"/>
  <c r="S105" i="23"/>
  <c r="Q112" i="23"/>
  <c r="P112" i="23"/>
  <c r="O112" i="23"/>
  <c r="N112" i="23"/>
  <c r="Q111" i="23"/>
  <c r="P111" i="23"/>
  <c r="O111" i="23"/>
  <c r="N111" i="23"/>
  <c r="Q110" i="23"/>
  <c r="P110" i="23"/>
  <c r="O110" i="23"/>
  <c r="N110" i="23"/>
  <c r="Q109" i="23"/>
  <c r="P109" i="23"/>
  <c r="O109" i="23"/>
  <c r="N109" i="23"/>
  <c r="Q108" i="23"/>
  <c r="P108" i="23"/>
  <c r="O108" i="23"/>
  <c r="N108" i="23"/>
  <c r="Q107" i="23"/>
  <c r="P107" i="23"/>
  <c r="O107" i="23"/>
  <c r="N107" i="23"/>
  <c r="Q106" i="23"/>
  <c r="P106" i="23"/>
  <c r="O106" i="23"/>
  <c r="N106" i="23"/>
  <c r="Q105" i="23"/>
  <c r="P105" i="23"/>
  <c r="O105" i="23"/>
  <c r="N105" i="23"/>
  <c r="L112" i="23"/>
  <c r="K112" i="23"/>
  <c r="J112" i="23"/>
  <c r="I112" i="23"/>
  <c r="L111" i="23"/>
  <c r="K111" i="23"/>
  <c r="J111" i="23"/>
  <c r="I111" i="23"/>
  <c r="L110" i="23"/>
  <c r="K110" i="23"/>
  <c r="J110" i="23"/>
  <c r="I110" i="23"/>
  <c r="L109" i="23"/>
  <c r="K109" i="23"/>
  <c r="J109" i="23"/>
  <c r="I109" i="23"/>
  <c r="L108" i="23"/>
  <c r="K108" i="23"/>
  <c r="J108" i="23"/>
  <c r="I108" i="23"/>
  <c r="L107" i="23"/>
  <c r="K107" i="23"/>
  <c r="J107" i="23"/>
  <c r="I107" i="23"/>
  <c r="L106" i="23"/>
  <c r="K106" i="23"/>
  <c r="J106" i="23"/>
  <c r="I106" i="23"/>
  <c r="L105" i="23"/>
  <c r="K105" i="23"/>
  <c r="J105" i="23"/>
  <c r="I105" i="23"/>
  <c r="H112" i="23"/>
  <c r="G112" i="23"/>
  <c r="F112" i="23"/>
  <c r="H111" i="23"/>
  <c r="G111" i="23"/>
  <c r="F111" i="23"/>
  <c r="H110" i="23"/>
  <c r="G110" i="23"/>
  <c r="F110" i="23"/>
  <c r="H109" i="23"/>
  <c r="G109" i="23"/>
  <c r="F109" i="23"/>
  <c r="H108" i="23"/>
  <c r="G108" i="23"/>
  <c r="F108" i="23"/>
  <c r="H107" i="23"/>
  <c r="G107" i="23"/>
  <c r="F107" i="23"/>
  <c r="H106" i="23"/>
  <c r="G106" i="23"/>
  <c r="F106" i="23"/>
  <c r="H105" i="23"/>
  <c r="G105" i="23"/>
  <c r="F105" i="23"/>
  <c r="U95" i="23"/>
  <c r="T95" i="23"/>
  <c r="S95" i="23"/>
  <c r="U94" i="23"/>
  <c r="T94" i="23"/>
  <c r="S94" i="23"/>
  <c r="U93" i="23"/>
  <c r="T93" i="23"/>
  <c r="S93" i="23"/>
  <c r="U92" i="23"/>
  <c r="T92" i="23"/>
  <c r="S92" i="23"/>
  <c r="U91" i="23"/>
  <c r="T91" i="23"/>
  <c r="S91" i="23"/>
  <c r="U90" i="23"/>
  <c r="T90" i="23"/>
  <c r="S90" i="23"/>
  <c r="U89" i="23"/>
  <c r="T89" i="23"/>
  <c r="S89" i="23"/>
  <c r="U88" i="23"/>
  <c r="T88" i="23"/>
  <c r="S88" i="23"/>
  <c r="Q95" i="23"/>
  <c r="P95" i="23"/>
  <c r="O95" i="23"/>
  <c r="N95" i="23"/>
  <c r="Q94" i="23"/>
  <c r="P94" i="23"/>
  <c r="O94" i="23"/>
  <c r="N94" i="23"/>
  <c r="Q93" i="23"/>
  <c r="P93" i="23"/>
  <c r="O93" i="23"/>
  <c r="N93" i="23"/>
  <c r="Q92" i="23"/>
  <c r="P92" i="23"/>
  <c r="O92" i="23"/>
  <c r="N92" i="23"/>
  <c r="Q91" i="23"/>
  <c r="P91" i="23"/>
  <c r="O91" i="23"/>
  <c r="N91" i="23"/>
  <c r="Q90" i="23"/>
  <c r="P90" i="23"/>
  <c r="O90" i="23"/>
  <c r="N90" i="23"/>
  <c r="Q89" i="23"/>
  <c r="P89" i="23"/>
  <c r="O89" i="23"/>
  <c r="N89" i="23"/>
  <c r="Q88" i="23"/>
  <c r="P88" i="23"/>
  <c r="O88" i="23"/>
  <c r="N88" i="23"/>
  <c r="L95" i="23"/>
  <c r="K95" i="23"/>
  <c r="J95" i="23"/>
  <c r="I95" i="23"/>
  <c r="L94" i="23"/>
  <c r="K94" i="23"/>
  <c r="J94" i="23"/>
  <c r="I94" i="23"/>
  <c r="L93" i="23"/>
  <c r="K93" i="23"/>
  <c r="J93" i="23"/>
  <c r="I93" i="23"/>
  <c r="L92" i="23"/>
  <c r="K92" i="23"/>
  <c r="J92" i="23"/>
  <c r="I92" i="23"/>
  <c r="L91" i="23"/>
  <c r="K91" i="23"/>
  <c r="J91" i="23"/>
  <c r="I91" i="23"/>
  <c r="L90" i="23"/>
  <c r="K90" i="23"/>
  <c r="J90" i="23"/>
  <c r="I90" i="23"/>
  <c r="L89" i="23"/>
  <c r="K89" i="23"/>
  <c r="J89" i="23"/>
  <c r="I89" i="23"/>
  <c r="L88" i="23"/>
  <c r="K88" i="23"/>
  <c r="J88" i="23"/>
  <c r="I88" i="23"/>
  <c r="H95" i="23"/>
  <c r="G95" i="23"/>
  <c r="F95" i="23"/>
  <c r="H94" i="23"/>
  <c r="G94" i="23"/>
  <c r="F94" i="23"/>
  <c r="H93" i="23"/>
  <c r="G93" i="23"/>
  <c r="F93" i="23"/>
  <c r="H92" i="23"/>
  <c r="G92" i="23"/>
  <c r="F92" i="23"/>
  <c r="H91" i="23"/>
  <c r="G91" i="23"/>
  <c r="F91" i="23"/>
  <c r="H90" i="23"/>
  <c r="G90" i="23"/>
  <c r="F90" i="23"/>
  <c r="H89" i="23"/>
  <c r="G89" i="23"/>
  <c r="F89" i="23"/>
  <c r="H88" i="23"/>
  <c r="G88" i="23"/>
  <c r="F88" i="23"/>
  <c r="E79" i="23"/>
  <c r="U74" i="23"/>
  <c r="T74" i="23"/>
  <c r="S74" i="23"/>
  <c r="U73" i="23"/>
  <c r="T73" i="23"/>
  <c r="S73" i="23"/>
  <c r="U72" i="23"/>
  <c r="T72" i="23"/>
  <c r="S72" i="23"/>
  <c r="U71" i="23"/>
  <c r="T71" i="23"/>
  <c r="S71" i="23"/>
  <c r="U70" i="23"/>
  <c r="T70" i="23"/>
  <c r="S70" i="23"/>
  <c r="U69" i="23"/>
  <c r="T69" i="23"/>
  <c r="S69" i="23"/>
  <c r="U68" i="23"/>
  <c r="T68" i="23"/>
  <c r="S68" i="23"/>
  <c r="U67" i="23"/>
  <c r="T67" i="23"/>
  <c r="S67" i="23"/>
  <c r="Q74" i="23"/>
  <c r="P74" i="23"/>
  <c r="O74" i="23"/>
  <c r="N74" i="23"/>
  <c r="Q73" i="23"/>
  <c r="P73" i="23"/>
  <c r="O73" i="23"/>
  <c r="N73" i="23"/>
  <c r="Q72" i="23"/>
  <c r="P72" i="23"/>
  <c r="O72" i="23"/>
  <c r="N72" i="23"/>
  <c r="Q71" i="23"/>
  <c r="P71" i="23"/>
  <c r="O71" i="23"/>
  <c r="N71" i="23"/>
  <c r="Q70" i="23"/>
  <c r="P70" i="23"/>
  <c r="O70" i="23"/>
  <c r="N70" i="23"/>
  <c r="Q69" i="23"/>
  <c r="P69" i="23"/>
  <c r="O69" i="23"/>
  <c r="N69" i="23"/>
  <c r="Q68" i="23"/>
  <c r="P68" i="23"/>
  <c r="O68" i="23"/>
  <c r="N68" i="23"/>
  <c r="Q67" i="23"/>
  <c r="P67" i="23"/>
  <c r="O67" i="23"/>
  <c r="N67" i="23"/>
  <c r="L74" i="23"/>
  <c r="K74" i="23"/>
  <c r="J74" i="23"/>
  <c r="I74" i="23"/>
  <c r="L73" i="23"/>
  <c r="K73" i="23"/>
  <c r="J73" i="23"/>
  <c r="I73" i="23"/>
  <c r="L72" i="23"/>
  <c r="K72" i="23"/>
  <c r="J72" i="23"/>
  <c r="I72" i="23"/>
  <c r="L71" i="23"/>
  <c r="K71" i="23"/>
  <c r="J71" i="23"/>
  <c r="I71" i="23"/>
  <c r="L70" i="23"/>
  <c r="K70" i="23"/>
  <c r="J70" i="23"/>
  <c r="I70" i="23"/>
  <c r="L69" i="23"/>
  <c r="K69" i="23"/>
  <c r="J69" i="23"/>
  <c r="I69" i="23"/>
  <c r="L68" i="23"/>
  <c r="K68" i="23"/>
  <c r="J68" i="23"/>
  <c r="I68" i="23"/>
  <c r="L67" i="23"/>
  <c r="K67" i="23"/>
  <c r="J67" i="23"/>
  <c r="I67" i="23"/>
  <c r="H74" i="23"/>
  <c r="G74" i="23"/>
  <c r="F74" i="23"/>
  <c r="H73" i="23"/>
  <c r="G73" i="23"/>
  <c r="F73" i="23"/>
  <c r="H72" i="23"/>
  <c r="G72" i="23"/>
  <c r="F72" i="23"/>
  <c r="H71" i="23"/>
  <c r="G71" i="23"/>
  <c r="F71" i="23"/>
  <c r="H70" i="23"/>
  <c r="G70" i="23"/>
  <c r="F70" i="23"/>
  <c r="H69" i="23"/>
  <c r="G69" i="23"/>
  <c r="F69" i="23"/>
  <c r="H68" i="23"/>
  <c r="G68" i="23"/>
  <c r="F68" i="23"/>
  <c r="H67" i="23"/>
  <c r="G67" i="23"/>
  <c r="F67" i="23"/>
  <c r="U57" i="23"/>
  <c r="T57" i="23"/>
  <c r="S57" i="23"/>
  <c r="U56" i="23"/>
  <c r="T56" i="23"/>
  <c r="S56" i="23"/>
  <c r="U55" i="23"/>
  <c r="T55" i="23"/>
  <c r="S55" i="23"/>
  <c r="U54" i="23"/>
  <c r="T54" i="23"/>
  <c r="S54" i="23"/>
  <c r="U53" i="23"/>
  <c r="T53" i="23"/>
  <c r="S53" i="23"/>
  <c r="U52" i="23"/>
  <c r="T52" i="23"/>
  <c r="S52" i="23"/>
  <c r="U51" i="23"/>
  <c r="T51" i="23"/>
  <c r="S51" i="23"/>
  <c r="U50" i="23"/>
  <c r="T50" i="23"/>
  <c r="S50" i="23"/>
  <c r="Q57" i="23"/>
  <c r="P57" i="23"/>
  <c r="O57" i="23"/>
  <c r="N57" i="23"/>
  <c r="Q56" i="23"/>
  <c r="P56" i="23"/>
  <c r="O56" i="23"/>
  <c r="N56" i="23"/>
  <c r="Q55" i="23"/>
  <c r="P55" i="23"/>
  <c r="O55" i="23"/>
  <c r="N55" i="23"/>
  <c r="Q54" i="23"/>
  <c r="P54" i="23"/>
  <c r="O54" i="23"/>
  <c r="N54" i="23"/>
  <c r="Q53" i="23"/>
  <c r="P53" i="23"/>
  <c r="O53" i="23"/>
  <c r="N53" i="23"/>
  <c r="Q52" i="23"/>
  <c r="P52" i="23"/>
  <c r="O52" i="23"/>
  <c r="N52" i="23"/>
  <c r="Q51" i="23"/>
  <c r="P51" i="23"/>
  <c r="O51" i="23"/>
  <c r="N51" i="23"/>
  <c r="Q50" i="23"/>
  <c r="P50" i="23"/>
  <c r="O50" i="23"/>
  <c r="N50" i="23"/>
  <c r="L57" i="23"/>
  <c r="K57" i="23"/>
  <c r="J57" i="23"/>
  <c r="I57" i="23"/>
  <c r="L56" i="23"/>
  <c r="K56" i="23"/>
  <c r="J56" i="23"/>
  <c r="I56" i="23"/>
  <c r="L55" i="23"/>
  <c r="K55" i="23"/>
  <c r="J55" i="23"/>
  <c r="I55" i="23"/>
  <c r="L54" i="23"/>
  <c r="K54" i="23"/>
  <c r="J54" i="23"/>
  <c r="I54" i="23"/>
  <c r="L53" i="23"/>
  <c r="K53" i="23"/>
  <c r="J53" i="23"/>
  <c r="I53" i="23"/>
  <c r="L52" i="23"/>
  <c r="K52" i="23"/>
  <c r="J52" i="23"/>
  <c r="I52" i="23"/>
  <c r="L51" i="23"/>
  <c r="K51" i="23"/>
  <c r="J51" i="23"/>
  <c r="I51" i="23"/>
  <c r="L50" i="23"/>
  <c r="K50" i="23"/>
  <c r="J50" i="23"/>
  <c r="I50" i="23"/>
  <c r="H57" i="23"/>
  <c r="G57" i="23"/>
  <c r="F57" i="23"/>
  <c r="H56" i="23"/>
  <c r="G56" i="23"/>
  <c r="F56" i="23"/>
  <c r="H55" i="23"/>
  <c r="G55" i="23"/>
  <c r="F55" i="23"/>
  <c r="H54" i="23"/>
  <c r="G54" i="23"/>
  <c r="F54" i="23"/>
  <c r="H53" i="23"/>
  <c r="G53" i="23"/>
  <c r="F53" i="23"/>
  <c r="H52" i="23"/>
  <c r="G52" i="23"/>
  <c r="F52" i="23"/>
  <c r="H51" i="23"/>
  <c r="G51" i="23"/>
  <c r="F51" i="23"/>
  <c r="H50" i="23"/>
  <c r="G50" i="23"/>
  <c r="F50" i="23"/>
  <c r="U36" i="23"/>
  <c r="T36" i="23"/>
  <c r="S36" i="23"/>
  <c r="U35" i="23"/>
  <c r="T35" i="23"/>
  <c r="S35" i="23"/>
  <c r="U34" i="23"/>
  <c r="T34" i="23"/>
  <c r="S34" i="23"/>
  <c r="U33" i="23"/>
  <c r="T33" i="23"/>
  <c r="S33" i="23"/>
  <c r="U32" i="23"/>
  <c r="T32" i="23"/>
  <c r="S32" i="23"/>
  <c r="U31" i="23"/>
  <c r="T31" i="23"/>
  <c r="S31" i="23"/>
  <c r="U30" i="23"/>
  <c r="T30" i="23"/>
  <c r="S30" i="23"/>
  <c r="U29" i="23"/>
  <c r="T29" i="23"/>
  <c r="S29" i="23"/>
  <c r="Q36" i="23"/>
  <c r="P36" i="23"/>
  <c r="O36" i="23"/>
  <c r="N36" i="23"/>
  <c r="Q35" i="23"/>
  <c r="P35" i="23"/>
  <c r="O35" i="23"/>
  <c r="N35" i="23"/>
  <c r="Q34" i="23"/>
  <c r="P34" i="23"/>
  <c r="O34" i="23"/>
  <c r="N34" i="23"/>
  <c r="Q33" i="23"/>
  <c r="P33" i="23"/>
  <c r="O33" i="23"/>
  <c r="N33" i="23"/>
  <c r="Q32" i="23"/>
  <c r="P32" i="23"/>
  <c r="O32" i="23"/>
  <c r="N32" i="23"/>
  <c r="Q31" i="23"/>
  <c r="P31" i="23"/>
  <c r="O31" i="23"/>
  <c r="N31" i="23"/>
  <c r="Q30" i="23"/>
  <c r="P30" i="23"/>
  <c r="O30" i="23"/>
  <c r="N30" i="23"/>
  <c r="Q29" i="23"/>
  <c r="P29" i="23"/>
  <c r="O29" i="23"/>
  <c r="N29" i="23"/>
  <c r="L36" i="23"/>
  <c r="K36" i="23"/>
  <c r="J36" i="23"/>
  <c r="I36" i="23"/>
  <c r="L35" i="23"/>
  <c r="K35" i="23"/>
  <c r="J35" i="23"/>
  <c r="I35" i="23"/>
  <c r="L34" i="23"/>
  <c r="K34" i="23"/>
  <c r="J34" i="23"/>
  <c r="I34" i="23"/>
  <c r="L33" i="23"/>
  <c r="K33" i="23"/>
  <c r="J33" i="23"/>
  <c r="I33" i="23"/>
  <c r="L32" i="23"/>
  <c r="K32" i="23"/>
  <c r="J32" i="23"/>
  <c r="I32" i="23"/>
  <c r="L31" i="23"/>
  <c r="K31" i="23"/>
  <c r="J31" i="23"/>
  <c r="I31" i="23"/>
  <c r="L30" i="23"/>
  <c r="K30" i="23"/>
  <c r="J30" i="23"/>
  <c r="I30" i="23"/>
  <c r="L29" i="23"/>
  <c r="K29" i="23"/>
  <c r="J29" i="23"/>
  <c r="I29" i="23"/>
  <c r="H36" i="23"/>
  <c r="G36" i="23"/>
  <c r="F36" i="23"/>
  <c r="H35" i="23"/>
  <c r="G35" i="23"/>
  <c r="F35" i="23"/>
  <c r="H34" i="23"/>
  <c r="G34" i="23"/>
  <c r="F34" i="23"/>
  <c r="H33" i="23"/>
  <c r="G33" i="23"/>
  <c r="F33" i="23"/>
  <c r="H32" i="23"/>
  <c r="G32" i="23"/>
  <c r="F32" i="23"/>
  <c r="H31" i="23"/>
  <c r="G31" i="23"/>
  <c r="F31" i="23"/>
  <c r="H30" i="23"/>
  <c r="G30" i="23"/>
  <c r="F30" i="23"/>
  <c r="H29" i="23"/>
  <c r="G29" i="23"/>
  <c r="F29" i="23"/>
  <c r="U19" i="23"/>
  <c r="T19" i="23"/>
  <c r="S19" i="23"/>
  <c r="U18" i="23"/>
  <c r="T18" i="23"/>
  <c r="S18" i="23"/>
  <c r="U17" i="23"/>
  <c r="T17" i="23"/>
  <c r="S17" i="23"/>
  <c r="U16" i="23"/>
  <c r="T16" i="23"/>
  <c r="S16" i="23"/>
  <c r="U15" i="23"/>
  <c r="T15" i="23"/>
  <c r="S15" i="23"/>
  <c r="U14" i="23"/>
  <c r="T14" i="23"/>
  <c r="S14" i="23"/>
  <c r="U13" i="23"/>
  <c r="T13" i="23"/>
  <c r="S13" i="23"/>
  <c r="U12" i="23"/>
  <c r="T12" i="23"/>
  <c r="S12" i="23"/>
  <c r="Q19" i="23"/>
  <c r="P19" i="23"/>
  <c r="O19" i="23"/>
  <c r="N19" i="23"/>
  <c r="Q18" i="23"/>
  <c r="P18" i="23"/>
  <c r="O18" i="23"/>
  <c r="N18" i="23"/>
  <c r="Q17" i="23"/>
  <c r="P17" i="23"/>
  <c r="O17" i="23"/>
  <c r="N17" i="23"/>
  <c r="Q16" i="23"/>
  <c r="P16" i="23"/>
  <c r="O16" i="23"/>
  <c r="N16" i="23"/>
  <c r="Q15" i="23"/>
  <c r="P15" i="23"/>
  <c r="O15" i="23"/>
  <c r="N15" i="23"/>
  <c r="Q14" i="23"/>
  <c r="P14" i="23"/>
  <c r="O14" i="23"/>
  <c r="N14" i="23"/>
  <c r="Q13" i="23"/>
  <c r="P13" i="23"/>
  <c r="O13" i="23"/>
  <c r="N13" i="23"/>
  <c r="Q12" i="23"/>
  <c r="P12" i="23"/>
  <c r="O12" i="23"/>
  <c r="N12" i="23"/>
  <c r="L19" i="23"/>
  <c r="K19" i="23"/>
  <c r="J19" i="23"/>
  <c r="I19" i="23"/>
  <c r="L18" i="23"/>
  <c r="K18" i="23"/>
  <c r="J18" i="23"/>
  <c r="I18" i="23"/>
  <c r="L17" i="23"/>
  <c r="K17" i="23"/>
  <c r="J17" i="23"/>
  <c r="I17" i="23"/>
  <c r="L16" i="23"/>
  <c r="K16" i="23"/>
  <c r="J16" i="23"/>
  <c r="I16" i="23"/>
  <c r="L15" i="23"/>
  <c r="K15" i="23"/>
  <c r="J15" i="23"/>
  <c r="I15" i="23"/>
  <c r="L14" i="23"/>
  <c r="K14" i="23"/>
  <c r="J14" i="23"/>
  <c r="I14" i="23"/>
  <c r="L13" i="23"/>
  <c r="K13" i="23"/>
  <c r="J13" i="23"/>
  <c r="I13" i="23"/>
  <c r="L12" i="23"/>
  <c r="K12" i="23"/>
  <c r="J12" i="23"/>
  <c r="I12" i="23"/>
  <c r="H19" i="23"/>
  <c r="G19" i="23"/>
  <c r="F19" i="23"/>
  <c r="H18" i="23"/>
  <c r="G18" i="23"/>
  <c r="F18" i="23"/>
  <c r="H17" i="23"/>
  <c r="G17" i="23"/>
  <c r="F17" i="23"/>
  <c r="H16" i="23"/>
  <c r="G16" i="23"/>
  <c r="F16" i="23"/>
  <c r="H15" i="23"/>
  <c r="G15" i="23"/>
  <c r="F15" i="23"/>
  <c r="H14" i="23"/>
  <c r="G14" i="23"/>
  <c r="F14" i="23"/>
  <c r="H13" i="23"/>
  <c r="G13" i="23"/>
  <c r="F13" i="23"/>
  <c r="H12" i="23"/>
  <c r="G12" i="23"/>
  <c r="F12" i="23"/>
  <c r="R226" i="23"/>
  <c r="R225" i="23"/>
  <c r="R224" i="23"/>
  <c r="R223" i="23"/>
  <c r="H12" i="18" s="1"/>
  <c r="R222" i="23"/>
  <c r="R221" i="23"/>
  <c r="R220" i="23"/>
  <c r="R219" i="23"/>
  <c r="M226" i="23"/>
  <c r="M225" i="23"/>
  <c r="M224" i="23"/>
  <c r="M223" i="23"/>
  <c r="G12" i="18" s="1"/>
  <c r="M222" i="23"/>
  <c r="M221" i="23"/>
  <c r="M220" i="23"/>
  <c r="M219" i="23"/>
  <c r="R209" i="23"/>
  <c r="R208" i="23"/>
  <c r="R207" i="23"/>
  <c r="R206" i="23"/>
  <c r="R205" i="23"/>
  <c r="R204" i="23"/>
  <c r="R203" i="23"/>
  <c r="R202" i="23"/>
  <c r="M209" i="23"/>
  <c r="M208" i="23"/>
  <c r="M207" i="23"/>
  <c r="M206" i="23"/>
  <c r="M205" i="23"/>
  <c r="M204" i="23"/>
  <c r="M203" i="23"/>
  <c r="M202" i="23"/>
  <c r="U583" i="15"/>
  <c r="K8" i="18" s="1"/>
  <c r="T583" i="15"/>
  <c r="J8" i="18" s="1"/>
  <c r="S583" i="15"/>
  <c r="I8" i="18" s="1"/>
  <c r="Q583" i="15"/>
  <c r="P583" i="15"/>
  <c r="O583" i="15"/>
  <c r="N583" i="15"/>
  <c r="L583" i="15"/>
  <c r="K583" i="15"/>
  <c r="J583" i="15"/>
  <c r="I583" i="15"/>
  <c r="H583" i="15"/>
  <c r="F8" i="18" s="1"/>
  <c r="G583" i="15"/>
  <c r="E8" i="18" s="1"/>
  <c r="F583" i="15"/>
  <c r="D8" i="18" s="1"/>
  <c r="R582" i="15"/>
  <c r="M582" i="15"/>
  <c r="R581" i="15"/>
  <c r="M581" i="15"/>
  <c r="R580" i="15"/>
  <c r="M580" i="15"/>
  <c r="R579" i="15"/>
  <c r="M579" i="15"/>
  <c r="R578" i="15"/>
  <c r="M578" i="15"/>
  <c r="R577" i="15"/>
  <c r="M577" i="15"/>
  <c r="R576" i="15"/>
  <c r="M576" i="15"/>
  <c r="U567" i="15"/>
  <c r="T567" i="15"/>
  <c r="S567" i="15"/>
  <c r="Q567" i="15"/>
  <c r="P567" i="15"/>
  <c r="O567" i="15"/>
  <c r="N567" i="15"/>
  <c r="L567" i="15"/>
  <c r="K567" i="15"/>
  <c r="J567" i="15"/>
  <c r="I567" i="15"/>
  <c r="H567" i="15"/>
  <c r="G567" i="15"/>
  <c r="F567" i="15"/>
  <c r="R566" i="15"/>
  <c r="M566" i="15"/>
  <c r="R565" i="15"/>
  <c r="M565" i="15"/>
  <c r="R564" i="15"/>
  <c r="M564" i="15"/>
  <c r="R563" i="15"/>
  <c r="M563" i="15"/>
  <c r="R562" i="15"/>
  <c r="M562" i="15"/>
  <c r="R561" i="15"/>
  <c r="M561" i="15"/>
  <c r="R560" i="15"/>
  <c r="M560" i="15"/>
  <c r="U551" i="15"/>
  <c r="T551" i="15"/>
  <c r="S551" i="15"/>
  <c r="Q551" i="15"/>
  <c r="P551" i="15"/>
  <c r="O551" i="15"/>
  <c r="N551" i="15"/>
  <c r="L551" i="15"/>
  <c r="K551" i="15"/>
  <c r="J551" i="15"/>
  <c r="I551" i="15"/>
  <c r="H551" i="15"/>
  <c r="G551" i="15"/>
  <c r="F551" i="15"/>
  <c r="R550" i="15"/>
  <c r="M550" i="15"/>
  <c r="R549" i="15"/>
  <c r="M549" i="15"/>
  <c r="R548" i="15"/>
  <c r="M548" i="15"/>
  <c r="R547" i="15"/>
  <c r="M547" i="15"/>
  <c r="R546" i="15"/>
  <c r="M546" i="15"/>
  <c r="R545" i="15"/>
  <c r="M545" i="15"/>
  <c r="R544" i="15"/>
  <c r="M544" i="15"/>
  <c r="R534" i="15"/>
  <c r="M534" i="15"/>
  <c r="R533" i="15"/>
  <c r="M533" i="15"/>
  <c r="R532" i="15"/>
  <c r="M532" i="15"/>
  <c r="R531" i="15"/>
  <c r="M531" i="15"/>
  <c r="R530" i="15"/>
  <c r="M530" i="15"/>
  <c r="R529" i="15"/>
  <c r="M529" i="15"/>
  <c r="R528" i="15"/>
  <c r="M528" i="15"/>
  <c r="U535" i="15"/>
  <c r="T535" i="15"/>
  <c r="S535" i="15"/>
  <c r="Q535" i="15"/>
  <c r="P535" i="15"/>
  <c r="O535" i="15"/>
  <c r="N535" i="15"/>
  <c r="L535" i="15"/>
  <c r="K535" i="15"/>
  <c r="J535" i="15"/>
  <c r="I535" i="15"/>
  <c r="H535" i="15"/>
  <c r="G535" i="15"/>
  <c r="F535" i="15"/>
  <c r="R518" i="15"/>
  <c r="R517" i="15"/>
  <c r="R516" i="15"/>
  <c r="R515" i="15"/>
  <c r="R514" i="15"/>
  <c r="R513" i="15"/>
  <c r="R512" i="15"/>
  <c r="M518" i="15"/>
  <c r="M517" i="15"/>
  <c r="M516" i="15"/>
  <c r="M515" i="15"/>
  <c r="M514" i="15"/>
  <c r="M513" i="15"/>
  <c r="M512" i="15"/>
  <c r="U519" i="15"/>
  <c r="K6" i="18" s="1"/>
  <c r="T519" i="15"/>
  <c r="J6" i="18" s="1"/>
  <c r="S519" i="15"/>
  <c r="I6" i="18" s="1"/>
  <c r="Q519" i="15"/>
  <c r="P519" i="15"/>
  <c r="O519" i="15"/>
  <c r="N519" i="15"/>
  <c r="L519" i="15"/>
  <c r="K519" i="15"/>
  <c r="J519" i="15"/>
  <c r="I519" i="15"/>
  <c r="H519" i="15"/>
  <c r="F6" i="18" s="1"/>
  <c r="G519" i="15"/>
  <c r="E6" i="18" s="1"/>
  <c r="F519" i="15"/>
  <c r="D6" i="18" s="1"/>
  <c r="I227" i="23"/>
  <c r="H227" i="23"/>
  <c r="F227" i="23"/>
  <c r="Q227" i="23"/>
  <c r="K227" i="23"/>
  <c r="J227" i="23"/>
  <c r="G227" i="23"/>
  <c r="Q210" i="23"/>
  <c r="P210" i="23"/>
  <c r="O210" i="23"/>
  <c r="N210" i="23"/>
  <c r="L210" i="23"/>
  <c r="K210" i="23"/>
  <c r="S210" i="23"/>
  <c r="I11" i="18" s="1"/>
  <c r="J210" i="23"/>
  <c r="H210" i="23"/>
  <c r="F11" i="18" s="1"/>
  <c r="G210" i="23"/>
  <c r="E11" i="18" s="1"/>
  <c r="F210" i="23"/>
  <c r="D11" i="18" s="1"/>
  <c r="E155" i="23"/>
  <c r="W188" i="23"/>
  <c r="W187" i="23"/>
  <c r="W186" i="23"/>
  <c r="W185" i="23"/>
  <c r="W184" i="23"/>
  <c r="W183" i="23"/>
  <c r="W182" i="23"/>
  <c r="W181" i="23"/>
  <c r="W171" i="23"/>
  <c r="W170" i="23"/>
  <c r="W169" i="23"/>
  <c r="W168" i="23"/>
  <c r="W167" i="23"/>
  <c r="W166" i="23"/>
  <c r="W165" i="23"/>
  <c r="W164" i="23"/>
  <c r="E117" i="23"/>
  <c r="W150" i="23"/>
  <c r="W149" i="23"/>
  <c r="W148" i="23"/>
  <c r="W147" i="23"/>
  <c r="W146" i="23"/>
  <c r="W145" i="23"/>
  <c r="W144" i="23"/>
  <c r="W143" i="23"/>
  <c r="W133" i="23"/>
  <c r="W132" i="23"/>
  <c r="W131" i="23"/>
  <c r="W130" i="23"/>
  <c r="W129" i="23"/>
  <c r="W128" i="23"/>
  <c r="W127" i="23"/>
  <c r="W126" i="23"/>
  <c r="W112" i="23"/>
  <c r="W111" i="23"/>
  <c r="W110" i="23"/>
  <c r="W109" i="23"/>
  <c r="W108" i="23"/>
  <c r="W107" i="23"/>
  <c r="W106" i="23"/>
  <c r="W105" i="23"/>
  <c r="W95" i="23"/>
  <c r="W94" i="23"/>
  <c r="W93" i="23"/>
  <c r="W92" i="23"/>
  <c r="W91" i="23"/>
  <c r="W90" i="23"/>
  <c r="W89" i="23"/>
  <c r="W88" i="23"/>
  <c r="E41" i="23"/>
  <c r="W74" i="23"/>
  <c r="W73" i="23"/>
  <c r="W72" i="23"/>
  <c r="W71" i="23"/>
  <c r="W70" i="23"/>
  <c r="W69" i="23"/>
  <c r="W68" i="23"/>
  <c r="W67" i="23"/>
  <c r="W57" i="23"/>
  <c r="W56" i="23"/>
  <c r="W55" i="23"/>
  <c r="W54" i="23"/>
  <c r="W53" i="23"/>
  <c r="W52" i="23"/>
  <c r="W51" i="23"/>
  <c r="W50" i="23"/>
  <c r="W36" i="23"/>
  <c r="W35" i="23"/>
  <c r="W34" i="23"/>
  <c r="W33" i="23"/>
  <c r="W32" i="23"/>
  <c r="W31" i="23"/>
  <c r="W30" i="23"/>
  <c r="W29" i="23"/>
  <c r="W19" i="23"/>
  <c r="W18" i="23"/>
  <c r="W17" i="23"/>
  <c r="W16" i="23"/>
  <c r="W15" i="23"/>
  <c r="W14" i="23"/>
  <c r="W13" i="23"/>
  <c r="W12" i="23"/>
  <c r="E3" i="23"/>
  <c r="H482" i="15"/>
  <c r="G482" i="15"/>
  <c r="F482" i="15"/>
  <c r="H481" i="15"/>
  <c r="G481" i="15"/>
  <c r="F481" i="15"/>
  <c r="H480" i="15"/>
  <c r="G480" i="15"/>
  <c r="F480" i="15"/>
  <c r="H479" i="15"/>
  <c r="G479" i="15"/>
  <c r="F479" i="15"/>
  <c r="H478" i="15"/>
  <c r="G478" i="15"/>
  <c r="F478" i="15"/>
  <c r="H477" i="15"/>
  <c r="G477" i="15"/>
  <c r="F477" i="15"/>
  <c r="H476" i="15"/>
  <c r="G476" i="15"/>
  <c r="F476" i="15"/>
  <c r="U466" i="15"/>
  <c r="T466" i="15"/>
  <c r="S466" i="15"/>
  <c r="U465" i="15"/>
  <c r="T465" i="15"/>
  <c r="S465" i="15"/>
  <c r="U464" i="15"/>
  <c r="T464" i="15"/>
  <c r="S464" i="15"/>
  <c r="U463" i="15"/>
  <c r="T463" i="15"/>
  <c r="S463" i="15"/>
  <c r="U462" i="15"/>
  <c r="T462" i="15"/>
  <c r="S462" i="15"/>
  <c r="U461" i="15"/>
  <c r="T461" i="15"/>
  <c r="S461" i="15"/>
  <c r="U460" i="15"/>
  <c r="T460" i="15"/>
  <c r="S460" i="15"/>
  <c r="Q466" i="15"/>
  <c r="P466" i="15"/>
  <c r="O466" i="15"/>
  <c r="N466" i="15"/>
  <c r="Q465" i="15"/>
  <c r="P465" i="15"/>
  <c r="O465" i="15"/>
  <c r="N465" i="15"/>
  <c r="Q464" i="15"/>
  <c r="P464" i="15"/>
  <c r="O464" i="15"/>
  <c r="N464" i="15"/>
  <c r="Q463" i="15"/>
  <c r="P463" i="15"/>
  <c r="O463" i="15"/>
  <c r="N463" i="15"/>
  <c r="Q462" i="15"/>
  <c r="P462" i="15"/>
  <c r="O462" i="15"/>
  <c r="N462" i="15"/>
  <c r="Q461" i="15"/>
  <c r="P461" i="15"/>
  <c r="O461" i="15"/>
  <c r="N461" i="15"/>
  <c r="Q460" i="15"/>
  <c r="P460" i="15"/>
  <c r="O460" i="15"/>
  <c r="N460" i="15"/>
  <c r="L466" i="15"/>
  <c r="K466" i="15"/>
  <c r="J466" i="15"/>
  <c r="I466" i="15"/>
  <c r="L465" i="15"/>
  <c r="K465" i="15"/>
  <c r="J465" i="15"/>
  <c r="I465" i="15"/>
  <c r="L464" i="15"/>
  <c r="K464" i="15"/>
  <c r="J464" i="15"/>
  <c r="I464" i="15"/>
  <c r="L463" i="15"/>
  <c r="K463" i="15"/>
  <c r="J463" i="15"/>
  <c r="I463" i="15"/>
  <c r="L462" i="15"/>
  <c r="K462" i="15"/>
  <c r="J462" i="15"/>
  <c r="I462" i="15"/>
  <c r="L461" i="15"/>
  <c r="K461" i="15"/>
  <c r="J461" i="15"/>
  <c r="I461" i="15"/>
  <c r="L460" i="15"/>
  <c r="K460" i="15"/>
  <c r="J460" i="15"/>
  <c r="I460" i="15"/>
  <c r="H466" i="15"/>
  <c r="G466" i="15"/>
  <c r="F466" i="15"/>
  <c r="H465" i="15"/>
  <c r="G465" i="15"/>
  <c r="F465" i="15"/>
  <c r="H464" i="15"/>
  <c r="G464" i="15"/>
  <c r="F464" i="15"/>
  <c r="H463" i="15"/>
  <c r="G463" i="15"/>
  <c r="F463" i="15"/>
  <c r="H462" i="15"/>
  <c r="G462" i="15"/>
  <c r="F462" i="15"/>
  <c r="H461" i="15"/>
  <c r="G461" i="15"/>
  <c r="F461" i="15"/>
  <c r="H460" i="15"/>
  <c r="G460" i="15"/>
  <c r="F460" i="15"/>
  <c r="U450" i="15"/>
  <c r="T450" i="15"/>
  <c r="S450" i="15"/>
  <c r="U449" i="15"/>
  <c r="T449" i="15"/>
  <c r="S449" i="15"/>
  <c r="U448" i="15"/>
  <c r="T448" i="15"/>
  <c r="S448" i="15"/>
  <c r="U447" i="15"/>
  <c r="T447" i="15"/>
  <c r="S447" i="15"/>
  <c r="U446" i="15"/>
  <c r="T446" i="15"/>
  <c r="S446" i="15"/>
  <c r="U445" i="15"/>
  <c r="T445" i="15"/>
  <c r="S445" i="15"/>
  <c r="U444" i="15"/>
  <c r="T444" i="15"/>
  <c r="S444" i="15"/>
  <c r="Q450" i="15"/>
  <c r="P450" i="15"/>
  <c r="O450" i="15"/>
  <c r="N450" i="15"/>
  <c r="Q449" i="15"/>
  <c r="P449" i="15"/>
  <c r="O449" i="15"/>
  <c r="N449" i="15"/>
  <c r="Q448" i="15"/>
  <c r="P448" i="15"/>
  <c r="O448" i="15"/>
  <c r="N448" i="15"/>
  <c r="Q447" i="15"/>
  <c r="P447" i="15"/>
  <c r="O447" i="15"/>
  <c r="N447" i="15"/>
  <c r="Q446" i="15"/>
  <c r="P446" i="15"/>
  <c r="O446" i="15"/>
  <c r="N446" i="15"/>
  <c r="Q445" i="15"/>
  <c r="P445" i="15"/>
  <c r="O445" i="15"/>
  <c r="N445" i="15"/>
  <c r="Q444" i="15"/>
  <c r="P444" i="15"/>
  <c r="O444" i="15"/>
  <c r="N444" i="15"/>
  <c r="L450" i="15"/>
  <c r="K450" i="15"/>
  <c r="J450" i="15"/>
  <c r="I450" i="15"/>
  <c r="L449" i="15"/>
  <c r="K449" i="15"/>
  <c r="J449" i="15"/>
  <c r="I449" i="15"/>
  <c r="L448" i="15"/>
  <c r="K448" i="15"/>
  <c r="J448" i="15"/>
  <c r="I448" i="15"/>
  <c r="L447" i="15"/>
  <c r="K447" i="15"/>
  <c r="J447" i="15"/>
  <c r="I447" i="15"/>
  <c r="L446" i="15"/>
  <c r="K446" i="15"/>
  <c r="J446" i="15"/>
  <c r="I446" i="15"/>
  <c r="L445" i="15"/>
  <c r="K445" i="15"/>
  <c r="J445" i="15"/>
  <c r="I445" i="15"/>
  <c r="L444" i="15"/>
  <c r="K444" i="15"/>
  <c r="J444" i="15"/>
  <c r="I444" i="15"/>
  <c r="H450" i="15"/>
  <c r="G450" i="15"/>
  <c r="F450" i="15"/>
  <c r="H449" i="15"/>
  <c r="G449" i="15"/>
  <c r="F449" i="15"/>
  <c r="H448" i="15"/>
  <c r="G448" i="15"/>
  <c r="F448" i="15"/>
  <c r="H447" i="15"/>
  <c r="G447" i="15"/>
  <c r="F447" i="15"/>
  <c r="H446" i="15"/>
  <c r="G446" i="15"/>
  <c r="F446" i="15"/>
  <c r="H445" i="15"/>
  <c r="G445" i="15"/>
  <c r="F445" i="15"/>
  <c r="H444" i="15"/>
  <c r="G444" i="15"/>
  <c r="F444" i="15"/>
  <c r="U434" i="15"/>
  <c r="T434" i="15"/>
  <c r="S434" i="15"/>
  <c r="U433" i="15"/>
  <c r="T433" i="15"/>
  <c r="S433" i="15"/>
  <c r="U432" i="15"/>
  <c r="T432" i="15"/>
  <c r="S432" i="15"/>
  <c r="U431" i="15"/>
  <c r="T431" i="15"/>
  <c r="S431" i="15"/>
  <c r="U430" i="15"/>
  <c r="T430" i="15"/>
  <c r="S430" i="15"/>
  <c r="U429" i="15"/>
  <c r="T429" i="15"/>
  <c r="S429" i="15"/>
  <c r="U428" i="15"/>
  <c r="T428" i="15"/>
  <c r="S428" i="15"/>
  <c r="Q434" i="15"/>
  <c r="P434" i="15"/>
  <c r="O434" i="15"/>
  <c r="N434" i="15"/>
  <c r="Q433" i="15"/>
  <c r="P433" i="15"/>
  <c r="O433" i="15"/>
  <c r="N433" i="15"/>
  <c r="Q432" i="15"/>
  <c r="P432" i="15"/>
  <c r="O432" i="15"/>
  <c r="N432" i="15"/>
  <c r="Q431" i="15"/>
  <c r="P431" i="15"/>
  <c r="O431" i="15"/>
  <c r="N431" i="15"/>
  <c r="Q430" i="15"/>
  <c r="P430" i="15"/>
  <c r="O430" i="15"/>
  <c r="N430" i="15"/>
  <c r="Q429" i="15"/>
  <c r="P429" i="15"/>
  <c r="O429" i="15"/>
  <c r="N429" i="15"/>
  <c r="Q428" i="15"/>
  <c r="P428" i="15"/>
  <c r="O428" i="15"/>
  <c r="N428" i="15"/>
  <c r="L434" i="15"/>
  <c r="K434" i="15"/>
  <c r="J434" i="15"/>
  <c r="I434" i="15"/>
  <c r="L433" i="15"/>
  <c r="K433" i="15"/>
  <c r="J433" i="15"/>
  <c r="I433" i="15"/>
  <c r="L432" i="15"/>
  <c r="K432" i="15"/>
  <c r="J432" i="15"/>
  <c r="I432" i="15"/>
  <c r="L431" i="15"/>
  <c r="K431" i="15"/>
  <c r="J431" i="15"/>
  <c r="I431" i="15"/>
  <c r="L430" i="15"/>
  <c r="K430" i="15"/>
  <c r="J430" i="15"/>
  <c r="I430" i="15"/>
  <c r="L429" i="15"/>
  <c r="K429" i="15"/>
  <c r="J429" i="15"/>
  <c r="I429" i="15"/>
  <c r="L428" i="15"/>
  <c r="K428" i="15"/>
  <c r="J428" i="15"/>
  <c r="I428" i="15"/>
  <c r="H434" i="15"/>
  <c r="G434" i="15"/>
  <c r="F434" i="15"/>
  <c r="H433" i="15"/>
  <c r="G433" i="15"/>
  <c r="F433" i="15"/>
  <c r="H432" i="15"/>
  <c r="G432" i="15"/>
  <c r="F432" i="15"/>
  <c r="H431" i="15"/>
  <c r="G431" i="15"/>
  <c r="F431" i="15"/>
  <c r="H430" i="15"/>
  <c r="G430" i="15"/>
  <c r="F430" i="15"/>
  <c r="H429" i="15"/>
  <c r="G429" i="15"/>
  <c r="F429" i="15"/>
  <c r="H428" i="15"/>
  <c r="G428" i="15"/>
  <c r="F428" i="15"/>
  <c r="U418" i="15"/>
  <c r="T418" i="15"/>
  <c r="S418" i="15"/>
  <c r="U417" i="15"/>
  <c r="T417" i="15"/>
  <c r="S417" i="15"/>
  <c r="U416" i="15"/>
  <c r="T416" i="15"/>
  <c r="S416" i="15"/>
  <c r="U415" i="15"/>
  <c r="T415" i="15"/>
  <c r="S415" i="15"/>
  <c r="U414" i="15"/>
  <c r="T414" i="15"/>
  <c r="S414" i="15"/>
  <c r="U413" i="15"/>
  <c r="T413" i="15"/>
  <c r="S413" i="15"/>
  <c r="U412" i="15"/>
  <c r="T412" i="15"/>
  <c r="S412" i="15"/>
  <c r="Q418" i="15"/>
  <c r="P418" i="15"/>
  <c r="O418" i="15"/>
  <c r="N418" i="15"/>
  <c r="Q417" i="15"/>
  <c r="P417" i="15"/>
  <c r="O417" i="15"/>
  <c r="N417" i="15"/>
  <c r="Q416" i="15"/>
  <c r="P416" i="15"/>
  <c r="O416" i="15"/>
  <c r="N416" i="15"/>
  <c r="Q415" i="15"/>
  <c r="P415" i="15"/>
  <c r="O415" i="15"/>
  <c r="N415" i="15"/>
  <c r="Q414" i="15"/>
  <c r="P414" i="15"/>
  <c r="O414" i="15"/>
  <c r="N414" i="15"/>
  <c r="Q413" i="15"/>
  <c r="P413" i="15"/>
  <c r="O413" i="15"/>
  <c r="N413" i="15"/>
  <c r="Q412" i="15"/>
  <c r="P412" i="15"/>
  <c r="O412" i="15"/>
  <c r="N412" i="15"/>
  <c r="L418" i="15"/>
  <c r="K418" i="15"/>
  <c r="J418" i="15"/>
  <c r="I418" i="15"/>
  <c r="L417" i="15"/>
  <c r="K417" i="15"/>
  <c r="J417" i="15"/>
  <c r="I417" i="15"/>
  <c r="L416" i="15"/>
  <c r="K416" i="15"/>
  <c r="J416" i="15"/>
  <c r="I416" i="15"/>
  <c r="L415" i="15"/>
  <c r="K415" i="15"/>
  <c r="J415" i="15"/>
  <c r="I415" i="15"/>
  <c r="L414" i="15"/>
  <c r="K414" i="15"/>
  <c r="J414" i="15"/>
  <c r="I414" i="15"/>
  <c r="L413" i="15"/>
  <c r="K413" i="15"/>
  <c r="J413" i="15"/>
  <c r="I413" i="15"/>
  <c r="L412" i="15"/>
  <c r="K412" i="15"/>
  <c r="J412" i="15"/>
  <c r="I412" i="15"/>
  <c r="H418" i="15"/>
  <c r="G418" i="15"/>
  <c r="F418" i="15"/>
  <c r="H417" i="15"/>
  <c r="G417" i="15"/>
  <c r="F417" i="15"/>
  <c r="H416" i="15"/>
  <c r="G416" i="15"/>
  <c r="F416" i="15"/>
  <c r="H415" i="15"/>
  <c r="G415" i="15"/>
  <c r="F415" i="15"/>
  <c r="H414" i="15"/>
  <c r="G414" i="15"/>
  <c r="F414" i="15"/>
  <c r="H413" i="15"/>
  <c r="G413" i="15"/>
  <c r="F413" i="15"/>
  <c r="H412" i="15"/>
  <c r="G412" i="15"/>
  <c r="F412" i="15"/>
  <c r="H382" i="15"/>
  <c r="G382" i="15"/>
  <c r="F382" i="15"/>
  <c r="H381" i="15"/>
  <c r="G381" i="15"/>
  <c r="F381" i="15"/>
  <c r="H380" i="15"/>
  <c r="G380" i="15"/>
  <c r="F380" i="15"/>
  <c r="H379" i="15"/>
  <c r="G379" i="15"/>
  <c r="F379" i="15"/>
  <c r="H378" i="15"/>
  <c r="G378" i="15"/>
  <c r="F378" i="15"/>
  <c r="H377" i="15"/>
  <c r="G377" i="15"/>
  <c r="F377" i="15"/>
  <c r="H376" i="15"/>
  <c r="G376" i="15"/>
  <c r="F376" i="15"/>
  <c r="U366" i="15"/>
  <c r="T366" i="15"/>
  <c r="S366" i="15"/>
  <c r="U365" i="15"/>
  <c r="T365" i="15"/>
  <c r="S365" i="15"/>
  <c r="U364" i="15"/>
  <c r="T364" i="15"/>
  <c r="S364" i="15"/>
  <c r="U363" i="15"/>
  <c r="T363" i="15"/>
  <c r="S363" i="15"/>
  <c r="U362" i="15"/>
  <c r="T362" i="15"/>
  <c r="S362" i="15"/>
  <c r="U361" i="15"/>
  <c r="T361" i="15"/>
  <c r="S361" i="15"/>
  <c r="U360" i="15"/>
  <c r="T360" i="15"/>
  <c r="S360" i="15"/>
  <c r="Q366" i="15"/>
  <c r="P366" i="15"/>
  <c r="O366" i="15"/>
  <c r="N366" i="15"/>
  <c r="Q365" i="15"/>
  <c r="P365" i="15"/>
  <c r="O365" i="15"/>
  <c r="N365" i="15"/>
  <c r="Q364" i="15"/>
  <c r="P364" i="15"/>
  <c r="O364" i="15"/>
  <c r="N364" i="15"/>
  <c r="Q363" i="15"/>
  <c r="P363" i="15"/>
  <c r="O363" i="15"/>
  <c r="N363" i="15"/>
  <c r="Q362" i="15"/>
  <c r="P362" i="15"/>
  <c r="O362" i="15"/>
  <c r="N362" i="15"/>
  <c r="Q361" i="15"/>
  <c r="P361" i="15"/>
  <c r="O361" i="15"/>
  <c r="N361" i="15"/>
  <c r="Q360" i="15"/>
  <c r="P360" i="15"/>
  <c r="O360" i="15"/>
  <c r="N360" i="15"/>
  <c r="L366" i="15"/>
  <c r="K366" i="15"/>
  <c r="J366" i="15"/>
  <c r="I366" i="15"/>
  <c r="L365" i="15"/>
  <c r="K365" i="15"/>
  <c r="J365" i="15"/>
  <c r="I365" i="15"/>
  <c r="L364" i="15"/>
  <c r="K364" i="15"/>
  <c r="J364" i="15"/>
  <c r="I364" i="15"/>
  <c r="L363" i="15"/>
  <c r="K363" i="15"/>
  <c r="J363" i="15"/>
  <c r="I363" i="15"/>
  <c r="L362" i="15"/>
  <c r="K362" i="15"/>
  <c r="J362" i="15"/>
  <c r="I362" i="15"/>
  <c r="L361" i="15"/>
  <c r="K361" i="15"/>
  <c r="J361" i="15"/>
  <c r="I361" i="15"/>
  <c r="L360" i="15"/>
  <c r="K360" i="15"/>
  <c r="J360" i="15"/>
  <c r="I360" i="15"/>
  <c r="H366" i="15"/>
  <c r="G366" i="15"/>
  <c r="F366" i="15"/>
  <c r="H365" i="15"/>
  <c r="G365" i="15"/>
  <c r="F365" i="15"/>
  <c r="H364" i="15"/>
  <c r="G364" i="15"/>
  <c r="F364" i="15"/>
  <c r="H363" i="15"/>
  <c r="G363" i="15"/>
  <c r="F363" i="15"/>
  <c r="H362" i="15"/>
  <c r="G362" i="15"/>
  <c r="F362" i="15"/>
  <c r="H361" i="15"/>
  <c r="G361" i="15"/>
  <c r="F361" i="15"/>
  <c r="H360" i="15"/>
  <c r="G360" i="15"/>
  <c r="F360" i="15"/>
  <c r="U350" i="15"/>
  <c r="T350" i="15"/>
  <c r="S350" i="15"/>
  <c r="U349" i="15"/>
  <c r="T349" i="15"/>
  <c r="S349" i="15"/>
  <c r="U348" i="15"/>
  <c r="T348" i="15"/>
  <c r="S348" i="15"/>
  <c r="U347" i="15"/>
  <c r="T347" i="15"/>
  <c r="S347" i="15"/>
  <c r="U346" i="15"/>
  <c r="T346" i="15"/>
  <c r="S346" i="15"/>
  <c r="U345" i="15"/>
  <c r="T345" i="15"/>
  <c r="S345" i="15"/>
  <c r="U344" i="15"/>
  <c r="T344" i="15"/>
  <c r="S344" i="15"/>
  <c r="Q350" i="15"/>
  <c r="P350" i="15"/>
  <c r="O350" i="15"/>
  <c r="N350" i="15"/>
  <c r="Q349" i="15"/>
  <c r="P349" i="15"/>
  <c r="O349" i="15"/>
  <c r="N349" i="15"/>
  <c r="Q348" i="15"/>
  <c r="P348" i="15"/>
  <c r="O348" i="15"/>
  <c r="N348" i="15"/>
  <c r="Q347" i="15"/>
  <c r="P347" i="15"/>
  <c r="O347" i="15"/>
  <c r="N347" i="15"/>
  <c r="Q346" i="15"/>
  <c r="P346" i="15"/>
  <c r="O346" i="15"/>
  <c r="N346" i="15"/>
  <c r="Q345" i="15"/>
  <c r="P345" i="15"/>
  <c r="O345" i="15"/>
  <c r="N345" i="15"/>
  <c r="Q344" i="15"/>
  <c r="P344" i="15"/>
  <c r="O344" i="15"/>
  <c r="N344" i="15"/>
  <c r="L350" i="15"/>
  <c r="K350" i="15"/>
  <c r="J350" i="15"/>
  <c r="I350" i="15"/>
  <c r="L349" i="15"/>
  <c r="K349" i="15"/>
  <c r="J349" i="15"/>
  <c r="I349" i="15"/>
  <c r="L348" i="15"/>
  <c r="K348" i="15"/>
  <c r="J348" i="15"/>
  <c r="I348" i="15"/>
  <c r="L347" i="15"/>
  <c r="K347" i="15"/>
  <c r="J347" i="15"/>
  <c r="I347" i="15"/>
  <c r="L346" i="15"/>
  <c r="K346" i="15"/>
  <c r="J346" i="15"/>
  <c r="I346" i="15"/>
  <c r="L345" i="15"/>
  <c r="K345" i="15"/>
  <c r="J345" i="15"/>
  <c r="I345" i="15"/>
  <c r="L344" i="15"/>
  <c r="K344" i="15"/>
  <c r="J344" i="15"/>
  <c r="I344" i="15"/>
  <c r="H350" i="15"/>
  <c r="G350" i="15"/>
  <c r="F350" i="15"/>
  <c r="H349" i="15"/>
  <c r="G349" i="15"/>
  <c r="F349" i="15"/>
  <c r="H348" i="15"/>
  <c r="G348" i="15"/>
  <c r="F348" i="15"/>
  <c r="H347" i="15"/>
  <c r="G347" i="15"/>
  <c r="F347" i="15"/>
  <c r="H346" i="15"/>
  <c r="G346" i="15"/>
  <c r="F346" i="15"/>
  <c r="H345" i="15"/>
  <c r="G345" i="15"/>
  <c r="F345" i="15"/>
  <c r="H344" i="15"/>
  <c r="G344" i="15"/>
  <c r="F344" i="15"/>
  <c r="U334" i="15"/>
  <c r="T334" i="15"/>
  <c r="S334" i="15"/>
  <c r="U333" i="15"/>
  <c r="T333" i="15"/>
  <c r="S333" i="15"/>
  <c r="U332" i="15"/>
  <c r="T332" i="15"/>
  <c r="S332" i="15"/>
  <c r="U331" i="15"/>
  <c r="T331" i="15"/>
  <c r="S331" i="15"/>
  <c r="U330" i="15"/>
  <c r="T330" i="15"/>
  <c r="S330" i="15"/>
  <c r="U329" i="15"/>
  <c r="T329" i="15"/>
  <c r="S329" i="15"/>
  <c r="U328" i="15"/>
  <c r="T328" i="15"/>
  <c r="S328" i="15"/>
  <c r="Q334" i="15"/>
  <c r="P334" i="15"/>
  <c r="O334" i="15"/>
  <c r="N334" i="15"/>
  <c r="Q333" i="15"/>
  <c r="P333" i="15"/>
  <c r="O333" i="15"/>
  <c r="N333" i="15"/>
  <c r="Q332" i="15"/>
  <c r="P332" i="15"/>
  <c r="O332" i="15"/>
  <c r="N332" i="15"/>
  <c r="Q331" i="15"/>
  <c r="P331" i="15"/>
  <c r="O331" i="15"/>
  <c r="N331" i="15"/>
  <c r="Q330" i="15"/>
  <c r="P330" i="15"/>
  <c r="O330" i="15"/>
  <c r="N330" i="15"/>
  <c r="Q329" i="15"/>
  <c r="P329" i="15"/>
  <c r="O329" i="15"/>
  <c r="N329" i="15"/>
  <c r="Q328" i="15"/>
  <c r="P328" i="15"/>
  <c r="O328" i="15"/>
  <c r="N328" i="15"/>
  <c r="L334" i="15"/>
  <c r="K334" i="15"/>
  <c r="J334" i="15"/>
  <c r="I334" i="15"/>
  <c r="L333" i="15"/>
  <c r="K333" i="15"/>
  <c r="J333" i="15"/>
  <c r="I333" i="15"/>
  <c r="L332" i="15"/>
  <c r="K332" i="15"/>
  <c r="J332" i="15"/>
  <c r="I332" i="15"/>
  <c r="L331" i="15"/>
  <c r="K331" i="15"/>
  <c r="J331" i="15"/>
  <c r="I331" i="15"/>
  <c r="L330" i="15"/>
  <c r="K330" i="15"/>
  <c r="J330" i="15"/>
  <c r="I330" i="15"/>
  <c r="L329" i="15"/>
  <c r="K329" i="15"/>
  <c r="J329" i="15"/>
  <c r="I329" i="15"/>
  <c r="L328" i="15"/>
  <c r="K328" i="15"/>
  <c r="J328" i="15"/>
  <c r="I328" i="15"/>
  <c r="H334" i="15"/>
  <c r="G334" i="15"/>
  <c r="F334" i="15"/>
  <c r="H333" i="15"/>
  <c r="G333" i="15"/>
  <c r="F333" i="15"/>
  <c r="H332" i="15"/>
  <c r="G332" i="15"/>
  <c r="F332" i="15"/>
  <c r="H331" i="15"/>
  <c r="G331" i="15"/>
  <c r="F331" i="15"/>
  <c r="H330" i="15"/>
  <c r="G330" i="15"/>
  <c r="F330" i="15"/>
  <c r="H329" i="15"/>
  <c r="G329" i="15"/>
  <c r="F329" i="15"/>
  <c r="H328" i="15"/>
  <c r="G328" i="15"/>
  <c r="F328" i="15"/>
  <c r="U318" i="15"/>
  <c r="T318" i="15"/>
  <c r="S318" i="15"/>
  <c r="U317" i="15"/>
  <c r="T317" i="15"/>
  <c r="S317" i="15"/>
  <c r="U316" i="15"/>
  <c r="T316" i="15"/>
  <c r="S316" i="15"/>
  <c r="U315" i="15"/>
  <c r="T315" i="15"/>
  <c r="S315" i="15"/>
  <c r="U314" i="15"/>
  <c r="T314" i="15"/>
  <c r="S314" i="15"/>
  <c r="U313" i="15"/>
  <c r="T313" i="15"/>
  <c r="S313" i="15"/>
  <c r="U312" i="15"/>
  <c r="T312" i="15"/>
  <c r="S312" i="15"/>
  <c r="Q318" i="15"/>
  <c r="P318" i="15"/>
  <c r="O318" i="15"/>
  <c r="N318" i="15"/>
  <c r="Q317" i="15"/>
  <c r="P317" i="15"/>
  <c r="O317" i="15"/>
  <c r="N317" i="15"/>
  <c r="Q316" i="15"/>
  <c r="P316" i="15"/>
  <c r="O316" i="15"/>
  <c r="N316" i="15"/>
  <c r="Q315" i="15"/>
  <c r="P315" i="15"/>
  <c r="O315" i="15"/>
  <c r="N315" i="15"/>
  <c r="Q314" i="15"/>
  <c r="P314" i="15"/>
  <c r="O314" i="15"/>
  <c r="N314" i="15"/>
  <c r="Q313" i="15"/>
  <c r="P313" i="15"/>
  <c r="O313" i="15"/>
  <c r="N313" i="15"/>
  <c r="Q312" i="15"/>
  <c r="P312" i="15"/>
  <c r="O312" i="15"/>
  <c r="N312" i="15"/>
  <c r="L318" i="15"/>
  <c r="K318" i="15"/>
  <c r="J318" i="15"/>
  <c r="I318" i="15"/>
  <c r="L317" i="15"/>
  <c r="K317" i="15"/>
  <c r="J317" i="15"/>
  <c r="I317" i="15"/>
  <c r="L316" i="15"/>
  <c r="K316" i="15"/>
  <c r="J316" i="15"/>
  <c r="I316" i="15"/>
  <c r="L315" i="15"/>
  <c r="K315" i="15"/>
  <c r="J315" i="15"/>
  <c r="I315" i="15"/>
  <c r="L314" i="15"/>
  <c r="K314" i="15"/>
  <c r="J314" i="15"/>
  <c r="I314" i="15"/>
  <c r="L313" i="15"/>
  <c r="K313" i="15"/>
  <c r="J313" i="15"/>
  <c r="I313" i="15"/>
  <c r="L312" i="15"/>
  <c r="K312" i="15"/>
  <c r="J312" i="15"/>
  <c r="I312" i="15"/>
  <c r="H318" i="15"/>
  <c r="G318" i="15"/>
  <c r="F318" i="15"/>
  <c r="H317" i="15"/>
  <c r="G317" i="15"/>
  <c r="F317" i="15"/>
  <c r="H316" i="15"/>
  <c r="G316" i="15"/>
  <c r="F316" i="15"/>
  <c r="H315" i="15"/>
  <c r="G315" i="15"/>
  <c r="F315" i="15"/>
  <c r="H314" i="15"/>
  <c r="G314" i="15"/>
  <c r="F314" i="15"/>
  <c r="H313" i="15"/>
  <c r="G313" i="15"/>
  <c r="F313" i="15"/>
  <c r="H312" i="15"/>
  <c r="G312" i="15"/>
  <c r="F312" i="15"/>
  <c r="H282" i="15"/>
  <c r="G282" i="15"/>
  <c r="F282" i="15"/>
  <c r="H281" i="15"/>
  <c r="G281" i="15"/>
  <c r="F281" i="15"/>
  <c r="H280" i="15"/>
  <c r="G280" i="15"/>
  <c r="F280" i="15"/>
  <c r="H279" i="15"/>
  <c r="G279" i="15"/>
  <c r="F279" i="15"/>
  <c r="H278" i="15"/>
  <c r="G278" i="15"/>
  <c r="F278" i="15"/>
  <c r="H277" i="15"/>
  <c r="G277" i="15"/>
  <c r="F277" i="15"/>
  <c r="H276" i="15"/>
  <c r="G276" i="15"/>
  <c r="F276" i="15"/>
  <c r="U266" i="15"/>
  <c r="T266" i="15"/>
  <c r="S266" i="15"/>
  <c r="U265" i="15"/>
  <c r="T265" i="15"/>
  <c r="S265" i="15"/>
  <c r="U264" i="15"/>
  <c r="T264" i="15"/>
  <c r="S264" i="15"/>
  <c r="U263" i="15"/>
  <c r="T263" i="15"/>
  <c r="S263" i="15"/>
  <c r="U262" i="15"/>
  <c r="T262" i="15"/>
  <c r="S262" i="15"/>
  <c r="U261" i="15"/>
  <c r="T261" i="15"/>
  <c r="S261" i="15"/>
  <c r="U260" i="15"/>
  <c r="T260" i="15"/>
  <c r="S260" i="15"/>
  <c r="Q266" i="15"/>
  <c r="P266" i="15"/>
  <c r="O266" i="15"/>
  <c r="N266" i="15"/>
  <c r="Q265" i="15"/>
  <c r="P265" i="15"/>
  <c r="O265" i="15"/>
  <c r="N265" i="15"/>
  <c r="Q264" i="15"/>
  <c r="P264" i="15"/>
  <c r="O264" i="15"/>
  <c r="N264" i="15"/>
  <c r="Q263" i="15"/>
  <c r="P263" i="15"/>
  <c r="O263" i="15"/>
  <c r="N263" i="15"/>
  <c r="Q262" i="15"/>
  <c r="P262" i="15"/>
  <c r="O262" i="15"/>
  <c r="N262" i="15"/>
  <c r="Q261" i="15"/>
  <c r="P261" i="15"/>
  <c r="O261" i="15"/>
  <c r="N261" i="15"/>
  <c r="Q260" i="15"/>
  <c r="P260" i="15"/>
  <c r="O260" i="15"/>
  <c r="N260" i="15"/>
  <c r="L266" i="15"/>
  <c r="K266" i="15"/>
  <c r="J266" i="15"/>
  <c r="I266" i="15"/>
  <c r="L265" i="15"/>
  <c r="K265" i="15"/>
  <c r="J265" i="15"/>
  <c r="I265" i="15"/>
  <c r="L264" i="15"/>
  <c r="K264" i="15"/>
  <c r="J264" i="15"/>
  <c r="I264" i="15"/>
  <c r="L263" i="15"/>
  <c r="K263" i="15"/>
  <c r="J263" i="15"/>
  <c r="I263" i="15"/>
  <c r="L262" i="15"/>
  <c r="K262" i="15"/>
  <c r="J262" i="15"/>
  <c r="I262" i="15"/>
  <c r="L261" i="15"/>
  <c r="K261" i="15"/>
  <c r="J261" i="15"/>
  <c r="I261" i="15"/>
  <c r="L260" i="15"/>
  <c r="K260" i="15"/>
  <c r="J260" i="15"/>
  <c r="I260" i="15"/>
  <c r="H266" i="15"/>
  <c r="G266" i="15"/>
  <c r="F266" i="15"/>
  <c r="H265" i="15"/>
  <c r="G265" i="15"/>
  <c r="F265" i="15"/>
  <c r="H264" i="15"/>
  <c r="G264" i="15"/>
  <c r="F264" i="15"/>
  <c r="H263" i="15"/>
  <c r="G263" i="15"/>
  <c r="F263" i="15"/>
  <c r="H262" i="15"/>
  <c r="G262" i="15"/>
  <c r="F262" i="15"/>
  <c r="H261" i="15"/>
  <c r="G261" i="15"/>
  <c r="F261" i="15"/>
  <c r="H260" i="15"/>
  <c r="G260" i="15"/>
  <c r="F260" i="15"/>
  <c r="U250" i="15"/>
  <c r="T250" i="15"/>
  <c r="S250" i="15"/>
  <c r="U249" i="15"/>
  <c r="T249" i="15"/>
  <c r="S249" i="15"/>
  <c r="U248" i="15"/>
  <c r="T248" i="15"/>
  <c r="S248" i="15"/>
  <c r="U247" i="15"/>
  <c r="T247" i="15"/>
  <c r="S247" i="15"/>
  <c r="U246" i="15"/>
  <c r="T246" i="15"/>
  <c r="S246" i="15"/>
  <c r="U245" i="15"/>
  <c r="T245" i="15"/>
  <c r="S245" i="15"/>
  <c r="U244" i="15"/>
  <c r="T244" i="15"/>
  <c r="S244" i="15"/>
  <c r="Q250" i="15"/>
  <c r="P250" i="15"/>
  <c r="O250" i="15"/>
  <c r="N250" i="15"/>
  <c r="Q249" i="15"/>
  <c r="P249" i="15"/>
  <c r="O249" i="15"/>
  <c r="N249" i="15"/>
  <c r="Q248" i="15"/>
  <c r="P248" i="15"/>
  <c r="O248" i="15"/>
  <c r="N248" i="15"/>
  <c r="Q247" i="15"/>
  <c r="P247" i="15"/>
  <c r="O247" i="15"/>
  <c r="N247" i="15"/>
  <c r="Q246" i="15"/>
  <c r="P246" i="15"/>
  <c r="O246" i="15"/>
  <c r="N246" i="15"/>
  <c r="Q245" i="15"/>
  <c r="P245" i="15"/>
  <c r="O245" i="15"/>
  <c r="N245" i="15"/>
  <c r="Q244" i="15"/>
  <c r="P244" i="15"/>
  <c r="O244" i="15"/>
  <c r="N244" i="15"/>
  <c r="L250" i="15"/>
  <c r="K250" i="15"/>
  <c r="J250" i="15"/>
  <c r="I250" i="15"/>
  <c r="L249" i="15"/>
  <c r="K249" i="15"/>
  <c r="J249" i="15"/>
  <c r="I249" i="15"/>
  <c r="L248" i="15"/>
  <c r="K248" i="15"/>
  <c r="J248" i="15"/>
  <c r="I248" i="15"/>
  <c r="L247" i="15"/>
  <c r="K247" i="15"/>
  <c r="J247" i="15"/>
  <c r="I247" i="15"/>
  <c r="L246" i="15"/>
  <c r="K246" i="15"/>
  <c r="J246" i="15"/>
  <c r="I246" i="15"/>
  <c r="L245" i="15"/>
  <c r="K245" i="15"/>
  <c r="J245" i="15"/>
  <c r="I245" i="15"/>
  <c r="L244" i="15"/>
  <c r="K244" i="15"/>
  <c r="J244" i="15"/>
  <c r="I244" i="15"/>
  <c r="H250" i="15"/>
  <c r="G250" i="15"/>
  <c r="F250" i="15"/>
  <c r="H249" i="15"/>
  <c r="G249" i="15"/>
  <c r="F249" i="15"/>
  <c r="H248" i="15"/>
  <c r="G248" i="15"/>
  <c r="F248" i="15"/>
  <c r="H247" i="15"/>
  <c r="G247" i="15"/>
  <c r="F247" i="15"/>
  <c r="H246" i="15"/>
  <c r="G246" i="15"/>
  <c r="F246" i="15"/>
  <c r="H245" i="15"/>
  <c r="G245" i="15"/>
  <c r="F245" i="15"/>
  <c r="H244" i="15"/>
  <c r="G244" i="15"/>
  <c r="F244" i="15"/>
  <c r="U234" i="15"/>
  <c r="T234" i="15"/>
  <c r="S234" i="15"/>
  <c r="U233" i="15"/>
  <c r="T233" i="15"/>
  <c r="S233" i="15"/>
  <c r="U232" i="15"/>
  <c r="T232" i="15"/>
  <c r="S232" i="15"/>
  <c r="U231" i="15"/>
  <c r="T231" i="15"/>
  <c r="S231" i="15"/>
  <c r="U230" i="15"/>
  <c r="T230" i="15"/>
  <c r="S230" i="15"/>
  <c r="U229" i="15"/>
  <c r="T229" i="15"/>
  <c r="S229" i="15"/>
  <c r="U228" i="15"/>
  <c r="T228" i="15"/>
  <c r="S228" i="15"/>
  <c r="Q234" i="15"/>
  <c r="P234" i="15"/>
  <c r="O234" i="15"/>
  <c r="N234" i="15"/>
  <c r="Q233" i="15"/>
  <c r="P233" i="15"/>
  <c r="O233" i="15"/>
  <c r="N233" i="15"/>
  <c r="Q232" i="15"/>
  <c r="P232" i="15"/>
  <c r="O232" i="15"/>
  <c r="N232" i="15"/>
  <c r="Q231" i="15"/>
  <c r="P231" i="15"/>
  <c r="O231" i="15"/>
  <c r="N231" i="15"/>
  <c r="Q230" i="15"/>
  <c r="P230" i="15"/>
  <c r="O230" i="15"/>
  <c r="N230" i="15"/>
  <c r="Q229" i="15"/>
  <c r="P229" i="15"/>
  <c r="O229" i="15"/>
  <c r="N229" i="15"/>
  <c r="Q228" i="15"/>
  <c r="P228" i="15"/>
  <c r="O228" i="15"/>
  <c r="N228" i="15"/>
  <c r="L234" i="15"/>
  <c r="K234" i="15"/>
  <c r="J234" i="15"/>
  <c r="I234" i="15"/>
  <c r="L233" i="15"/>
  <c r="K233" i="15"/>
  <c r="J233" i="15"/>
  <c r="I233" i="15"/>
  <c r="L232" i="15"/>
  <c r="K232" i="15"/>
  <c r="J232" i="15"/>
  <c r="I232" i="15"/>
  <c r="L231" i="15"/>
  <c r="K231" i="15"/>
  <c r="J231" i="15"/>
  <c r="I231" i="15"/>
  <c r="L230" i="15"/>
  <c r="K230" i="15"/>
  <c r="J230" i="15"/>
  <c r="I230" i="15"/>
  <c r="L229" i="15"/>
  <c r="K229" i="15"/>
  <c r="J229" i="15"/>
  <c r="I229" i="15"/>
  <c r="L228" i="15"/>
  <c r="K228" i="15"/>
  <c r="J228" i="15"/>
  <c r="I228" i="15"/>
  <c r="H234" i="15"/>
  <c r="G234" i="15"/>
  <c r="F234" i="15"/>
  <c r="H233" i="15"/>
  <c r="G233" i="15"/>
  <c r="F233" i="15"/>
  <c r="H232" i="15"/>
  <c r="G232" i="15"/>
  <c r="F232" i="15"/>
  <c r="H231" i="15"/>
  <c r="G231" i="15"/>
  <c r="F231" i="15"/>
  <c r="H230" i="15"/>
  <c r="G230" i="15"/>
  <c r="F230" i="15"/>
  <c r="H229" i="15"/>
  <c r="G229" i="15"/>
  <c r="F229" i="15"/>
  <c r="H228" i="15"/>
  <c r="G228" i="15"/>
  <c r="F228" i="15"/>
  <c r="U218" i="15"/>
  <c r="T218" i="15"/>
  <c r="S218" i="15"/>
  <c r="U217" i="15"/>
  <c r="T217" i="15"/>
  <c r="S217" i="15"/>
  <c r="U216" i="15"/>
  <c r="T216" i="15"/>
  <c r="S216" i="15"/>
  <c r="U215" i="15"/>
  <c r="T215" i="15"/>
  <c r="S215" i="15"/>
  <c r="U214" i="15"/>
  <c r="T214" i="15"/>
  <c r="S214" i="15"/>
  <c r="U213" i="15"/>
  <c r="T213" i="15"/>
  <c r="S213" i="15"/>
  <c r="U212" i="15"/>
  <c r="T212" i="15"/>
  <c r="S212" i="15"/>
  <c r="Q218" i="15"/>
  <c r="P218" i="15"/>
  <c r="O218" i="15"/>
  <c r="N218" i="15"/>
  <c r="Q217" i="15"/>
  <c r="P217" i="15"/>
  <c r="O217" i="15"/>
  <c r="N217" i="15"/>
  <c r="Q216" i="15"/>
  <c r="P216" i="15"/>
  <c r="O216" i="15"/>
  <c r="N216" i="15"/>
  <c r="Q215" i="15"/>
  <c r="P215" i="15"/>
  <c r="O215" i="15"/>
  <c r="N215" i="15"/>
  <c r="Q214" i="15"/>
  <c r="P214" i="15"/>
  <c r="O214" i="15"/>
  <c r="N214" i="15"/>
  <c r="Q213" i="15"/>
  <c r="P213" i="15"/>
  <c r="O213" i="15"/>
  <c r="N213" i="15"/>
  <c r="Q212" i="15"/>
  <c r="P212" i="15"/>
  <c r="O212" i="15"/>
  <c r="N212" i="15"/>
  <c r="L218" i="15"/>
  <c r="K218" i="15"/>
  <c r="J218" i="15"/>
  <c r="I218" i="15"/>
  <c r="L217" i="15"/>
  <c r="K217" i="15"/>
  <c r="J217" i="15"/>
  <c r="I217" i="15"/>
  <c r="L216" i="15"/>
  <c r="K216" i="15"/>
  <c r="J216" i="15"/>
  <c r="I216" i="15"/>
  <c r="L215" i="15"/>
  <c r="K215" i="15"/>
  <c r="J215" i="15"/>
  <c r="I215" i="15"/>
  <c r="L214" i="15"/>
  <c r="K214" i="15"/>
  <c r="J214" i="15"/>
  <c r="I214" i="15"/>
  <c r="L213" i="15"/>
  <c r="K213" i="15"/>
  <c r="J213" i="15"/>
  <c r="I213" i="15"/>
  <c r="L212" i="15"/>
  <c r="K212" i="15"/>
  <c r="J212" i="15"/>
  <c r="I212" i="15"/>
  <c r="H218" i="15"/>
  <c r="G218" i="15"/>
  <c r="F218" i="15"/>
  <c r="H217" i="15"/>
  <c r="G217" i="15"/>
  <c r="F217" i="15"/>
  <c r="H216" i="15"/>
  <c r="G216" i="15"/>
  <c r="F216" i="15"/>
  <c r="H215" i="15"/>
  <c r="G215" i="15"/>
  <c r="F215" i="15"/>
  <c r="H214" i="15"/>
  <c r="G214" i="15"/>
  <c r="F214" i="15"/>
  <c r="H213" i="15"/>
  <c r="G213" i="15"/>
  <c r="F213" i="15"/>
  <c r="H212" i="15"/>
  <c r="G212" i="15"/>
  <c r="F212" i="15"/>
  <c r="E403" i="15"/>
  <c r="E303" i="15"/>
  <c r="W498" i="15"/>
  <c r="W497" i="15"/>
  <c r="W496" i="15"/>
  <c r="W495" i="15"/>
  <c r="W494" i="15"/>
  <c r="W493" i="15"/>
  <c r="W492" i="15"/>
  <c r="W466" i="15"/>
  <c r="W465" i="15"/>
  <c r="W464" i="15"/>
  <c r="W463" i="15"/>
  <c r="W462" i="15"/>
  <c r="W461" i="15"/>
  <c r="W460" i="15"/>
  <c r="W450" i="15"/>
  <c r="W449" i="15"/>
  <c r="W448" i="15"/>
  <c r="W447" i="15"/>
  <c r="W446" i="15"/>
  <c r="W445" i="15"/>
  <c r="W444" i="15"/>
  <c r="W434" i="15"/>
  <c r="W433" i="15"/>
  <c r="W432" i="15"/>
  <c r="W431" i="15"/>
  <c r="W430" i="15"/>
  <c r="W429" i="15"/>
  <c r="W428" i="15"/>
  <c r="W418" i="15"/>
  <c r="W417" i="15"/>
  <c r="W416" i="15"/>
  <c r="W415" i="15"/>
  <c r="W414" i="15"/>
  <c r="W413" i="15"/>
  <c r="W412" i="15"/>
  <c r="W398" i="15"/>
  <c r="W397" i="15"/>
  <c r="W396" i="15"/>
  <c r="W395" i="15"/>
  <c r="W394" i="15"/>
  <c r="W393" i="15"/>
  <c r="W392" i="15"/>
  <c r="W366" i="15"/>
  <c r="W365" i="15"/>
  <c r="W364" i="15"/>
  <c r="W363" i="15"/>
  <c r="W362" i="15"/>
  <c r="W361" i="15"/>
  <c r="W360" i="15"/>
  <c r="W350" i="15"/>
  <c r="W349" i="15"/>
  <c r="W348" i="15"/>
  <c r="W347" i="15"/>
  <c r="W346" i="15"/>
  <c r="W345" i="15"/>
  <c r="W344" i="15"/>
  <c r="W334" i="15"/>
  <c r="W333" i="15"/>
  <c r="W332" i="15"/>
  <c r="W331" i="15"/>
  <c r="W330" i="15"/>
  <c r="W329" i="15"/>
  <c r="W328" i="15"/>
  <c r="W318" i="15"/>
  <c r="W317" i="15"/>
  <c r="W316" i="15"/>
  <c r="W315" i="15"/>
  <c r="W314" i="15"/>
  <c r="W313" i="15"/>
  <c r="W312" i="15"/>
  <c r="E203" i="15"/>
  <c r="W298" i="15"/>
  <c r="W297" i="15"/>
  <c r="W296" i="15"/>
  <c r="W295" i="15"/>
  <c r="W294" i="15"/>
  <c r="W293" i="15"/>
  <c r="W292" i="15"/>
  <c r="W266" i="15"/>
  <c r="W265" i="15"/>
  <c r="W264" i="15"/>
  <c r="W263" i="15"/>
  <c r="W262" i="15"/>
  <c r="W261" i="15"/>
  <c r="W260" i="15"/>
  <c r="W250" i="15"/>
  <c r="W249" i="15"/>
  <c r="W248" i="15"/>
  <c r="W247" i="15"/>
  <c r="W246" i="15"/>
  <c r="W245" i="15"/>
  <c r="W244" i="15"/>
  <c r="W234" i="15"/>
  <c r="W233" i="15"/>
  <c r="W232" i="15"/>
  <c r="W231" i="15"/>
  <c r="W230" i="15"/>
  <c r="W229" i="15"/>
  <c r="W228" i="15"/>
  <c r="W218" i="15"/>
  <c r="W217" i="15"/>
  <c r="W216" i="15"/>
  <c r="W215" i="15"/>
  <c r="W214" i="15"/>
  <c r="W213" i="15"/>
  <c r="W212" i="15"/>
  <c r="H182" i="15"/>
  <c r="G182" i="15"/>
  <c r="F182" i="15"/>
  <c r="H181" i="15"/>
  <c r="G181" i="15"/>
  <c r="F181" i="15"/>
  <c r="H180" i="15"/>
  <c r="G180" i="15"/>
  <c r="F180" i="15"/>
  <c r="H179" i="15"/>
  <c r="G179" i="15"/>
  <c r="F179" i="15"/>
  <c r="H178" i="15"/>
  <c r="G178" i="15"/>
  <c r="F178" i="15"/>
  <c r="H177" i="15"/>
  <c r="G177" i="15"/>
  <c r="F177" i="15"/>
  <c r="H176" i="15"/>
  <c r="G176" i="15"/>
  <c r="F176" i="15"/>
  <c r="U166" i="15"/>
  <c r="T166" i="15"/>
  <c r="S166" i="15"/>
  <c r="U165" i="15"/>
  <c r="T165" i="15"/>
  <c r="S165" i="15"/>
  <c r="U164" i="15"/>
  <c r="T164" i="15"/>
  <c r="S164" i="15"/>
  <c r="U163" i="15"/>
  <c r="T163" i="15"/>
  <c r="S163" i="15"/>
  <c r="U162" i="15"/>
  <c r="T162" i="15"/>
  <c r="S162" i="15"/>
  <c r="U161" i="15"/>
  <c r="T161" i="15"/>
  <c r="S161" i="15"/>
  <c r="U160" i="15"/>
  <c r="T160" i="15"/>
  <c r="S160" i="15"/>
  <c r="Q166" i="15"/>
  <c r="P166" i="15"/>
  <c r="O166" i="15"/>
  <c r="N166" i="15"/>
  <c r="Q165" i="15"/>
  <c r="P165" i="15"/>
  <c r="O165" i="15"/>
  <c r="N165" i="15"/>
  <c r="Q164" i="15"/>
  <c r="P164" i="15"/>
  <c r="O164" i="15"/>
  <c r="N164" i="15"/>
  <c r="Q163" i="15"/>
  <c r="P163" i="15"/>
  <c r="O163" i="15"/>
  <c r="N163" i="15"/>
  <c r="Q162" i="15"/>
  <c r="P162" i="15"/>
  <c r="O162" i="15"/>
  <c r="N162" i="15"/>
  <c r="Q161" i="15"/>
  <c r="P161" i="15"/>
  <c r="O161" i="15"/>
  <c r="N161" i="15"/>
  <c r="Q160" i="15"/>
  <c r="P160" i="15"/>
  <c r="O160" i="15"/>
  <c r="N160" i="15"/>
  <c r="L166" i="15"/>
  <c r="K166" i="15"/>
  <c r="J166" i="15"/>
  <c r="I166" i="15"/>
  <c r="L165" i="15"/>
  <c r="K165" i="15"/>
  <c r="J165" i="15"/>
  <c r="I165" i="15"/>
  <c r="L164" i="15"/>
  <c r="K164" i="15"/>
  <c r="J164" i="15"/>
  <c r="I164" i="15"/>
  <c r="L163" i="15"/>
  <c r="K163" i="15"/>
  <c r="J163" i="15"/>
  <c r="I163" i="15"/>
  <c r="L162" i="15"/>
  <c r="K162" i="15"/>
  <c r="J162" i="15"/>
  <c r="I162" i="15"/>
  <c r="L161" i="15"/>
  <c r="K161" i="15"/>
  <c r="J161" i="15"/>
  <c r="I161" i="15"/>
  <c r="L160" i="15"/>
  <c r="K160" i="15"/>
  <c r="J160" i="15"/>
  <c r="I160" i="15"/>
  <c r="H166" i="15"/>
  <c r="G166" i="15"/>
  <c r="F166" i="15"/>
  <c r="H165" i="15"/>
  <c r="G165" i="15"/>
  <c r="F165" i="15"/>
  <c r="H164" i="15"/>
  <c r="G164" i="15"/>
  <c r="F164" i="15"/>
  <c r="H163" i="15"/>
  <c r="G163" i="15"/>
  <c r="F163" i="15"/>
  <c r="H162" i="15"/>
  <c r="G162" i="15"/>
  <c r="F162" i="15"/>
  <c r="H161" i="15"/>
  <c r="G161" i="15"/>
  <c r="F161" i="15"/>
  <c r="H160" i="15"/>
  <c r="G160" i="15"/>
  <c r="F160" i="15"/>
  <c r="U150" i="15"/>
  <c r="T150" i="15"/>
  <c r="S150" i="15"/>
  <c r="U149" i="15"/>
  <c r="T149" i="15"/>
  <c r="S149" i="15"/>
  <c r="U148" i="15"/>
  <c r="T148" i="15"/>
  <c r="S148" i="15"/>
  <c r="U147" i="15"/>
  <c r="T147" i="15"/>
  <c r="S147" i="15"/>
  <c r="U146" i="15"/>
  <c r="T146" i="15"/>
  <c r="S146" i="15"/>
  <c r="U145" i="15"/>
  <c r="T145" i="15"/>
  <c r="S145" i="15"/>
  <c r="U144" i="15"/>
  <c r="T144" i="15"/>
  <c r="S144" i="15"/>
  <c r="Q150" i="15"/>
  <c r="P150" i="15"/>
  <c r="O150" i="15"/>
  <c r="N150" i="15"/>
  <c r="Q149" i="15"/>
  <c r="P149" i="15"/>
  <c r="O149" i="15"/>
  <c r="N149" i="15"/>
  <c r="Q148" i="15"/>
  <c r="P148" i="15"/>
  <c r="O148" i="15"/>
  <c r="N148" i="15"/>
  <c r="Q147" i="15"/>
  <c r="P147" i="15"/>
  <c r="O147" i="15"/>
  <c r="N147" i="15"/>
  <c r="Q146" i="15"/>
  <c r="P146" i="15"/>
  <c r="O146" i="15"/>
  <c r="N146" i="15"/>
  <c r="Q145" i="15"/>
  <c r="P145" i="15"/>
  <c r="O145" i="15"/>
  <c r="N145" i="15"/>
  <c r="Q144" i="15"/>
  <c r="P144" i="15"/>
  <c r="O144" i="15"/>
  <c r="N144" i="15"/>
  <c r="L150" i="15"/>
  <c r="K150" i="15"/>
  <c r="J150" i="15"/>
  <c r="I150" i="15"/>
  <c r="L149" i="15"/>
  <c r="K149" i="15"/>
  <c r="J149" i="15"/>
  <c r="I149" i="15"/>
  <c r="L148" i="15"/>
  <c r="K148" i="15"/>
  <c r="J148" i="15"/>
  <c r="I148" i="15"/>
  <c r="L147" i="15"/>
  <c r="K147" i="15"/>
  <c r="J147" i="15"/>
  <c r="I147" i="15"/>
  <c r="L146" i="15"/>
  <c r="K146" i="15"/>
  <c r="J146" i="15"/>
  <c r="I146" i="15"/>
  <c r="L145" i="15"/>
  <c r="K145" i="15"/>
  <c r="J145" i="15"/>
  <c r="I145" i="15"/>
  <c r="L144" i="15"/>
  <c r="K144" i="15"/>
  <c r="J144" i="15"/>
  <c r="I144" i="15"/>
  <c r="H150" i="15"/>
  <c r="G150" i="15"/>
  <c r="F150" i="15"/>
  <c r="H149" i="15"/>
  <c r="G149" i="15"/>
  <c r="F149" i="15"/>
  <c r="H148" i="15"/>
  <c r="G148" i="15"/>
  <c r="F148" i="15"/>
  <c r="H147" i="15"/>
  <c r="G147" i="15"/>
  <c r="F147" i="15"/>
  <c r="H146" i="15"/>
  <c r="G146" i="15"/>
  <c r="F146" i="15"/>
  <c r="H145" i="15"/>
  <c r="G145" i="15"/>
  <c r="F145" i="15"/>
  <c r="H144" i="15"/>
  <c r="G144" i="15"/>
  <c r="F144" i="15"/>
  <c r="U134" i="15"/>
  <c r="T134" i="15"/>
  <c r="S134" i="15"/>
  <c r="U133" i="15"/>
  <c r="T133" i="15"/>
  <c r="S133" i="15"/>
  <c r="U132" i="15"/>
  <c r="T132" i="15"/>
  <c r="S132" i="15"/>
  <c r="U131" i="15"/>
  <c r="T131" i="15"/>
  <c r="S131" i="15"/>
  <c r="U130" i="15"/>
  <c r="T130" i="15"/>
  <c r="S130" i="15"/>
  <c r="U129" i="15"/>
  <c r="T129" i="15"/>
  <c r="S129" i="15"/>
  <c r="U128" i="15"/>
  <c r="T128" i="15"/>
  <c r="S128" i="15"/>
  <c r="Q134" i="15"/>
  <c r="P134" i="15"/>
  <c r="O134" i="15"/>
  <c r="N134" i="15"/>
  <c r="Q133" i="15"/>
  <c r="P133" i="15"/>
  <c r="O133" i="15"/>
  <c r="N133" i="15"/>
  <c r="Q132" i="15"/>
  <c r="P132" i="15"/>
  <c r="O132" i="15"/>
  <c r="N132" i="15"/>
  <c r="Q131" i="15"/>
  <c r="P131" i="15"/>
  <c r="O131" i="15"/>
  <c r="N131" i="15"/>
  <c r="Q130" i="15"/>
  <c r="P130" i="15"/>
  <c r="O130" i="15"/>
  <c r="N130" i="15"/>
  <c r="Q129" i="15"/>
  <c r="P129" i="15"/>
  <c r="O129" i="15"/>
  <c r="N129" i="15"/>
  <c r="Q128" i="15"/>
  <c r="P128" i="15"/>
  <c r="O128" i="15"/>
  <c r="N128" i="15"/>
  <c r="L134" i="15"/>
  <c r="K134" i="15"/>
  <c r="J134" i="15"/>
  <c r="I134" i="15"/>
  <c r="L133" i="15"/>
  <c r="K133" i="15"/>
  <c r="J133" i="15"/>
  <c r="I133" i="15"/>
  <c r="L132" i="15"/>
  <c r="K132" i="15"/>
  <c r="J132" i="15"/>
  <c r="I132" i="15"/>
  <c r="L131" i="15"/>
  <c r="K131" i="15"/>
  <c r="J131" i="15"/>
  <c r="I131" i="15"/>
  <c r="L130" i="15"/>
  <c r="K130" i="15"/>
  <c r="J130" i="15"/>
  <c r="I130" i="15"/>
  <c r="L129" i="15"/>
  <c r="K129" i="15"/>
  <c r="J129" i="15"/>
  <c r="I129" i="15"/>
  <c r="L128" i="15"/>
  <c r="K128" i="15"/>
  <c r="J128" i="15"/>
  <c r="I128" i="15"/>
  <c r="H134" i="15"/>
  <c r="G134" i="15"/>
  <c r="F134" i="15"/>
  <c r="H133" i="15"/>
  <c r="G133" i="15"/>
  <c r="F133" i="15"/>
  <c r="H132" i="15"/>
  <c r="G132" i="15"/>
  <c r="F132" i="15"/>
  <c r="H131" i="15"/>
  <c r="G131" i="15"/>
  <c r="F131" i="15"/>
  <c r="H130" i="15"/>
  <c r="G130" i="15"/>
  <c r="F130" i="15"/>
  <c r="H129" i="15"/>
  <c r="G129" i="15"/>
  <c r="F129" i="15"/>
  <c r="H128" i="15"/>
  <c r="G128" i="15"/>
  <c r="F128" i="15"/>
  <c r="U118" i="15"/>
  <c r="T118" i="15"/>
  <c r="S118" i="15"/>
  <c r="U117" i="15"/>
  <c r="T117" i="15"/>
  <c r="S117" i="15"/>
  <c r="U116" i="15"/>
  <c r="T116" i="15"/>
  <c r="S116" i="15"/>
  <c r="U115" i="15"/>
  <c r="T115" i="15"/>
  <c r="S115" i="15"/>
  <c r="U114" i="15"/>
  <c r="T114" i="15"/>
  <c r="S114" i="15"/>
  <c r="U113" i="15"/>
  <c r="T113" i="15"/>
  <c r="S113" i="15"/>
  <c r="U112" i="15"/>
  <c r="T112" i="15"/>
  <c r="S112" i="15"/>
  <c r="Q118" i="15"/>
  <c r="P118" i="15"/>
  <c r="O118" i="15"/>
  <c r="N118" i="15"/>
  <c r="Q117" i="15"/>
  <c r="P117" i="15"/>
  <c r="O117" i="15"/>
  <c r="N117" i="15"/>
  <c r="Q116" i="15"/>
  <c r="P116" i="15"/>
  <c r="O116" i="15"/>
  <c r="N116" i="15"/>
  <c r="Q115" i="15"/>
  <c r="P115" i="15"/>
  <c r="O115" i="15"/>
  <c r="N115" i="15"/>
  <c r="Q114" i="15"/>
  <c r="P114" i="15"/>
  <c r="O114" i="15"/>
  <c r="N114" i="15"/>
  <c r="Q113" i="15"/>
  <c r="P113" i="15"/>
  <c r="O113" i="15"/>
  <c r="N113" i="15"/>
  <c r="Q112" i="15"/>
  <c r="P112" i="15"/>
  <c r="O112" i="15"/>
  <c r="N112" i="15"/>
  <c r="L118" i="15"/>
  <c r="K118" i="15"/>
  <c r="J118" i="15"/>
  <c r="I118" i="15"/>
  <c r="L117" i="15"/>
  <c r="K117" i="15"/>
  <c r="J117" i="15"/>
  <c r="I117" i="15"/>
  <c r="L116" i="15"/>
  <c r="K116" i="15"/>
  <c r="J116" i="15"/>
  <c r="I116" i="15"/>
  <c r="L115" i="15"/>
  <c r="K115" i="15"/>
  <c r="J115" i="15"/>
  <c r="I115" i="15"/>
  <c r="L114" i="15"/>
  <c r="K114" i="15"/>
  <c r="J114" i="15"/>
  <c r="I114" i="15"/>
  <c r="L113" i="15"/>
  <c r="K113" i="15"/>
  <c r="J113" i="15"/>
  <c r="I113" i="15"/>
  <c r="L112" i="15"/>
  <c r="K112" i="15"/>
  <c r="J112" i="15"/>
  <c r="I112" i="15"/>
  <c r="H118" i="15"/>
  <c r="G118" i="15"/>
  <c r="F118" i="15"/>
  <c r="H117" i="15"/>
  <c r="G117" i="15"/>
  <c r="F117" i="15"/>
  <c r="H116" i="15"/>
  <c r="G116" i="15"/>
  <c r="F116" i="15"/>
  <c r="H115" i="15"/>
  <c r="G115" i="15"/>
  <c r="F115" i="15"/>
  <c r="H114" i="15"/>
  <c r="G114" i="15"/>
  <c r="F114" i="15"/>
  <c r="H113" i="15"/>
  <c r="G113" i="15"/>
  <c r="F113" i="15"/>
  <c r="H112" i="15"/>
  <c r="G112" i="15"/>
  <c r="F112" i="15"/>
  <c r="W98" i="15"/>
  <c r="W97" i="15"/>
  <c r="W96" i="15"/>
  <c r="W95" i="15"/>
  <c r="W94" i="15"/>
  <c r="W93" i="15"/>
  <c r="W92" i="15"/>
  <c r="W66" i="15"/>
  <c r="W65" i="15"/>
  <c r="W64" i="15"/>
  <c r="W63" i="15"/>
  <c r="W62" i="15"/>
  <c r="W61" i="15"/>
  <c r="W60" i="15"/>
  <c r="W50" i="15"/>
  <c r="W49" i="15"/>
  <c r="W48" i="15"/>
  <c r="W47" i="15"/>
  <c r="W46" i="15"/>
  <c r="W45" i="15"/>
  <c r="W44" i="15"/>
  <c r="W34" i="15"/>
  <c r="W33" i="15"/>
  <c r="W32" i="15"/>
  <c r="W31" i="15"/>
  <c r="W30" i="15"/>
  <c r="W29" i="15"/>
  <c r="W28" i="15"/>
  <c r="W198" i="15"/>
  <c r="W197" i="15"/>
  <c r="W196" i="15"/>
  <c r="W195" i="15"/>
  <c r="W194" i="15"/>
  <c r="W193" i="15"/>
  <c r="W192" i="15"/>
  <c r="W166" i="15"/>
  <c r="W165" i="15"/>
  <c r="W164" i="15"/>
  <c r="W163" i="15"/>
  <c r="W162" i="15"/>
  <c r="W161" i="15"/>
  <c r="W160" i="15"/>
  <c r="W150" i="15"/>
  <c r="W149" i="15"/>
  <c r="W148" i="15"/>
  <c r="W147" i="15"/>
  <c r="W146" i="15"/>
  <c r="W145" i="15"/>
  <c r="W144" i="15"/>
  <c r="W134" i="15"/>
  <c r="W133" i="15"/>
  <c r="W132" i="15"/>
  <c r="W131" i="15"/>
  <c r="W130" i="15"/>
  <c r="W129" i="15"/>
  <c r="W128" i="15"/>
  <c r="U66" i="15"/>
  <c r="T66" i="15"/>
  <c r="S66" i="15"/>
  <c r="U65" i="15"/>
  <c r="T65" i="15"/>
  <c r="S65" i="15"/>
  <c r="U64" i="15"/>
  <c r="T64" i="15"/>
  <c r="S64" i="15"/>
  <c r="U63" i="15"/>
  <c r="T63" i="15"/>
  <c r="S63" i="15"/>
  <c r="U62" i="15"/>
  <c r="T62" i="15"/>
  <c r="S62" i="15"/>
  <c r="U61" i="15"/>
  <c r="T61" i="15"/>
  <c r="S61" i="15"/>
  <c r="U60" i="15"/>
  <c r="T60" i="15"/>
  <c r="S60" i="15"/>
  <c r="Q66" i="15"/>
  <c r="P66" i="15"/>
  <c r="O66" i="15"/>
  <c r="N66" i="15"/>
  <c r="Q65" i="15"/>
  <c r="P65" i="15"/>
  <c r="O65" i="15"/>
  <c r="N65" i="15"/>
  <c r="Q64" i="15"/>
  <c r="P64" i="15"/>
  <c r="O64" i="15"/>
  <c r="N64" i="15"/>
  <c r="Q63" i="15"/>
  <c r="P63" i="15"/>
  <c r="O63" i="15"/>
  <c r="N63" i="15"/>
  <c r="Q62" i="15"/>
  <c r="P62" i="15"/>
  <c r="O62" i="15"/>
  <c r="N62" i="15"/>
  <c r="Q61" i="15"/>
  <c r="P61" i="15"/>
  <c r="O61" i="15"/>
  <c r="N61" i="15"/>
  <c r="Q60" i="15"/>
  <c r="P60" i="15"/>
  <c r="O60" i="15"/>
  <c r="N60" i="15"/>
  <c r="L66" i="15"/>
  <c r="K66" i="15"/>
  <c r="J66" i="15"/>
  <c r="I66" i="15"/>
  <c r="L65" i="15"/>
  <c r="K65" i="15"/>
  <c r="J65" i="15"/>
  <c r="I65" i="15"/>
  <c r="L64" i="15"/>
  <c r="K64" i="15"/>
  <c r="J64" i="15"/>
  <c r="I64" i="15"/>
  <c r="L63" i="15"/>
  <c r="K63" i="15"/>
  <c r="J63" i="15"/>
  <c r="I63" i="15"/>
  <c r="L62" i="15"/>
  <c r="K62" i="15"/>
  <c r="J62" i="15"/>
  <c r="I62" i="15"/>
  <c r="L61" i="15"/>
  <c r="K61" i="15"/>
  <c r="J61" i="15"/>
  <c r="I61" i="15"/>
  <c r="L60" i="15"/>
  <c r="K60" i="15"/>
  <c r="J60" i="15"/>
  <c r="I60" i="15"/>
  <c r="U50" i="15"/>
  <c r="T50" i="15"/>
  <c r="S50" i="15"/>
  <c r="U49" i="15"/>
  <c r="T49" i="15"/>
  <c r="S49" i="15"/>
  <c r="U48" i="15"/>
  <c r="T48" i="15"/>
  <c r="S48" i="15"/>
  <c r="U47" i="15"/>
  <c r="T47" i="15"/>
  <c r="S47" i="15"/>
  <c r="U46" i="15"/>
  <c r="T46" i="15"/>
  <c r="S46" i="15"/>
  <c r="U45" i="15"/>
  <c r="T45" i="15"/>
  <c r="S45" i="15"/>
  <c r="U44" i="15"/>
  <c r="T44" i="15"/>
  <c r="S44" i="15"/>
  <c r="Q50" i="15"/>
  <c r="P50" i="15"/>
  <c r="O50" i="15"/>
  <c r="N50" i="15"/>
  <c r="Q49" i="15"/>
  <c r="P49" i="15"/>
  <c r="O49" i="15"/>
  <c r="N49" i="15"/>
  <c r="Q48" i="15"/>
  <c r="P48" i="15"/>
  <c r="O48" i="15"/>
  <c r="N48" i="15"/>
  <c r="Q47" i="15"/>
  <c r="P47" i="15"/>
  <c r="O47" i="15"/>
  <c r="N47" i="15"/>
  <c r="Q46" i="15"/>
  <c r="P46" i="15"/>
  <c r="O46" i="15"/>
  <c r="N46" i="15"/>
  <c r="Q45" i="15"/>
  <c r="P45" i="15"/>
  <c r="O45" i="15"/>
  <c r="N45" i="15"/>
  <c r="Q44" i="15"/>
  <c r="P44" i="15"/>
  <c r="O44" i="15"/>
  <c r="N44" i="15"/>
  <c r="L50" i="15"/>
  <c r="K50" i="15"/>
  <c r="J50" i="15"/>
  <c r="I50" i="15"/>
  <c r="L49" i="15"/>
  <c r="K49" i="15"/>
  <c r="J49" i="15"/>
  <c r="I49" i="15"/>
  <c r="L48" i="15"/>
  <c r="K48" i="15"/>
  <c r="J48" i="15"/>
  <c r="I48" i="15"/>
  <c r="L47" i="15"/>
  <c r="K47" i="15"/>
  <c r="J47" i="15"/>
  <c r="I47" i="15"/>
  <c r="L46" i="15"/>
  <c r="K46" i="15"/>
  <c r="J46" i="15"/>
  <c r="I46" i="15"/>
  <c r="L45" i="15"/>
  <c r="K45" i="15"/>
  <c r="J45" i="15"/>
  <c r="I45" i="15"/>
  <c r="L44" i="15"/>
  <c r="K44" i="15"/>
  <c r="J44" i="15"/>
  <c r="I44" i="15"/>
  <c r="U34" i="15"/>
  <c r="T34" i="15"/>
  <c r="S34" i="15"/>
  <c r="U33" i="15"/>
  <c r="T33" i="15"/>
  <c r="S33" i="15"/>
  <c r="U32" i="15"/>
  <c r="T32" i="15"/>
  <c r="S32" i="15"/>
  <c r="U31" i="15"/>
  <c r="T31" i="15"/>
  <c r="S31" i="15"/>
  <c r="U30" i="15"/>
  <c r="T30" i="15"/>
  <c r="S30" i="15"/>
  <c r="U29" i="15"/>
  <c r="T29" i="15"/>
  <c r="S29" i="15"/>
  <c r="U28" i="15"/>
  <c r="T28" i="15"/>
  <c r="S28" i="15"/>
  <c r="Q34" i="15"/>
  <c r="P34" i="15"/>
  <c r="O34" i="15"/>
  <c r="N34" i="15"/>
  <c r="Q33" i="15"/>
  <c r="P33" i="15"/>
  <c r="O33" i="15"/>
  <c r="N33" i="15"/>
  <c r="Q32" i="15"/>
  <c r="P32" i="15"/>
  <c r="O32" i="15"/>
  <c r="N32" i="15"/>
  <c r="Q31" i="15"/>
  <c r="P31" i="15"/>
  <c r="O31" i="15"/>
  <c r="N31" i="15"/>
  <c r="Q30" i="15"/>
  <c r="P30" i="15"/>
  <c r="O30" i="15"/>
  <c r="N30" i="15"/>
  <c r="Q29" i="15"/>
  <c r="P29" i="15"/>
  <c r="O29" i="15"/>
  <c r="N29" i="15"/>
  <c r="Q28" i="15"/>
  <c r="P28" i="15"/>
  <c r="O28" i="15"/>
  <c r="N28" i="15"/>
  <c r="L34" i="15"/>
  <c r="K34" i="15"/>
  <c r="J34" i="15"/>
  <c r="I34" i="15"/>
  <c r="L33" i="15"/>
  <c r="K33" i="15"/>
  <c r="J33" i="15"/>
  <c r="I33" i="15"/>
  <c r="L32" i="15"/>
  <c r="K32" i="15"/>
  <c r="J32" i="15"/>
  <c r="I32" i="15"/>
  <c r="L31" i="15"/>
  <c r="K31" i="15"/>
  <c r="J31" i="15"/>
  <c r="I31" i="15"/>
  <c r="L30" i="15"/>
  <c r="K30" i="15"/>
  <c r="J30" i="15"/>
  <c r="I30" i="15"/>
  <c r="L29" i="15"/>
  <c r="K29" i="15"/>
  <c r="J29" i="15"/>
  <c r="I29" i="15"/>
  <c r="L28" i="15"/>
  <c r="K28" i="15"/>
  <c r="J28" i="15"/>
  <c r="I28" i="15"/>
  <c r="G18" i="18" l="1"/>
  <c r="AO18" i="18"/>
  <c r="AP18" i="18"/>
  <c r="AT18" i="18"/>
  <c r="H162" i="35"/>
  <c r="O18" i="18"/>
  <c r="R14" i="34"/>
  <c r="F180" i="35"/>
  <c r="G180" i="35"/>
  <c r="H180" i="35"/>
  <c r="H186" i="35"/>
  <c r="H161" i="35"/>
  <c r="G187" i="35"/>
  <c r="F163" i="35"/>
  <c r="H187" i="35"/>
  <c r="G163" i="35"/>
  <c r="F188" i="35"/>
  <c r="G188" i="35"/>
  <c r="F164" i="35"/>
  <c r="H188" i="35"/>
  <c r="W18" i="18"/>
  <c r="AA18" i="18"/>
  <c r="G164" i="35"/>
  <c r="F189" i="35"/>
  <c r="F187" i="35"/>
  <c r="M15" i="34"/>
  <c r="G202" i="35"/>
  <c r="H202" i="35"/>
  <c r="F203" i="35"/>
  <c r="G203" i="35"/>
  <c r="H203" i="35"/>
  <c r="F205" i="35"/>
  <c r="H164" i="35"/>
  <c r="F183" i="35"/>
  <c r="G205" i="35"/>
  <c r="H182" i="35"/>
  <c r="G138" i="35"/>
  <c r="G183" i="35"/>
  <c r="F199" i="35"/>
  <c r="H205" i="35"/>
  <c r="G189" i="35"/>
  <c r="F165" i="35"/>
  <c r="H183" i="35"/>
  <c r="G199" i="35"/>
  <c r="F206" i="35"/>
  <c r="R38" i="34"/>
  <c r="R42" i="34"/>
  <c r="F145" i="35"/>
  <c r="G165" i="35"/>
  <c r="H199" i="35"/>
  <c r="G206" i="35"/>
  <c r="M37" i="34"/>
  <c r="M41" i="34"/>
  <c r="H165" i="35"/>
  <c r="G184" i="35"/>
  <c r="F200" i="35"/>
  <c r="H206" i="35"/>
  <c r="F182" i="35"/>
  <c r="H158" i="35"/>
  <c r="H184" i="35"/>
  <c r="G200" i="35"/>
  <c r="F207" i="35"/>
  <c r="V20" i="18"/>
  <c r="R361" i="32"/>
  <c r="R12" i="34"/>
  <c r="R16" i="34"/>
  <c r="F185" i="35"/>
  <c r="H200" i="35"/>
  <c r="G207" i="35"/>
  <c r="G204" i="35"/>
  <c r="G159" i="35"/>
  <c r="G185" i="35"/>
  <c r="F201" i="35"/>
  <c r="H207" i="35"/>
  <c r="H204" i="35"/>
  <c r="H101" i="35"/>
  <c r="G201" i="35"/>
  <c r="F208" i="35"/>
  <c r="F204" i="35"/>
  <c r="G182" i="35"/>
  <c r="AY18" i="18"/>
  <c r="BC18" i="18"/>
  <c r="F160" i="35"/>
  <c r="H201" i="35"/>
  <c r="G208" i="35"/>
  <c r="G186" i="35"/>
  <c r="F202" i="35"/>
  <c r="H208" i="35"/>
  <c r="V18" i="18"/>
  <c r="AE19" i="18"/>
  <c r="R68" i="16"/>
  <c r="AJ19" i="18"/>
  <c r="X18" i="18"/>
  <c r="W20" i="18"/>
  <c r="AB18" i="18"/>
  <c r="AA20" i="18"/>
  <c r="AG19" i="18"/>
  <c r="AK19" i="18"/>
  <c r="AW18" i="18"/>
  <c r="G20" i="18"/>
  <c r="X20" i="18"/>
  <c r="AC18" i="18"/>
  <c r="AB20" i="18"/>
  <c r="AX18" i="18"/>
  <c r="AW20" i="18"/>
  <c r="BB18" i="18"/>
  <c r="H20" i="18"/>
  <c r="AC20" i="18"/>
  <c r="AX20" i="18"/>
  <c r="BB20" i="18"/>
  <c r="AY20" i="18"/>
  <c r="BD18" i="18"/>
  <c r="T18" i="18"/>
  <c r="H18" i="18"/>
  <c r="AL19" i="18"/>
  <c r="BC20" i="18"/>
  <c r="N18" i="18"/>
  <c r="M20" i="18"/>
  <c r="R18" i="18"/>
  <c r="N20" i="18"/>
  <c r="AN20" i="18"/>
  <c r="T20" i="18"/>
  <c r="AO20" i="18"/>
  <c r="AS20" i="18"/>
  <c r="AE18" i="18"/>
  <c r="R109" i="16"/>
  <c r="BD20" i="18"/>
  <c r="M108" i="23"/>
  <c r="R110" i="23"/>
  <c r="M150" i="23"/>
  <c r="R147" i="23"/>
  <c r="M182" i="23"/>
  <c r="M187" i="23"/>
  <c r="R184" i="23"/>
  <c r="R165" i="23"/>
  <c r="R15" i="34"/>
  <c r="R19" i="34"/>
  <c r="M61" i="34"/>
  <c r="M65" i="34"/>
  <c r="S18" i="18"/>
  <c r="R20" i="18"/>
  <c r="AN18" i="18"/>
  <c r="AW19" i="18"/>
  <c r="M112" i="16"/>
  <c r="R116" i="16"/>
  <c r="AX19" i="18"/>
  <c r="BB19" i="18"/>
  <c r="V19" i="18"/>
  <c r="AY19" i="18"/>
  <c r="BC19" i="18"/>
  <c r="AP20" i="18"/>
  <c r="AU18" i="18"/>
  <c r="AT20" i="18"/>
  <c r="BD19" i="18"/>
  <c r="AU20" i="18"/>
  <c r="AF18" i="18"/>
  <c r="R68" i="23"/>
  <c r="M14" i="34"/>
  <c r="M18" i="34"/>
  <c r="R83" i="34"/>
  <c r="R87" i="34"/>
  <c r="R35" i="34"/>
  <c r="R39" i="34"/>
  <c r="R43" i="34"/>
  <c r="M38" i="34"/>
  <c r="M42" i="34"/>
  <c r="R107" i="34"/>
  <c r="R111" i="34"/>
  <c r="R136" i="32"/>
  <c r="O20" i="18"/>
  <c r="S20" i="18"/>
  <c r="AS18" i="18"/>
  <c r="R86" i="16"/>
  <c r="AN19" i="18"/>
  <c r="AO19" i="18"/>
  <c r="AS19" i="18"/>
  <c r="AP19" i="18"/>
  <c r="AT19" i="18"/>
  <c r="AU19" i="18"/>
  <c r="G71" i="16"/>
  <c r="AF19" i="18"/>
  <c r="AE20" i="18"/>
  <c r="AJ18" i="18"/>
  <c r="AG18" i="18"/>
  <c r="AF20" i="18"/>
  <c r="AK18" i="18"/>
  <c r="AJ20" i="18"/>
  <c r="AG20" i="18"/>
  <c r="AL18" i="18"/>
  <c r="AK20" i="18"/>
  <c r="AL20" i="18"/>
  <c r="R93" i="23"/>
  <c r="R107" i="23"/>
  <c r="R112" i="23"/>
  <c r="M128" i="23"/>
  <c r="M133" i="23"/>
  <c r="R144" i="23"/>
  <c r="R149" i="23"/>
  <c r="M184" i="23"/>
  <c r="M13" i="34"/>
  <c r="M17" i="34"/>
  <c r="M21" i="34"/>
  <c r="M19" i="18"/>
  <c r="W19" i="18"/>
  <c r="H119" i="16"/>
  <c r="O19" i="18"/>
  <c r="S19" i="18"/>
  <c r="R89" i="16"/>
  <c r="AA19" i="18"/>
  <c r="AB19" i="18"/>
  <c r="AC19" i="18"/>
  <c r="R19" i="18"/>
  <c r="M109" i="16"/>
  <c r="M114" i="16"/>
  <c r="R108" i="16"/>
  <c r="BA17" i="18" s="1"/>
  <c r="R113" i="16"/>
  <c r="R118" i="16"/>
  <c r="X19" i="18"/>
  <c r="N19" i="18"/>
  <c r="R41" i="34"/>
  <c r="M106" i="34"/>
  <c r="M110" i="34"/>
  <c r="R20" i="34"/>
  <c r="M19" i="34"/>
  <c r="M12" i="34"/>
  <c r="K39" i="18"/>
  <c r="H300" i="33"/>
  <c r="H281" i="33"/>
  <c r="D39" i="18"/>
  <c r="E39" i="18"/>
  <c r="J39" i="18"/>
  <c r="H319" i="33"/>
  <c r="F39" i="18"/>
  <c r="H262" i="33"/>
  <c r="I39" i="18"/>
  <c r="T19" i="18"/>
  <c r="G19" i="18"/>
  <c r="H19" i="18"/>
  <c r="M18" i="18"/>
  <c r="M111" i="16"/>
  <c r="R110" i="16"/>
  <c r="R145" i="23"/>
  <c r="M188" i="23"/>
  <c r="R150" i="23"/>
  <c r="M130" i="23"/>
  <c r="R146" i="23"/>
  <c r="G172" i="23"/>
  <c r="AX11" i="18" s="1"/>
  <c r="M111" i="23"/>
  <c r="M143" i="23"/>
  <c r="R164" i="23"/>
  <c r="I41" i="18"/>
  <c r="E21" i="18"/>
  <c r="I21" i="18"/>
  <c r="J21" i="18"/>
  <c r="K21" i="18"/>
  <c r="D41" i="18"/>
  <c r="J41" i="18"/>
  <c r="K41" i="18"/>
  <c r="E41" i="18"/>
  <c r="U13" i="35"/>
  <c r="O203" i="35"/>
  <c r="N189" i="35"/>
  <c r="J164" i="35"/>
  <c r="I203" i="35"/>
  <c r="L184" i="35"/>
  <c r="J187" i="35"/>
  <c r="L142" i="35"/>
  <c r="O138" i="35"/>
  <c r="K164" i="35"/>
  <c r="U181" i="35"/>
  <c r="S182" i="35"/>
  <c r="U40" i="35"/>
  <c r="T184" i="35"/>
  <c r="T203" i="35"/>
  <c r="S159" i="35"/>
  <c r="N160" i="35"/>
  <c r="T204" i="35"/>
  <c r="K139" i="35"/>
  <c r="I161" i="35"/>
  <c r="K200" i="35"/>
  <c r="L200" i="35"/>
  <c r="N146" i="35"/>
  <c r="P162" i="35"/>
  <c r="K181" i="35"/>
  <c r="I184" i="35"/>
  <c r="K187" i="35"/>
  <c r="P181" i="35"/>
  <c r="U157" i="35"/>
  <c r="O143" i="35"/>
  <c r="I188" i="35"/>
  <c r="T182" i="35"/>
  <c r="Q200" i="35"/>
  <c r="S165" i="35"/>
  <c r="S184" i="35"/>
  <c r="U200" i="35"/>
  <c r="S140" i="35"/>
  <c r="J161" i="35"/>
  <c r="T166" i="35"/>
  <c r="T185" i="35"/>
  <c r="O204" i="35"/>
  <c r="L161" i="35"/>
  <c r="U166" i="35"/>
  <c r="O181" i="35"/>
  <c r="T186" i="35"/>
  <c r="P204" i="35"/>
  <c r="S187" i="35"/>
  <c r="Q201" i="35"/>
  <c r="Q182" i="35"/>
  <c r="U188" i="35"/>
  <c r="S201" i="35"/>
  <c r="L189" i="35"/>
  <c r="N183" i="35"/>
  <c r="T189" i="35"/>
  <c r="T201" i="35"/>
  <c r="N184" i="35"/>
  <c r="U189" i="35"/>
  <c r="O157" i="35"/>
  <c r="Q184" i="35"/>
  <c r="I205" i="35"/>
  <c r="P157" i="35"/>
  <c r="N187" i="35"/>
  <c r="L181" i="35"/>
  <c r="O187" i="35"/>
  <c r="K202" i="35"/>
  <c r="T138" i="35"/>
  <c r="K99" i="35"/>
  <c r="I183" i="35"/>
  <c r="P187" i="35"/>
  <c r="L199" i="35"/>
  <c r="N202" i="35"/>
  <c r="P116" i="35"/>
  <c r="Q187" i="35"/>
  <c r="O199" i="35"/>
  <c r="K138" i="35"/>
  <c r="J186" i="35"/>
  <c r="O188" i="35"/>
  <c r="K186" i="35"/>
  <c r="K144" i="35"/>
  <c r="L186" i="35"/>
  <c r="Q189" i="35"/>
  <c r="J200" i="35"/>
  <c r="J203" i="35"/>
  <c r="L147" i="35"/>
  <c r="P207" i="35"/>
  <c r="L162" i="35"/>
  <c r="J184" i="35"/>
  <c r="J189" i="35"/>
  <c r="O184" i="35"/>
  <c r="O189" i="35"/>
  <c r="U185" i="35"/>
  <c r="S200" i="35"/>
  <c r="I202" i="35"/>
  <c r="P203" i="35"/>
  <c r="U204" i="35"/>
  <c r="J206" i="35"/>
  <c r="Q207" i="35"/>
  <c r="I206" i="35"/>
  <c r="O147" i="35"/>
  <c r="L159" i="35"/>
  <c r="O162" i="35"/>
  <c r="K184" i="35"/>
  <c r="K189" i="35"/>
  <c r="P189" i="35"/>
  <c r="S186" i="35"/>
  <c r="N199" i="35"/>
  <c r="T200" i="35"/>
  <c r="J202" i="35"/>
  <c r="Q203" i="35"/>
  <c r="K206" i="35"/>
  <c r="S207" i="35"/>
  <c r="L206" i="35"/>
  <c r="T207" i="35"/>
  <c r="J98" i="35"/>
  <c r="U138" i="35"/>
  <c r="T159" i="35"/>
  <c r="T162" i="35"/>
  <c r="I165" i="35"/>
  <c r="I180" i="35"/>
  <c r="I185" i="35"/>
  <c r="N180" i="35"/>
  <c r="N185" i="35"/>
  <c r="S180" i="35"/>
  <c r="U186" i="35"/>
  <c r="P199" i="35"/>
  <c r="L202" i="35"/>
  <c r="S203" i="35"/>
  <c r="N206" i="35"/>
  <c r="U207" i="35"/>
  <c r="J165" i="35"/>
  <c r="J180" i="35"/>
  <c r="J185" i="35"/>
  <c r="O185" i="35"/>
  <c r="T180" i="35"/>
  <c r="Q199" i="35"/>
  <c r="O206" i="35"/>
  <c r="T141" i="35"/>
  <c r="L165" i="35"/>
  <c r="K180" i="35"/>
  <c r="P180" i="35"/>
  <c r="P185" i="35"/>
  <c r="U180" i="35"/>
  <c r="T187" i="35"/>
  <c r="S199" i="35"/>
  <c r="O202" i="35"/>
  <c r="U203" i="35"/>
  <c r="J205" i="35"/>
  <c r="P206" i="35"/>
  <c r="Q99" i="35"/>
  <c r="U146" i="35"/>
  <c r="I160" i="35"/>
  <c r="N165" i="35"/>
  <c r="L180" i="35"/>
  <c r="L185" i="35"/>
  <c r="Q180" i="35"/>
  <c r="S181" i="35"/>
  <c r="T199" i="35"/>
  <c r="I201" i="35"/>
  <c r="P202" i="35"/>
  <c r="K205" i="35"/>
  <c r="Q206" i="35"/>
  <c r="P103" i="35"/>
  <c r="L160" i="35"/>
  <c r="K163" i="35"/>
  <c r="Q165" i="35"/>
  <c r="I181" i="35"/>
  <c r="I186" i="35"/>
  <c r="N181" i="35"/>
  <c r="N186" i="35"/>
  <c r="T181" i="35"/>
  <c r="S188" i="35"/>
  <c r="U199" i="35"/>
  <c r="J201" i="35"/>
  <c r="Q202" i="35"/>
  <c r="L205" i="35"/>
  <c r="S206" i="35"/>
  <c r="I208" i="35"/>
  <c r="Q163" i="35"/>
  <c r="J181" i="35"/>
  <c r="O186" i="35"/>
  <c r="T188" i="35"/>
  <c r="K201" i="35"/>
  <c r="S202" i="35"/>
  <c r="T206" i="35"/>
  <c r="J208" i="35"/>
  <c r="S160" i="35"/>
  <c r="S163" i="35"/>
  <c r="P186" i="35"/>
  <c r="L201" i="35"/>
  <c r="T202" i="35"/>
  <c r="I204" i="35"/>
  <c r="N205" i="35"/>
  <c r="U206" i="35"/>
  <c r="K208" i="35"/>
  <c r="T160" i="35"/>
  <c r="U163" i="35"/>
  <c r="L166" i="35"/>
  <c r="Q181" i="35"/>
  <c r="S189" i="35"/>
  <c r="N201" i="35"/>
  <c r="U202" i="35"/>
  <c r="J204" i="35"/>
  <c r="O205" i="35"/>
  <c r="L208" i="35"/>
  <c r="K140" i="35"/>
  <c r="N166" i="35"/>
  <c r="I182" i="35"/>
  <c r="I187" i="35"/>
  <c r="N182" i="35"/>
  <c r="U182" i="35"/>
  <c r="I200" i="35"/>
  <c r="O201" i="35"/>
  <c r="K204" i="35"/>
  <c r="P205" i="35"/>
  <c r="N208" i="35"/>
  <c r="O166" i="35"/>
  <c r="J182" i="35"/>
  <c r="O182" i="35"/>
  <c r="S183" i="35"/>
  <c r="P201" i="35"/>
  <c r="L204" i="35"/>
  <c r="Q205" i="35"/>
  <c r="O208" i="35"/>
  <c r="J143" i="35"/>
  <c r="P166" i="35"/>
  <c r="K182" i="35"/>
  <c r="P182" i="35"/>
  <c r="S205" i="35"/>
  <c r="I207" i="35"/>
  <c r="P208" i="35"/>
  <c r="T157" i="35"/>
  <c r="S166" i="35"/>
  <c r="L182" i="35"/>
  <c r="L187" i="35"/>
  <c r="U183" i="35"/>
  <c r="N204" i="35"/>
  <c r="T205" i="35"/>
  <c r="J207" i="35"/>
  <c r="Q208" i="35"/>
  <c r="U205" i="35"/>
  <c r="K207" i="35"/>
  <c r="Q161" i="35"/>
  <c r="J183" i="35"/>
  <c r="J188" i="35"/>
  <c r="O183" i="35"/>
  <c r="I199" i="35"/>
  <c r="N200" i="35"/>
  <c r="U201" i="35"/>
  <c r="K203" i="35"/>
  <c r="L207" i="35"/>
  <c r="S208" i="35"/>
  <c r="P138" i="35"/>
  <c r="S161" i="35"/>
  <c r="L164" i="35"/>
  <c r="K183" i="35"/>
  <c r="K188" i="35"/>
  <c r="P183" i="35"/>
  <c r="P188" i="35"/>
  <c r="U184" i="35"/>
  <c r="J199" i="35"/>
  <c r="O200" i="35"/>
  <c r="L203" i="35"/>
  <c r="Q204" i="35"/>
  <c r="N207" i="35"/>
  <c r="T208" i="35"/>
  <c r="N141" i="35"/>
  <c r="J158" i="35"/>
  <c r="Q164" i="35"/>
  <c r="L183" i="35"/>
  <c r="L188" i="35"/>
  <c r="Q183" i="35"/>
  <c r="Q188" i="35"/>
  <c r="S185" i="35"/>
  <c r="K199" i="35"/>
  <c r="P200" i="35"/>
  <c r="N203" i="35"/>
  <c r="S204" i="35"/>
  <c r="O207" i="35"/>
  <c r="U208" i="35"/>
  <c r="S120" i="35"/>
  <c r="G140" i="35"/>
  <c r="P139" i="35"/>
  <c r="I159" i="35"/>
  <c r="O160" i="35"/>
  <c r="T161" i="35"/>
  <c r="H163" i="35"/>
  <c r="N164" i="35"/>
  <c r="T165" i="35"/>
  <c r="H159" i="35"/>
  <c r="T19" i="35"/>
  <c r="F158" i="35"/>
  <c r="J159" i="35"/>
  <c r="P160" i="35"/>
  <c r="U161" i="35"/>
  <c r="I163" i="35"/>
  <c r="O164" i="35"/>
  <c r="U165" i="35"/>
  <c r="G141" i="35"/>
  <c r="G158" i="35"/>
  <c r="K159" i="35"/>
  <c r="Q160" i="35"/>
  <c r="J163" i="35"/>
  <c r="P164" i="35"/>
  <c r="H141" i="35"/>
  <c r="F162" i="35"/>
  <c r="F166" i="35"/>
  <c r="I158" i="35"/>
  <c r="N159" i="35"/>
  <c r="G162" i="35"/>
  <c r="L163" i="35"/>
  <c r="S164" i="35"/>
  <c r="G166" i="35"/>
  <c r="F157" i="35"/>
  <c r="O159" i="35"/>
  <c r="U160" i="35"/>
  <c r="N163" i="35"/>
  <c r="T164" i="35"/>
  <c r="H166" i="35"/>
  <c r="G145" i="35"/>
  <c r="P143" i="35"/>
  <c r="G157" i="35"/>
  <c r="K158" i="35"/>
  <c r="P159" i="35"/>
  <c r="I162" i="35"/>
  <c r="O163" i="35"/>
  <c r="U164" i="35"/>
  <c r="I166" i="35"/>
  <c r="I138" i="35"/>
  <c r="P144" i="35"/>
  <c r="H157" i="35"/>
  <c r="L158" i="35"/>
  <c r="Q159" i="35"/>
  <c r="F161" i="35"/>
  <c r="J162" i="35"/>
  <c r="P163" i="35"/>
  <c r="J166" i="35"/>
  <c r="J138" i="35"/>
  <c r="P145" i="35"/>
  <c r="I157" i="35"/>
  <c r="G161" i="35"/>
  <c r="K162" i="35"/>
  <c r="K166" i="35"/>
  <c r="J157" i="35"/>
  <c r="N158" i="35"/>
  <c r="K157" i="35"/>
  <c r="O158" i="35"/>
  <c r="U159" i="35"/>
  <c r="N162" i="35"/>
  <c r="T163" i="35"/>
  <c r="L157" i="35"/>
  <c r="P158" i="35"/>
  <c r="Q158" i="35"/>
  <c r="K161" i="35"/>
  <c r="N157" i="35"/>
  <c r="S158" i="35"/>
  <c r="G160" i="35"/>
  <c r="Q162" i="35"/>
  <c r="K165" i="35"/>
  <c r="Q166" i="35"/>
  <c r="T158" i="35"/>
  <c r="H160" i="35"/>
  <c r="S162" i="35"/>
  <c r="K145" i="35"/>
  <c r="S142" i="35"/>
  <c r="U158" i="35"/>
  <c r="N161" i="35"/>
  <c r="J147" i="35"/>
  <c r="U143" i="35"/>
  <c r="Q157" i="35"/>
  <c r="J160" i="35"/>
  <c r="O161" i="35"/>
  <c r="U162" i="35"/>
  <c r="I164" i="35"/>
  <c r="O165" i="35"/>
  <c r="O103" i="35"/>
  <c r="S145" i="35"/>
  <c r="S157" i="35"/>
  <c r="F159" i="35"/>
  <c r="K160" i="35"/>
  <c r="P161" i="35"/>
  <c r="P165" i="35"/>
  <c r="U123" i="35"/>
  <c r="G139" i="35"/>
  <c r="F146" i="35"/>
  <c r="K141" i="35"/>
  <c r="K146" i="35"/>
  <c r="P141" i="35"/>
  <c r="P146" i="35"/>
  <c r="U142" i="35"/>
  <c r="J99" i="35"/>
  <c r="Q124" i="35"/>
  <c r="H139" i="35"/>
  <c r="G146" i="35"/>
  <c r="L141" i="35"/>
  <c r="L146" i="35"/>
  <c r="Q146" i="35"/>
  <c r="S143" i="35"/>
  <c r="F140" i="35"/>
  <c r="H146" i="35"/>
  <c r="I142" i="35"/>
  <c r="I147" i="35"/>
  <c r="N142" i="35"/>
  <c r="N147" i="35"/>
  <c r="T143" i="35"/>
  <c r="F147" i="35"/>
  <c r="J142" i="35"/>
  <c r="O142" i="35"/>
  <c r="S79" i="35"/>
  <c r="O98" i="35"/>
  <c r="H140" i="35"/>
  <c r="G147" i="35"/>
  <c r="K147" i="35"/>
  <c r="P142" i="35"/>
  <c r="P147" i="35"/>
  <c r="S144" i="35"/>
  <c r="H147" i="35"/>
  <c r="Q142" i="35"/>
  <c r="Q147" i="35"/>
  <c r="T144" i="35"/>
  <c r="Q102" i="35"/>
  <c r="I143" i="35"/>
  <c r="N138" i="35"/>
  <c r="S138" i="35"/>
  <c r="F142" i="35"/>
  <c r="K143" i="35"/>
  <c r="O105" i="35"/>
  <c r="G142" i="35"/>
  <c r="L138" i="35"/>
  <c r="L143" i="35"/>
  <c r="Q138" i="35"/>
  <c r="Q143" i="35"/>
  <c r="S139" i="35"/>
  <c r="U145" i="35"/>
  <c r="K115" i="35"/>
  <c r="H142" i="35"/>
  <c r="I144" i="35"/>
  <c r="N139" i="35"/>
  <c r="N144" i="35"/>
  <c r="T139" i="35"/>
  <c r="S146" i="35"/>
  <c r="N115" i="35"/>
  <c r="F143" i="35"/>
  <c r="J139" i="35"/>
  <c r="O139" i="35"/>
  <c r="T146" i="35"/>
  <c r="S116" i="35"/>
  <c r="H143" i="35"/>
  <c r="L139" i="35"/>
  <c r="L144" i="35"/>
  <c r="Q139" i="35"/>
  <c r="Q144" i="35"/>
  <c r="T140" i="35"/>
  <c r="S147" i="35"/>
  <c r="P119" i="35"/>
  <c r="F144" i="35"/>
  <c r="I140" i="35"/>
  <c r="I145" i="35"/>
  <c r="N140" i="35"/>
  <c r="R140" i="35" s="1"/>
  <c r="N145" i="35"/>
  <c r="U140" i="35"/>
  <c r="T147" i="35"/>
  <c r="N120" i="35"/>
  <c r="G144" i="35"/>
  <c r="J145" i="35"/>
  <c r="O145" i="35"/>
  <c r="S141" i="35"/>
  <c r="U147" i="35"/>
  <c r="F138" i="35"/>
  <c r="H144" i="35"/>
  <c r="H99" i="35"/>
  <c r="G121" i="35"/>
  <c r="L140" i="35"/>
  <c r="L145" i="35"/>
  <c r="T121" i="35"/>
  <c r="G105" i="35"/>
  <c r="I122" i="35"/>
  <c r="F139" i="35"/>
  <c r="H145" i="35"/>
  <c r="J141" i="35"/>
  <c r="J146" i="35"/>
  <c r="O141" i="35"/>
  <c r="O146" i="35"/>
  <c r="T142" i="35"/>
  <c r="Q116" i="35"/>
  <c r="H121" i="35"/>
  <c r="F97" i="35"/>
  <c r="L99" i="35"/>
  <c r="J121" i="35"/>
  <c r="F98" i="35"/>
  <c r="Q104" i="35"/>
  <c r="T116" i="35"/>
  <c r="I73" i="35"/>
  <c r="G98" i="35"/>
  <c r="J100" i="35"/>
  <c r="N105" i="35"/>
  <c r="U116" i="35"/>
  <c r="U121" i="35"/>
  <c r="L73" i="35"/>
  <c r="F117" i="35"/>
  <c r="O73" i="35"/>
  <c r="J101" i="35"/>
  <c r="G118" i="35"/>
  <c r="L122" i="35"/>
  <c r="P20" i="35"/>
  <c r="L78" i="35"/>
  <c r="F102" i="35"/>
  <c r="U98" i="35"/>
  <c r="H118" i="35"/>
  <c r="N122" i="35"/>
  <c r="J103" i="35"/>
  <c r="I118" i="35"/>
  <c r="O122" i="35"/>
  <c r="P81" i="35"/>
  <c r="H102" i="35"/>
  <c r="I105" i="35"/>
  <c r="T99" i="35"/>
  <c r="J118" i="35"/>
  <c r="Q122" i="35"/>
  <c r="H103" i="35"/>
  <c r="J105" i="35"/>
  <c r="K118" i="35"/>
  <c r="J123" i="35"/>
  <c r="G104" i="35"/>
  <c r="O96" i="35"/>
  <c r="S101" i="35"/>
  <c r="L118" i="35"/>
  <c r="K123" i="35"/>
  <c r="H104" i="35"/>
  <c r="T101" i="35"/>
  <c r="L119" i="35"/>
  <c r="P123" i="35"/>
  <c r="O119" i="35"/>
  <c r="S123" i="35"/>
  <c r="I115" i="35"/>
  <c r="T123" i="35"/>
  <c r="H105" i="35"/>
  <c r="N100" i="35"/>
  <c r="J115" i="35"/>
  <c r="Q119" i="35"/>
  <c r="O100" i="35"/>
  <c r="T119" i="35"/>
  <c r="H124" i="35"/>
  <c r="P100" i="35"/>
  <c r="L115" i="35"/>
  <c r="O124" i="35"/>
  <c r="K98" i="35"/>
  <c r="F121" i="35"/>
  <c r="S38" i="35"/>
  <c r="O56" i="35"/>
  <c r="J104" i="35"/>
  <c r="O99" i="35"/>
  <c r="N59" i="35"/>
  <c r="P82" i="35"/>
  <c r="G97" i="35"/>
  <c r="F104" i="35"/>
  <c r="K104" i="35"/>
  <c r="P99" i="35"/>
  <c r="P104" i="35"/>
  <c r="T120" i="35"/>
  <c r="J122" i="35"/>
  <c r="Q123" i="35"/>
  <c r="P63" i="35"/>
  <c r="H97" i="35"/>
  <c r="L104" i="35"/>
  <c r="N119" i="35"/>
  <c r="U120" i="35"/>
  <c r="K122" i="35"/>
  <c r="K100" i="35"/>
  <c r="K105" i="35"/>
  <c r="S102" i="35"/>
  <c r="P73" i="35"/>
  <c r="F99" i="35"/>
  <c r="L100" i="35"/>
  <c r="L105" i="35"/>
  <c r="Q100" i="35"/>
  <c r="Q105" i="35"/>
  <c r="T102" i="35"/>
  <c r="P115" i="35"/>
  <c r="G117" i="35"/>
  <c r="N118" i="35"/>
  <c r="S119" i="35"/>
  <c r="I121" i="35"/>
  <c r="P122" i="35"/>
  <c r="F124" i="35"/>
  <c r="L74" i="35"/>
  <c r="G99" i="35"/>
  <c r="N96" i="35"/>
  <c r="N101" i="35"/>
  <c r="S96" i="35"/>
  <c r="U102" i="35"/>
  <c r="Q115" i="35"/>
  <c r="H117" i="35"/>
  <c r="O118" i="35"/>
  <c r="G124" i="35"/>
  <c r="N74" i="35"/>
  <c r="O101" i="35"/>
  <c r="S115" i="35"/>
  <c r="I117" i="35"/>
  <c r="P118" i="35"/>
  <c r="U119" i="35"/>
  <c r="K121" i="35"/>
  <c r="S122" i="35"/>
  <c r="F100" i="35"/>
  <c r="K96" i="35"/>
  <c r="K101" i="35"/>
  <c r="P96" i="35"/>
  <c r="P101" i="35"/>
  <c r="T103" i="35"/>
  <c r="T115" i="35"/>
  <c r="J117" i="35"/>
  <c r="Q118" i="35"/>
  <c r="F120" i="35"/>
  <c r="L121" i="35"/>
  <c r="T122" i="35"/>
  <c r="I124" i="35"/>
  <c r="U15" i="35"/>
  <c r="T74" i="35"/>
  <c r="G100" i="35"/>
  <c r="L96" i="35"/>
  <c r="L101" i="35"/>
  <c r="Q96" i="35"/>
  <c r="Q101" i="35"/>
  <c r="S97" i="35"/>
  <c r="U103" i="35"/>
  <c r="U115" i="35"/>
  <c r="K117" i="35"/>
  <c r="G120" i="35"/>
  <c r="N121" i="35"/>
  <c r="U122" i="35"/>
  <c r="J124" i="35"/>
  <c r="J77" i="35"/>
  <c r="I97" i="35"/>
  <c r="I102" i="35"/>
  <c r="N97" i="35"/>
  <c r="N102" i="35"/>
  <c r="T97" i="35"/>
  <c r="F116" i="35"/>
  <c r="L117" i="35"/>
  <c r="S118" i="35"/>
  <c r="H120" i="35"/>
  <c r="O121" i="35"/>
  <c r="F123" i="35"/>
  <c r="K124" i="35"/>
  <c r="Q77" i="35"/>
  <c r="F101" i="35"/>
  <c r="J97" i="35"/>
  <c r="J102" i="35"/>
  <c r="O97" i="35"/>
  <c r="O102" i="35"/>
  <c r="U97" i="35"/>
  <c r="G116" i="35"/>
  <c r="N117" i="35"/>
  <c r="T118" i="35"/>
  <c r="I120" i="35"/>
  <c r="P121" i="35"/>
  <c r="G123" i="35"/>
  <c r="L124" i="35"/>
  <c r="N32" i="35"/>
  <c r="K78" i="35"/>
  <c r="G101" i="35"/>
  <c r="K97" i="35"/>
  <c r="K102" i="35"/>
  <c r="P97" i="35"/>
  <c r="P102" i="35"/>
  <c r="S98" i="35"/>
  <c r="H116" i="35"/>
  <c r="O117" i="35"/>
  <c r="U118" i="35"/>
  <c r="J120" i="35"/>
  <c r="Q121" i="35"/>
  <c r="H123" i="35"/>
  <c r="N124" i="35"/>
  <c r="I116" i="35"/>
  <c r="P117" i="35"/>
  <c r="F119" i="35"/>
  <c r="K120" i="35"/>
  <c r="S121" i="35"/>
  <c r="I123" i="35"/>
  <c r="P78" i="35"/>
  <c r="T105" i="35"/>
  <c r="J116" i="35"/>
  <c r="Q117" i="35"/>
  <c r="G119" i="35"/>
  <c r="L120" i="35"/>
  <c r="P124" i="35"/>
  <c r="U105" i="35"/>
  <c r="K116" i="35"/>
  <c r="S117" i="35"/>
  <c r="H119" i="35"/>
  <c r="G57" i="35"/>
  <c r="T80" i="35"/>
  <c r="F96" i="35"/>
  <c r="K103" i="35"/>
  <c r="P98" i="35"/>
  <c r="F115" i="35"/>
  <c r="T117" i="35"/>
  <c r="I119" i="35"/>
  <c r="O120" i="35"/>
  <c r="F122" i="35"/>
  <c r="L123" i="35"/>
  <c r="S124" i="35"/>
  <c r="K59" i="35"/>
  <c r="J81" i="35"/>
  <c r="G96" i="35"/>
  <c r="F103" i="35"/>
  <c r="L103" i="35"/>
  <c r="Q98" i="35"/>
  <c r="Q103" i="35"/>
  <c r="U99" i="35"/>
  <c r="G115" i="35"/>
  <c r="U117" i="35"/>
  <c r="J119" i="35"/>
  <c r="P120" i="35"/>
  <c r="G122" i="35"/>
  <c r="N123" i="35"/>
  <c r="T124" i="35"/>
  <c r="H96" i="35"/>
  <c r="G103" i="35"/>
  <c r="I99" i="35"/>
  <c r="I104" i="35"/>
  <c r="N104" i="35"/>
  <c r="S100" i="35"/>
  <c r="H115" i="35"/>
  <c r="O116" i="35"/>
  <c r="F118" i="35"/>
  <c r="K119" i="35"/>
  <c r="Q120" i="35"/>
  <c r="H122" i="35"/>
  <c r="O123" i="35"/>
  <c r="U124" i="35"/>
  <c r="P58" i="35"/>
  <c r="U32" i="35"/>
  <c r="Q58" i="35"/>
  <c r="N78" i="35"/>
  <c r="O81" i="35"/>
  <c r="P59" i="35"/>
  <c r="S78" i="35"/>
  <c r="T81" i="35"/>
  <c r="O61" i="35"/>
  <c r="O75" i="35"/>
  <c r="G79" i="35"/>
  <c r="U81" i="35"/>
  <c r="P75" i="35"/>
  <c r="H79" i="35"/>
  <c r="F82" i="35"/>
  <c r="S75" i="35"/>
  <c r="I79" i="35"/>
  <c r="G82" i="35"/>
  <c r="F57" i="35"/>
  <c r="T75" i="35"/>
  <c r="N79" i="35"/>
  <c r="J82" i="35"/>
  <c r="U60" i="35"/>
  <c r="F76" i="35"/>
  <c r="L19" i="35"/>
  <c r="U63" i="35"/>
  <c r="J76" i="35"/>
  <c r="T79" i="35"/>
  <c r="Q82" i="35"/>
  <c r="P19" i="35"/>
  <c r="K54" i="35"/>
  <c r="K76" i="35"/>
  <c r="U79" i="35"/>
  <c r="S82" i="35"/>
  <c r="L54" i="35"/>
  <c r="G73" i="35"/>
  <c r="F77" i="35"/>
  <c r="H80" i="35"/>
  <c r="J57" i="35"/>
  <c r="G77" i="35"/>
  <c r="I80" i="35"/>
  <c r="K57" i="35"/>
  <c r="L80" i="35"/>
  <c r="K58" i="35"/>
  <c r="N80" i="35"/>
  <c r="L77" i="35"/>
  <c r="O80" i="35"/>
  <c r="N12" i="35"/>
  <c r="P80" i="35"/>
  <c r="I74" i="35"/>
  <c r="S77" i="35"/>
  <c r="K74" i="35"/>
  <c r="G78" i="35"/>
  <c r="I81" i="35"/>
  <c r="J18" i="35"/>
  <c r="L58" i="35"/>
  <c r="Q74" i="35"/>
  <c r="G76" i="35"/>
  <c r="N77" i="35"/>
  <c r="T78" i="35"/>
  <c r="Q18" i="35"/>
  <c r="J59" i="35"/>
  <c r="H76" i="35"/>
  <c r="O77" i="35"/>
  <c r="U78" i="35"/>
  <c r="J80" i="35"/>
  <c r="Q81" i="35"/>
  <c r="J37" i="35"/>
  <c r="M37" i="35" s="1"/>
  <c r="Q62" i="35"/>
  <c r="S74" i="35"/>
  <c r="I76" i="35"/>
  <c r="P77" i="35"/>
  <c r="F79" i="35"/>
  <c r="K80" i="35"/>
  <c r="S81" i="35"/>
  <c r="H57" i="35"/>
  <c r="J60" i="35"/>
  <c r="S55" i="35"/>
  <c r="F75" i="35"/>
  <c r="L76" i="35"/>
  <c r="O12" i="35"/>
  <c r="F58" i="35"/>
  <c r="I61" i="35"/>
  <c r="M61" i="35" s="1"/>
  <c r="U55" i="35"/>
  <c r="Q73" i="35"/>
  <c r="G75" i="35"/>
  <c r="N76" i="35"/>
  <c r="T77" i="35"/>
  <c r="G58" i="35"/>
  <c r="U56" i="35"/>
  <c r="H75" i="35"/>
  <c r="O76" i="35"/>
  <c r="U77" i="35"/>
  <c r="K79" i="35"/>
  <c r="Q80" i="35"/>
  <c r="H82" i="35"/>
  <c r="J13" i="35"/>
  <c r="G60" i="35"/>
  <c r="J62" i="35"/>
  <c r="S57" i="35"/>
  <c r="I75" i="35"/>
  <c r="P76" i="35"/>
  <c r="F78" i="35"/>
  <c r="L79" i="35"/>
  <c r="I82" i="35"/>
  <c r="T58" i="35"/>
  <c r="J75" i="35"/>
  <c r="Q76" i="35"/>
  <c r="H63" i="35"/>
  <c r="O54" i="35"/>
  <c r="R54" i="35" s="1"/>
  <c r="S59" i="35"/>
  <c r="F74" i="35"/>
  <c r="K75" i="35"/>
  <c r="S76" i="35"/>
  <c r="H78" i="35"/>
  <c r="O79" i="35"/>
  <c r="U80" i="35"/>
  <c r="K82" i="35"/>
  <c r="M242" i="35"/>
  <c r="I54" i="35"/>
  <c r="N55" i="35"/>
  <c r="S60" i="35"/>
  <c r="G74" i="35"/>
  <c r="L75" i="35"/>
  <c r="T76" i="35"/>
  <c r="I78" i="35"/>
  <c r="P79" i="35"/>
  <c r="F81" i="35"/>
  <c r="L82" i="35"/>
  <c r="J54" i="35"/>
  <c r="O55" i="35"/>
  <c r="T60" i="35"/>
  <c r="H74" i="35"/>
  <c r="N75" i="35"/>
  <c r="U76" i="35"/>
  <c r="J78" i="35"/>
  <c r="Q79" i="35"/>
  <c r="G81" i="35"/>
  <c r="N82" i="35"/>
  <c r="H81" i="35"/>
  <c r="O82" i="35"/>
  <c r="S62" i="35"/>
  <c r="J74" i="35"/>
  <c r="J56" i="35"/>
  <c r="Q75" i="35"/>
  <c r="H77" i="35"/>
  <c r="H16" i="35"/>
  <c r="O78" i="35"/>
  <c r="F80" i="35"/>
  <c r="L81" i="35"/>
  <c r="O59" i="35"/>
  <c r="H73" i="35"/>
  <c r="O74" i="35"/>
  <c r="U75" i="35"/>
  <c r="K77" i="35"/>
  <c r="Q78" i="35"/>
  <c r="G80" i="35"/>
  <c r="N81" i="35"/>
  <c r="T82" i="35"/>
  <c r="T15" i="35"/>
  <c r="G59" i="35"/>
  <c r="K55" i="35"/>
  <c r="P60" i="35"/>
  <c r="S56" i="35"/>
  <c r="U62" i="35"/>
  <c r="J21" i="35"/>
  <c r="H59" i="35"/>
  <c r="L55" i="35"/>
  <c r="L60" i="35"/>
  <c r="Q55" i="35"/>
  <c r="Q60" i="35"/>
  <c r="T56" i="35"/>
  <c r="S63" i="35"/>
  <c r="F60" i="35"/>
  <c r="I56" i="35"/>
  <c r="N56" i="35"/>
  <c r="N61" i="35"/>
  <c r="T63" i="35"/>
  <c r="F54" i="35"/>
  <c r="H60" i="35"/>
  <c r="P56" i="35"/>
  <c r="T57" i="35"/>
  <c r="G17" i="35"/>
  <c r="F61" i="35"/>
  <c r="L56" i="35"/>
  <c r="Q56" i="35"/>
  <c r="Q61" i="35"/>
  <c r="U57" i="35"/>
  <c r="H17" i="35"/>
  <c r="H54" i="35"/>
  <c r="G61" i="35"/>
  <c r="I57" i="35"/>
  <c r="I62" i="35"/>
  <c r="N57" i="35"/>
  <c r="N62" i="35"/>
  <c r="F55" i="35"/>
  <c r="H61" i="35"/>
  <c r="O57" i="35"/>
  <c r="O62" i="35"/>
  <c r="G55" i="35"/>
  <c r="F62" i="35"/>
  <c r="K62" i="35"/>
  <c r="U58" i="35"/>
  <c r="H55" i="35"/>
  <c r="G62" i="35"/>
  <c r="L62" i="35"/>
  <c r="Q57" i="35"/>
  <c r="N18" i="35"/>
  <c r="F56" i="35"/>
  <c r="H62" i="35"/>
  <c r="I58" i="35"/>
  <c r="I63" i="35"/>
  <c r="N58" i="35"/>
  <c r="N63" i="35"/>
  <c r="T59" i="35"/>
  <c r="O18" i="35"/>
  <c r="M247" i="35"/>
  <c r="G56" i="35"/>
  <c r="F63" i="35"/>
  <c r="O58" i="35"/>
  <c r="O63" i="35"/>
  <c r="U59" i="35"/>
  <c r="H56" i="35"/>
  <c r="L63" i="35"/>
  <c r="I59" i="35"/>
  <c r="L32" i="35"/>
  <c r="M32" i="35" s="1"/>
  <c r="T54" i="35"/>
  <c r="S61" i="35"/>
  <c r="U54" i="35"/>
  <c r="T61" i="35"/>
  <c r="U19" i="35"/>
  <c r="Q59" i="35"/>
  <c r="U61" i="35"/>
  <c r="H14" i="35"/>
  <c r="H58" i="35"/>
  <c r="I55" i="35"/>
  <c r="T55" i="35"/>
  <c r="O60" i="35"/>
  <c r="T62" i="35"/>
  <c r="I15" i="35"/>
  <c r="S15" i="35"/>
  <c r="M229" i="35"/>
  <c r="G12" i="35"/>
  <c r="P16" i="35"/>
  <c r="R16" i="35" s="1"/>
  <c r="P21" i="35"/>
  <c r="Q21" i="35"/>
  <c r="H13" i="35"/>
  <c r="S21" i="35"/>
  <c r="G18" i="35"/>
  <c r="R250" i="35"/>
  <c r="Q13" i="35"/>
  <c r="U18" i="35"/>
  <c r="K14" i="35"/>
  <c r="N14" i="35"/>
  <c r="I17" i="35"/>
  <c r="I20" i="35"/>
  <c r="M20" i="35" s="1"/>
  <c r="H12" i="35"/>
  <c r="O14" i="35"/>
  <c r="N17" i="35"/>
  <c r="N20" i="35"/>
  <c r="J12" i="35"/>
  <c r="T14" i="35"/>
  <c r="Q17" i="35"/>
  <c r="O20" i="35"/>
  <c r="R241" i="35"/>
  <c r="U17" i="35"/>
  <c r="R242" i="35"/>
  <c r="S20" i="35"/>
  <c r="P232" i="35"/>
  <c r="U12" i="35"/>
  <c r="F18" i="35"/>
  <c r="T20" i="35"/>
  <c r="L15" i="35"/>
  <c r="F13" i="35"/>
  <c r="N15" i="35"/>
  <c r="L13" i="35"/>
  <c r="R227" i="35"/>
  <c r="P13" i="35"/>
  <c r="I16" i="35"/>
  <c r="M249" i="35"/>
  <c r="J16" i="35"/>
  <c r="J19" i="35"/>
  <c r="M245" i="35"/>
  <c r="F251" i="35"/>
  <c r="T16" i="35"/>
  <c r="J251" i="35"/>
  <c r="M38" i="35"/>
  <c r="Q232" i="35"/>
  <c r="K251" i="35"/>
  <c r="K18" i="35"/>
  <c r="R222" i="35"/>
  <c r="L251" i="35"/>
  <c r="O251" i="35"/>
  <c r="M244" i="35"/>
  <c r="R245" i="35"/>
  <c r="P12" i="35"/>
  <c r="I14" i="35"/>
  <c r="H21" i="35"/>
  <c r="R228" i="35"/>
  <c r="P251" i="35"/>
  <c r="Q12" i="35"/>
  <c r="J14" i="35"/>
  <c r="S16" i="35"/>
  <c r="I21" i="35"/>
  <c r="P32" i="35"/>
  <c r="M231" i="35"/>
  <c r="Q251" i="35"/>
  <c r="S12" i="35"/>
  <c r="I35" i="35"/>
  <c r="M35" i="35" s="1"/>
  <c r="M224" i="35"/>
  <c r="S251" i="35"/>
  <c r="T12" i="35"/>
  <c r="I19" i="35"/>
  <c r="T251" i="35"/>
  <c r="M40" i="35"/>
  <c r="F17" i="35"/>
  <c r="U251" i="35"/>
  <c r="K19" i="35"/>
  <c r="F31" i="35"/>
  <c r="F41" i="35" s="1"/>
  <c r="R224" i="35"/>
  <c r="M36" i="35"/>
  <c r="G13" i="35"/>
  <c r="N19" i="35"/>
  <c r="G232" i="35"/>
  <c r="F15" i="35"/>
  <c r="L17" i="35"/>
  <c r="J31" i="35"/>
  <c r="H232" i="35"/>
  <c r="R223" i="35"/>
  <c r="I13" i="35"/>
  <c r="K31" i="35"/>
  <c r="M222" i="35"/>
  <c r="M226" i="35"/>
  <c r="J232" i="35"/>
  <c r="S232" i="35"/>
  <c r="K232" i="35"/>
  <c r="G251" i="35"/>
  <c r="U31" i="35"/>
  <c r="N232" i="35"/>
  <c r="O232" i="35"/>
  <c r="M241" i="35"/>
  <c r="R39" i="35"/>
  <c r="U16" i="35"/>
  <c r="I18" i="35"/>
  <c r="U20" i="35"/>
  <c r="T232" i="35"/>
  <c r="P15" i="35"/>
  <c r="K39" i="35"/>
  <c r="R40" i="35"/>
  <c r="M225" i="35"/>
  <c r="M230" i="35"/>
  <c r="U232" i="35"/>
  <c r="M243" i="35"/>
  <c r="M248" i="35"/>
  <c r="Q15" i="35"/>
  <c r="Q19" i="35"/>
  <c r="F21" i="35"/>
  <c r="N31" i="35"/>
  <c r="R226" i="35"/>
  <c r="R231" i="35"/>
  <c r="R244" i="35"/>
  <c r="R249" i="35"/>
  <c r="L14" i="35"/>
  <c r="L18" i="35"/>
  <c r="S19" i="35"/>
  <c r="G21" i="35"/>
  <c r="O31" i="35"/>
  <c r="O41" i="35" s="1"/>
  <c r="M34" i="35"/>
  <c r="H251" i="35"/>
  <c r="I251" i="35"/>
  <c r="P14" i="35"/>
  <c r="S31" i="35"/>
  <c r="R225" i="35"/>
  <c r="R230" i="35"/>
  <c r="F232" i="35"/>
  <c r="R243" i="35"/>
  <c r="R248" i="35"/>
  <c r="Q14" i="35"/>
  <c r="F16" i="35"/>
  <c r="K17" i="35"/>
  <c r="K21" i="35"/>
  <c r="T31" i="35"/>
  <c r="T41" i="35" s="1"/>
  <c r="M223" i="35"/>
  <c r="M228" i="35"/>
  <c r="I232" i="35"/>
  <c r="M246" i="35"/>
  <c r="I12" i="35"/>
  <c r="R229" i="35"/>
  <c r="R247" i="35"/>
  <c r="N251" i="35"/>
  <c r="K16" i="35"/>
  <c r="L232" i="35"/>
  <c r="R37" i="35"/>
  <c r="M227" i="35"/>
  <c r="M250" i="35"/>
  <c r="R246" i="35"/>
  <c r="Q41" i="35"/>
  <c r="R38" i="35"/>
  <c r="G41" i="35"/>
  <c r="R33" i="35"/>
  <c r="H41" i="35"/>
  <c r="R36" i="35"/>
  <c r="R35" i="35"/>
  <c r="M33" i="35"/>
  <c r="R34" i="35"/>
  <c r="F41" i="18"/>
  <c r="R18" i="34"/>
  <c r="M35" i="34"/>
  <c r="M39" i="34"/>
  <c r="R13" i="34"/>
  <c r="R17" i="34"/>
  <c r="R21" i="34"/>
  <c r="M16" i="34"/>
  <c r="M20" i="34"/>
  <c r="R58" i="34"/>
  <c r="R62" i="34"/>
  <c r="R66" i="34"/>
  <c r="F102" i="33"/>
  <c r="H182" i="33"/>
  <c r="T22" i="33"/>
  <c r="G182" i="33"/>
  <c r="S22" i="33"/>
  <c r="H22" i="33"/>
  <c r="F22" i="33"/>
  <c r="F41" i="33"/>
  <c r="R22" i="33"/>
  <c r="Q380" i="33"/>
  <c r="F79" i="33"/>
  <c r="K342" i="33"/>
  <c r="P342" i="33"/>
  <c r="T361" i="33"/>
  <c r="R285" i="32"/>
  <c r="R289" i="32"/>
  <c r="R362" i="32"/>
  <c r="R365" i="32"/>
  <c r="M91" i="16"/>
  <c r="R91" i="16"/>
  <c r="R117" i="16"/>
  <c r="M63" i="16"/>
  <c r="T71" i="16"/>
  <c r="P71" i="16"/>
  <c r="O95" i="16"/>
  <c r="M115" i="16"/>
  <c r="R185" i="23"/>
  <c r="J172" i="23"/>
  <c r="M164" i="23"/>
  <c r="R166" i="23"/>
  <c r="M170" i="23"/>
  <c r="R167" i="23"/>
  <c r="M36" i="34"/>
  <c r="R37" i="34"/>
  <c r="M40" i="34"/>
  <c r="M44" i="34"/>
  <c r="R36" i="34"/>
  <c r="R40" i="34"/>
  <c r="R44" i="34"/>
  <c r="M43" i="34"/>
  <c r="M66" i="34"/>
  <c r="R65" i="34"/>
  <c r="M60" i="34"/>
  <c r="M64" i="34"/>
  <c r="M58" i="34"/>
  <c r="R61" i="34"/>
  <c r="R60" i="34"/>
  <c r="R64" i="34"/>
  <c r="M59" i="34"/>
  <c r="M63" i="34"/>
  <c r="M67" i="34"/>
  <c r="R59" i="34"/>
  <c r="R63" i="34"/>
  <c r="R67" i="34"/>
  <c r="M62" i="34"/>
  <c r="M81" i="34"/>
  <c r="R85" i="34"/>
  <c r="R89" i="34"/>
  <c r="M83" i="34"/>
  <c r="M105" i="34"/>
  <c r="M109" i="34"/>
  <c r="M113" i="34"/>
  <c r="M82" i="34"/>
  <c r="M86" i="34"/>
  <c r="M90" i="34"/>
  <c r="R84" i="34"/>
  <c r="R88" i="34"/>
  <c r="R81" i="34"/>
  <c r="M84" i="34"/>
  <c r="M88" i="34"/>
  <c r="M87" i="34"/>
  <c r="R82" i="34"/>
  <c r="R86" i="34"/>
  <c r="R90" i="34"/>
  <c r="M85" i="34"/>
  <c r="M89" i="34"/>
  <c r="M107" i="34"/>
  <c r="I68" i="34"/>
  <c r="R106" i="34"/>
  <c r="R110" i="34"/>
  <c r="R109" i="34"/>
  <c r="R113" i="34"/>
  <c r="M104" i="34"/>
  <c r="R105" i="34"/>
  <c r="M108" i="34"/>
  <c r="M112" i="34"/>
  <c r="R104" i="34"/>
  <c r="R108" i="34"/>
  <c r="R112" i="34"/>
  <c r="M111" i="34"/>
  <c r="T91" i="34"/>
  <c r="AT30" i="18" s="1"/>
  <c r="K91" i="34"/>
  <c r="I22" i="34"/>
  <c r="S91" i="34"/>
  <c r="AS30" i="18" s="1"/>
  <c r="G22" i="34"/>
  <c r="N30" i="18" s="1"/>
  <c r="I114" i="34"/>
  <c r="K22" i="34"/>
  <c r="U68" i="34"/>
  <c r="AL30" i="18" s="1"/>
  <c r="F114" i="34"/>
  <c r="AW30" i="18" s="1"/>
  <c r="P114" i="34"/>
  <c r="M137" i="34"/>
  <c r="G30" i="18" s="1"/>
  <c r="U22" i="34"/>
  <c r="T30" i="18" s="1"/>
  <c r="L114" i="34"/>
  <c r="J114" i="34"/>
  <c r="N91" i="34"/>
  <c r="J68" i="34"/>
  <c r="H45" i="34"/>
  <c r="X30" i="18" s="1"/>
  <c r="T22" i="34"/>
  <c r="S30" i="18" s="1"/>
  <c r="T45" i="34"/>
  <c r="AB30" i="18" s="1"/>
  <c r="Q114" i="34"/>
  <c r="R137" i="34"/>
  <c r="H30" i="18" s="1"/>
  <c r="K114" i="34"/>
  <c r="O114" i="34"/>
  <c r="S45" i="34"/>
  <c r="AA30" i="18" s="1"/>
  <c r="L22" i="34"/>
  <c r="J22" i="34"/>
  <c r="N45" i="34"/>
  <c r="O22" i="34"/>
  <c r="P45" i="34"/>
  <c r="P68" i="34"/>
  <c r="S114" i="34"/>
  <c r="BB30" i="18" s="1"/>
  <c r="T114" i="34"/>
  <c r="BC30" i="18" s="1"/>
  <c r="F22" i="34"/>
  <c r="M30" i="18" s="1"/>
  <c r="L45" i="34"/>
  <c r="L68" i="34"/>
  <c r="K68" i="34"/>
  <c r="I91" i="34"/>
  <c r="U114" i="34"/>
  <c r="BD30" i="18" s="1"/>
  <c r="K45" i="34"/>
  <c r="N114" i="34"/>
  <c r="Q68" i="34"/>
  <c r="S22" i="34"/>
  <c r="R30" i="18" s="1"/>
  <c r="N68" i="34"/>
  <c r="P91" i="34"/>
  <c r="I45" i="34"/>
  <c r="H22" i="34"/>
  <c r="O30" i="18" s="1"/>
  <c r="O68" i="34"/>
  <c r="H114" i="34"/>
  <c r="AY30" i="18" s="1"/>
  <c r="S68" i="34"/>
  <c r="AJ30" i="18" s="1"/>
  <c r="T68" i="34"/>
  <c r="AK30" i="18" s="1"/>
  <c r="H68" i="34"/>
  <c r="AG30" i="18" s="1"/>
  <c r="L91" i="34"/>
  <c r="F91" i="34"/>
  <c r="AN30" i="18" s="1"/>
  <c r="U91" i="34"/>
  <c r="AU30" i="18" s="1"/>
  <c r="J91" i="34"/>
  <c r="J45" i="34"/>
  <c r="F45" i="34"/>
  <c r="V30" i="18" s="1"/>
  <c r="U45" i="34"/>
  <c r="AC30" i="18" s="1"/>
  <c r="G91" i="34"/>
  <c r="AO30" i="18" s="1"/>
  <c r="G45" i="34"/>
  <c r="W30" i="18" s="1"/>
  <c r="N22" i="34"/>
  <c r="O91" i="34"/>
  <c r="O45" i="34"/>
  <c r="G114" i="34"/>
  <c r="AX30" i="18" s="1"/>
  <c r="Q22" i="34"/>
  <c r="F68" i="34"/>
  <c r="AE30" i="18" s="1"/>
  <c r="P22" i="34"/>
  <c r="G68" i="34"/>
  <c r="AF30" i="18" s="1"/>
  <c r="H91" i="34"/>
  <c r="AP30" i="18" s="1"/>
  <c r="Q45" i="34"/>
  <c r="Q91" i="34"/>
  <c r="R364" i="32"/>
  <c r="R367" i="32"/>
  <c r="R286" i="32"/>
  <c r="R290" i="32"/>
  <c r="R363" i="32"/>
  <c r="R366" i="32"/>
  <c r="U220" i="33"/>
  <c r="H342" i="33"/>
  <c r="S342" i="33"/>
  <c r="F380" i="33"/>
  <c r="P79" i="33"/>
  <c r="I361" i="33"/>
  <c r="G380" i="33"/>
  <c r="J22" i="33"/>
  <c r="J361" i="33"/>
  <c r="H380" i="33"/>
  <c r="S380" i="33"/>
  <c r="T380" i="33"/>
  <c r="H79" i="33"/>
  <c r="H102" i="33"/>
  <c r="U380" i="33"/>
  <c r="O399" i="33"/>
  <c r="U140" i="33"/>
  <c r="S399" i="33"/>
  <c r="G121" i="33"/>
  <c r="S239" i="33"/>
  <c r="T342" i="33"/>
  <c r="F361" i="33"/>
  <c r="T399" i="33"/>
  <c r="G342" i="33"/>
  <c r="U342" i="33"/>
  <c r="G361" i="33"/>
  <c r="U399" i="33"/>
  <c r="H361" i="33"/>
  <c r="I22" i="33"/>
  <c r="K22" i="33"/>
  <c r="F121" i="33"/>
  <c r="F140" i="33"/>
  <c r="K361" i="33"/>
  <c r="I380" i="33"/>
  <c r="G41" i="33"/>
  <c r="G60" i="33"/>
  <c r="H60" i="33"/>
  <c r="P399" i="33"/>
  <c r="G140" i="33"/>
  <c r="J380" i="33"/>
  <c r="H121" i="33"/>
  <c r="H140" i="33"/>
  <c r="H159" i="33"/>
  <c r="N361" i="33"/>
  <c r="K380" i="33"/>
  <c r="K399" i="33"/>
  <c r="I159" i="33"/>
  <c r="F201" i="33"/>
  <c r="O361" i="33"/>
  <c r="M380" i="33"/>
  <c r="F399" i="33"/>
  <c r="J140" i="33"/>
  <c r="G201" i="33"/>
  <c r="F220" i="33"/>
  <c r="F239" i="33"/>
  <c r="P361" i="33"/>
  <c r="N380" i="33"/>
  <c r="G399" i="33"/>
  <c r="K140" i="33"/>
  <c r="H201" i="33"/>
  <c r="G220" i="33"/>
  <c r="G239" i="33"/>
  <c r="F281" i="33"/>
  <c r="F300" i="33"/>
  <c r="F319" i="33"/>
  <c r="N342" i="33"/>
  <c r="O380" i="33"/>
  <c r="H399" i="33"/>
  <c r="J399" i="33"/>
  <c r="F60" i="33"/>
  <c r="U361" i="33"/>
  <c r="R370" i="33"/>
  <c r="R380" i="33" s="1"/>
  <c r="H41" i="33"/>
  <c r="I342" i="33"/>
  <c r="G79" i="33"/>
  <c r="G102" i="33"/>
  <c r="N399" i="33"/>
  <c r="G159" i="33"/>
  <c r="G22" i="33"/>
  <c r="F182" i="33"/>
  <c r="H220" i="33"/>
  <c r="H239" i="33"/>
  <c r="G262" i="33"/>
  <c r="G281" i="33"/>
  <c r="G300" i="33"/>
  <c r="G319" i="33"/>
  <c r="J342" i="33"/>
  <c r="O342" i="33"/>
  <c r="S361" i="33"/>
  <c r="P380" i="33"/>
  <c r="I399" i="33"/>
  <c r="M399" i="33"/>
  <c r="R399" i="33"/>
  <c r="L399" i="33"/>
  <c r="Q399" i="33"/>
  <c r="L380" i="33"/>
  <c r="M361" i="33"/>
  <c r="R361" i="33"/>
  <c r="L361" i="33"/>
  <c r="Q361" i="33"/>
  <c r="F342" i="33"/>
  <c r="M342" i="33"/>
  <c r="R342" i="33"/>
  <c r="Q342" i="33"/>
  <c r="L342" i="33"/>
  <c r="I319" i="33"/>
  <c r="U300" i="33"/>
  <c r="N319" i="33"/>
  <c r="O319" i="33"/>
  <c r="I281" i="33"/>
  <c r="J281" i="33"/>
  <c r="K281" i="33"/>
  <c r="I300" i="33"/>
  <c r="P319" i="33"/>
  <c r="S262" i="33"/>
  <c r="N281" i="33"/>
  <c r="K300" i="33"/>
  <c r="T262" i="33"/>
  <c r="U262" i="33"/>
  <c r="O281" i="33"/>
  <c r="M300" i="33"/>
  <c r="S319" i="33"/>
  <c r="U319" i="33"/>
  <c r="N300" i="33"/>
  <c r="P281" i="33"/>
  <c r="I262" i="33"/>
  <c r="N262" i="33"/>
  <c r="O300" i="33"/>
  <c r="J300" i="33"/>
  <c r="J262" i="33"/>
  <c r="O262" i="33"/>
  <c r="S281" i="33"/>
  <c r="P300" i="33"/>
  <c r="K262" i="33"/>
  <c r="P262" i="33"/>
  <c r="T281" i="33"/>
  <c r="J319" i="33"/>
  <c r="Q262" i="33"/>
  <c r="U281" i="33"/>
  <c r="S300" i="33"/>
  <c r="K319" i="33"/>
  <c r="T319" i="33"/>
  <c r="T300" i="33"/>
  <c r="K220" i="33"/>
  <c r="I182" i="33"/>
  <c r="N182" i="33"/>
  <c r="J239" i="33"/>
  <c r="I239" i="33"/>
  <c r="J182" i="33"/>
  <c r="O182" i="33"/>
  <c r="S201" i="33"/>
  <c r="N220" i="33"/>
  <c r="K239" i="33"/>
  <c r="U239" i="33"/>
  <c r="T182" i="33"/>
  <c r="U182" i="33"/>
  <c r="S182" i="33"/>
  <c r="I201" i="33"/>
  <c r="O239" i="33"/>
  <c r="K201" i="33"/>
  <c r="I220" i="33"/>
  <c r="O201" i="33"/>
  <c r="J220" i="33"/>
  <c r="P201" i="33"/>
  <c r="K182" i="33"/>
  <c r="P182" i="33"/>
  <c r="T201" i="33"/>
  <c r="O220" i="33"/>
  <c r="M239" i="33"/>
  <c r="T239" i="33"/>
  <c r="J201" i="33"/>
  <c r="N201" i="33"/>
  <c r="U201" i="33"/>
  <c r="P220" i="33"/>
  <c r="N239" i="33"/>
  <c r="S220" i="33"/>
  <c r="P239" i="33"/>
  <c r="T220" i="33"/>
  <c r="R319" i="33"/>
  <c r="M319" i="33"/>
  <c r="L319" i="33"/>
  <c r="Q319" i="33"/>
  <c r="R300" i="33"/>
  <c r="L300" i="33"/>
  <c r="Q300" i="33"/>
  <c r="M281" i="33"/>
  <c r="R281" i="33"/>
  <c r="L281" i="33"/>
  <c r="Q281" i="33"/>
  <c r="R252" i="33"/>
  <c r="F262" i="33"/>
  <c r="M262" i="33"/>
  <c r="L262" i="33"/>
  <c r="R253" i="33"/>
  <c r="N121" i="33"/>
  <c r="J159" i="33"/>
  <c r="O121" i="33"/>
  <c r="K159" i="33"/>
  <c r="N140" i="33"/>
  <c r="S102" i="33"/>
  <c r="N159" i="33"/>
  <c r="J102" i="33"/>
  <c r="P140" i="33"/>
  <c r="K102" i="33"/>
  <c r="U102" i="33"/>
  <c r="Q140" i="33"/>
  <c r="L102" i="33"/>
  <c r="S140" i="33"/>
  <c r="Q159" i="33"/>
  <c r="I102" i="33"/>
  <c r="T140" i="33"/>
  <c r="T159" i="33"/>
  <c r="S121" i="33"/>
  <c r="U159" i="33"/>
  <c r="N102" i="33"/>
  <c r="O140" i="33"/>
  <c r="O102" i="33"/>
  <c r="P102" i="33"/>
  <c r="T121" i="33"/>
  <c r="P159" i="33"/>
  <c r="Q102" i="33"/>
  <c r="U121" i="33"/>
  <c r="S159" i="33"/>
  <c r="O159" i="33"/>
  <c r="I121" i="33"/>
  <c r="P121" i="33"/>
  <c r="T102" i="33"/>
  <c r="J121" i="33"/>
  <c r="K121" i="33"/>
  <c r="I140" i="33"/>
  <c r="R239" i="33"/>
  <c r="L239" i="33"/>
  <c r="Q239" i="33"/>
  <c r="R220" i="33"/>
  <c r="M220" i="33"/>
  <c r="Q220" i="33"/>
  <c r="L220" i="33"/>
  <c r="M201" i="33"/>
  <c r="R201" i="33"/>
  <c r="Q201" i="33"/>
  <c r="L201" i="33"/>
  <c r="M182" i="33"/>
  <c r="L182" i="33"/>
  <c r="R182" i="33"/>
  <c r="Q182" i="33"/>
  <c r="M22" i="33"/>
  <c r="R41" i="33"/>
  <c r="N60" i="33"/>
  <c r="S79" i="33"/>
  <c r="T79" i="33"/>
  <c r="U22" i="33"/>
  <c r="U79" i="33"/>
  <c r="I41" i="33"/>
  <c r="Q60" i="33"/>
  <c r="J41" i="33"/>
  <c r="K41" i="33"/>
  <c r="L41" i="33"/>
  <c r="I79" i="33"/>
  <c r="O22" i="33"/>
  <c r="M31" i="33"/>
  <c r="M41" i="33" s="1"/>
  <c r="I60" i="33"/>
  <c r="P22" i="33"/>
  <c r="N41" i="33"/>
  <c r="J60" i="33"/>
  <c r="Q22" i="33"/>
  <c r="O41" i="33"/>
  <c r="K60" i="33"/>
  <c r="P41" i="33"/>
  <c r="S41" i="33"/>
  <c r="O60" i="33"/>
  <c r="J79" i="33"/>
  <c r="L22" i="33"/>
  <c r="T41" i="33"/>
  <c r="P60" i="33"/>
  <c r="K79" i="33"/>
  <c r="U41" i="33"/>
  <c r="L79" i="33"/>
  <c r="S60" i="33"/>
  <c r="M69" i="33"/>
  <c r="M79" i="33" s="1"/>
  <c r="T60" i="33"/>
  <c r="N79" i="33"/>
  <c r="U60" i="33"/>
  <c r="O79" i="33"/>
  <c r="M159" i="33"/>
  <c r="L159" i="33"/>
  <c r="R149" i="33"/>
  <c r="R159" i="33" s="1"/>
  <c r="M140" i="33"/>
  <c r="R130" i="33"/>
  <c r="R140" i="33" s="1"/>
  <c r="L140" i="33"/>
  <c r="M121" i="33"/>
  <c r="R121" i="33"/>
  <c r="L121" i="33"/>
  <c r="Q121" i="33"/>
  <c r="M92" i="33"/>
  <c r="M102" i="33" s="1"/>
  <c r="R92" i="33"/>
  <c r="R102" i="33" s="1"/>
  <c r="R79" i="33"/>
  <c r="Q79" i="33"/>
  <c r="M60" i="33"/>
  <c r="R52" i="33"/>
  <c r="R60" i="33" s="1"/>
  <c r="L60" i="33"/>
  <c r="Q41" i="33"/>
  <c r="N22" i="33"/>
  <c r="R422" i="33"/>
  <c r="M422" i="33"/>
  <c r="M460" i="33"/>
  <c r="R460" i="33"/>
  <c r="M441" i="33"/>
  <c r="R441" i="33"/>
  <c r="R479" i="33"/>
  <c r="M479" i="33"/>
  <c r="F172" i="23"/>
  <c r="AW11" i="18" s="1"/>
  <c r="O172" i="23"/>
  <c r="J189" i="23"/>
  <c r="H134" i="23"/>
  <c r="AP11" i="18" s="1"/>
  <c r="J134" i="23"/>
  <c r="M72" i="23"/>
  <c r="R168" i="23"/>
  <c r="G96" i="23"/>
  <c r="AF11" i="18" s="1"/>
  <c r="F96" i="23"/>
  <c r="AE11" i="18" s="1"/>
  <c r="M167" i="23"/>
  <c r="H189" i="23"/>
  <c r="AY12" i="18" s="1"/>
  <c r="M55" i="23"/>
  <c r="R108" i="23"/>
  <c r="R72" i="23"/>
  <c r="P172" i="23"/>
  <c r="G134" i="23"/>
  <c r="AO11" i="18" s="1"/>
  <c r="Q172" i="23"/>
  <c r="F151" i="23"/>
  <c r="AN12" i="18" s="1"/>
  <c r="R52" i="23"/>
  <c r="R57" i="23"/>
  <c r="M69" i="23"/>
  <c r="M74" i="23"/>
  <c r="R71" i="23"/>
  <c r="R288" i="32"/>
  <c r="R287" i="32"/>
  <c r="R131" i="32"/>
  <c r="R135" i="32"/>
  <c r="R284" i="32"/>
  <c r="R130" i="32"/>
  <c r="R134" i="32"/>
  <c r="R133" i="32"/>
  <c r="R132" i="32"/>
  <c r="R208" i="32"/>
  <c r="R212" i="32"/>
  <c r="R211" i="32"/>
  <c r="R207" i="32"/>
  <c r="R210" i="32"/>
  <c r="R209" i="32"/>
  <c r="R213" i="32"/>
  <c r="M261" i="32"/>
  <c r="T44" i="32"/>
  <c r="S22" i="18" s="1"/>
  <c r="H497" i="15"/>
  <c r="R519" i="15"/>
  <c r="H6" i="18" s="1"/>
  <c r="F496" i="15"/>
  <c r="M551" i="15"/>
  <c r="M567" i="15"/>
  <c r="R535" i="15"/>
  <c r="R583" i="15"/>
  <c r="H8" i="18" s="1"/>
  <c r="M519" i="15"/>
  <c r="G6" i="18" s="1"/>
  <c r="M583" i="15"/>
  <c r="G8" i="18" s="1"/>
  <c r="R551" i="15"/>
  <c r="M535" i="15"/>
  <c r="R567" i="15"/>
  <c r="M39" i="32"/>
  <c r="R116" i="32"/>
  <c r="R262" i="32"/>
  <c r="F266" i="32"/>
  <c r="J291" i="32"/>
  <c r="M186" i="32"/>
  <c r="K291" i="32"/>
  <c r="R59" i="32"/>
  <c r="R193" i="32"/>
  <c r="O214" i="32"/>
  <c r="R346" i="32"/>
  <c r="U121" i="32"/>
  <c r="AC22" i="18" s="1"/>
  <c r="M56" i="32"/>
  <c r="M211" i="32"/>
  <c r="H343" i="32"/>
  <c r="P44" i="32"/>
  <c r="H96" i="32"/>
  <c r="X28" i="18" s="1"/>
  <c r="R109" i="32"/>
  <c r="Q368" i="32"/>
  <c r="M37" i="32"/>
  <c r="R197" i="32"/>
  <c r="R245" i="32"/>
  <c r="R108" i="32"/>
  <c r="M170" i="32"/>
  <c r="R111" i="32"/>
  <c r="F60" i="32"/>
  <c r="M183" i="32"/>
  <c r="R195" i="32"/>
  <c r="M338" i="32"/>
  <c r="R350" i="32"/>
  <c r="M53" i="32"/>
  <c r="M57" i="32"/>
  <c r="O266" i="32"/>
  <c r="M289" i="32"/>
  <c r="M212" i="32"/>
  <c r="R249" i="32"/>
  <c r="H327" i="32"/>
  <c r="AY28" i="18" s="1"/>
  <c r="M12" i="32"/>
  <c r="R31" i="32"/>
  <c r="K96" i="32"/>
  <c r="M107" i="32"/>
  <c r="Q198" i="32"/>
  <c r="R263" i="32"/>
  <c r="U343" i="32"/>
  <c r="M342" i="32"/>
  <c r="F214" i="32"/>
  <c r="N291" i="32"/>
  <c r="J343" i="32"/>
  <c r="M363" i="32"/>
  <c r="U60" i="32"/>
  <c r="T96" i="32"/>
  <c r="AB28" i="18" s="1"/>
  <c r="N112" i="32"/>
  <c r="R183" i="32"/>
  <c r="F250" i="32"/>
  <c r="AN28" i="18" s="1"/>
  <c r="M273" i="32"/>
  <c r="M287" i="32"/>
  <c r="F19" i="32"/>
  <c r="M28" i="18" s="1"/>
  <c r="S266" i="32"/>
  <c r="N19" i="32"/>
  <c r="M41" i="32"/>
  <c r="M110" i="32"/>
  <c r="M172" i="32"/>
  <c r="R338" i="32"/>
  <c r="Q112" i="32"/>
  <c r="M135" i="32"/>
  <c r="Q189" i="32"/>
  <c r="M323" i="32"/>
  <c r="M337" i="32"/>
  <c r="O44" i="32"/>
  <c r="M40" i="32"/>
  <c r="G112" i="32"/>
  <c r="R168" i="32"/>
  <c r="R13" i="32"/>
  <c r="M54" i="32"/>
  <c r="R106" i="32"/>
  <c r="M185" i="32"/>
  <c r="R186" i="32"/>
  <c r="M29" i="32"/>
  <c r="U96" i="32"/>
  <c r="AC28" i="18" s="1"/>
  <c r="T121" i="32"/>
  <c r="AB22" i="18" s="1"/>
  <c r="K368" i="32"/>
  <c r="M116" i="32"/>
  <c r="R261" i="32"/>
  <c r="M336" i="32"/>
  <c r="M28" i="32"/>
  <c r="M43" i="32"/>
  <c r="R54" i="32"/>
  <c r="G96" i="32"/>
  <c r="W28" i="18" s="1"/>
  <c r="M264" i="32"/>
  <c r="R268" i="32"/>
  <c r="R272" i="32"/>
  <c r="M351" i="32"/>
  <c r="T198" i="32"/>
  <c r="AK22" i="18" s="1"/>
  <c r="M188" i="32"/>
  <c r="F291" i="32"/>
  <c r="I173" i="32"/>
  <c r="M13" i="32"/>
  <c r="M133" i="32"/>
  <c r="G189" i="32"/>
  <c r="M209" i="32"/>
  <c r="R340" i="32"/>
  <c r="R351" i="32"/>
  <c r="T368" i="32"/>
  <c r="M38" i="32"/>
  <c r="M42" i="32"/>
  <c r="R57" i="32"/>
  <c r="R184" i="32"/>
  <c r="M245" i="32"/>
  <c r="M263" i="32"/>
  <c r="R271" i="32"/>
  <c r="M364" i="32"/>
  <c r="H137" i="32"/>
  <c r="K173" i="32"/>
  <c r="R187" i="32"/>
  <c r="Q214" i="32"/>
  <c r="R259" i="32"/>
  <c r="T266" i="32"/>
  <c r="M271" i="32"/>
  <c r="P368" i="32"/>
  <c r="M58" i="32"/>
  <c r="S121" i="32"/>
  <c r="AA22" i="18" s="1"/>
  <c r="T189" i="32"/>
  <c r="M213" i="32"/>
  <c r="U327" i="32"/>
  <c r="BD28" i="18" s="1"/>
  <c r="M341" i="32"/>
  <c r="R39" i="32"/>
  <c r="G60" i="32"/>
  <c r="K121" i="32"/>
  <c r="T35" i="32"/>
  <c r="F112" i="32"/>
  <c r="R119" i="32"/>
  <c r="O189" i="32"/>
  <c r="M193" i="32"/>
  <c r="R342" i="32"/>
  <c r="Q352" i="32"/>
  <c r="M420" i="32"/>
  <c r="F44" i="32"/>
  <c r="M22" i="18" s="1"/>
  <c r="R107" i="32"/>
  <c r="M114" i="32"/>
  <c r="S137" i="32"/>
  <c r="M197" i="32"/>
  <c r="R337" i="32"/>
  <c r="M349" i="32"/>
  <c r="R16" i="32"/>
  <c r="J44" i="32"/>
  <c r="P60" i="32"/>
  <c r="R95" i="32"/>
  <c r="O112" i="32"/>
  <c r="L121" i="32"/>
  <c r="T137" i="32"/>
  <c r="R167" i="32"/>
  <c r="G198" i="32"/>
  <c r="AF22" i="18" s="1"/>
  <c r="R194" i="32"/>
  <c r="M262" i="32"/>
  <c r="M270" i="32"/>
  <c r="M340" i="32"/>
  <c r="R349" i="32"/>
  <c r="M367" i="32"/>
  <c r="M72" i="32"/>
  <c r="K35" i="32"/>
  <c r="M34" i="32"/>
  <c r="R43" i="32"/>
  <c r="O60" i="32"/>
  <c r="F76" i="32"/>
  <c r="M29" i="18" s="1"/>
  <c r="J112" i="32"/>
  <c r="P189" i="32"/>
  <c r="J250" i="32"/>
  <c r="M274" i="32"/>
  <c r="I327" i="32"/>
  <c r="Q343" i="32"/>
  <c r="R341" i="32"/>
  <c r="P352" i="32"/>
  <c r="M348" i="32"/>
  <c r="H35" i="32"/>
  <c r="L35" i="32"/>
  <c r="R38" i="32"/>
  <c r="R53" i="32"/>
  <c r="R91" i="32"/>
  <c r="F96" i="32"/>
  <c r="V28" i="18" s="1"/>
  <c r="R118" i="32"/>
  <c r="M192" i="32"/>
  <c r="Q250" i="32"/>
  <c r="T250" i="32"/>
  <c r="AT28" i="18" s="1"/>
  <c r="H275" i="32"/>
  <c r="AP22" i="18" s="1"/>
  <c r="O291" i="32"/>
  <c r="R326" i="32"/>
  <c r="I35" i="32"/>
  <c r="R30" i="32"/>
  <c r="M90" i="32"/>
  <c r="M117" i="32"/>
  <c r="F153" i="32"/>
  <c r="V29" i="18" s="1"/>
  <c r="U198" i="32"/>
  <c r="AL22" i="18" s="1"/>
  <c r="R243" i="32"/>
  <c r="R270" i="32"/>
  <c r="M288" i="32"/>
  <c r="T343" i="32"/>
  <c r="R37" i="32"/>
  <c r="R105" i="32"/>
  <c r="G153" i="32"/>
  <c r="W29" i="18" s="1"/>
  <c r="R185" i="32"/>
  <c r="L266" i="32"/>
  <c r="M269" i="32"/>
  <c r="G307" i="32"/>
  <c r="AO29" i="18" s="1"/>
  <c r="O343" i="32"/>
  <c r="T352" i="32"/>
  <c r="BC22" i="18" s="1"/>
  <c r="M265" i="32"/>
  <c r="L291" i="32"/>
  <c r="P343" i="32"/>
  <c r="M339" i="32"/>
  <c r="F35" i="32"/>
  <c r="R34" i="32"/>
  <c r="S60" i="32"/>
  <c r="L112" i="32"/>
  <c r="M131" i="32"/>
  <c r="M246" i="32"/>
  <c r="M260" i="32"/>
  <c r="G275" i="32"/>
  <c r="AO22" i="18" s="1"/>
  <c r="T291" i="32"/>
  <c r="M347" i="32"/>
  <c r="R348" i="32"/>
  <c r="R429" i="32"/>
  <c r="H22" i="18" s="1"/>
  <c r="M169" i="32"/>
  <c r="R170" i="32"/>
  <c r="H368" i="32"/>
  <c r="M18" i="32"/>
  <c r="R33" i="32"/>
  <c r="J96" i="32"/>
  <c r="R117" i="32"/>
  <c r="J198" i="32"/>
  <c r="M268" i="32"/>
  <c r="Q275" i="32"/>
  <c r="P291" i="32"/>
  <c r="G352" i="32"/>
  <c r="AX22" i="18" s="1"/>
  <c r="M89" i="32"/>
  <c r="U35" i="32"/>
  <c r="R56" i="32"/>
  <c r="T112" i="32"/>
  <c r="S214" i="32"/>
  <c r="G214" i="32"/>
  <c r="G266" i="32"/>
  <c r="Q266" i="32"/>
  <c r="J275" i="32"/>
  <c r="M272" i="32"/>
  <c r="Q291" i="32"/>
  <c r="G327" i="32"/>
  <c r="AX28" i="18" s="1"/>
  <c r="M365" i="32"/>
  <c r="M445" i="32"/>
  <c r="R14" i="32"/>
  <c r="P35" i="32"/>
  <c r="U44" i="32"/>
  <c r="T22" i="18" s="1"/>
  <c r="M92" i="32"/>
  <c r="H121" i="32"/>
  <c r="X22" i="18" s="1"/>
  <c r="T214" i="32"/>
  <c r="R260" i="32"/>
  <c r="K275" i="32"/>
  <c r="F275" i="32"/>
  <c r="AN22" i="18" s="1"/>
  <c r="S291" i="32"/>
  <c r="R339" i="32"/>
  <c r="R347" i="32"/>
  <c r="R404" i="32"/>
  <c r="H28" i="18" s="1"/>
  <c r="G19" i="32"/>
  <c r="N28" i="18" s="1"/>
  <c r="M32" i="32"/>
  <c r="R40" i="32"/>
  <c r="Q96" i="32"/>
  <c r="U214" i="32"/>
  <c r="H291" i="32"/>
  <c r="H307" i="32"/>
  <c r="AP29" i="18" s="1"/>
  <c r="J352" i="32"/>
  <c r="L368" i="32"/>
  <c r="T60" i="32"/>
  <c r="R28" i="32"/>
  <c r="J121" i="32"/>
  <c r="R120" i="32"/>
  <c r="J266" i="32"/>
  <c r="T275" i="32"/>
  <c r="AT22" i="18" s="1"/>
  <c r="G343" i="32"/>
  <c r="O35" i="32"/>
  <c r="I60" i="32"/>
  <c r="L60" i="32"/>
  <c r="M59" i="32"/>
  <c r="F121" i="32"/>
  <c r="V22" i="18" s="1"/>
  <c r="M119" i="32"/>
  <c r="K137" i="32"/>
  <c r="J189" i="32"/>
  <c r="U189" i="32"/>
  <c r="H189" i="32"/>
  <c r="P198" i="32"/>
  <c r="M194" i="32"/>
  <c r="K266" i="32"/>
  <c r="N275" i="32"/>
  <c r="M286" i="32"/>
  <c r="O368" i="32"/>
  <c r="M31" i="32"/>
  <c r="R55" i="32"/>
  <c r="R92" i="32"/>
  <c r="G121" i="32"/>
  <c r="W22" i="18" s="1"/>
  <c r="G137" i="32"/>
  <c r="J173" i="32"/>
  <c r="P214" i="32"/>
  <c r="P275" i="32"/>
  <c r="H352" i="32"/>
  <c r="AY22" i="18" s="1"/>
  <c r="M33" i="32"/>
  <c r="M55" i="32"/>
  <c r="M75" i="32"/>
  <c r="M106" i="32"/>
  <c r="M195" i="32"/>
  <c r="F307" i="32"/>
  <c r="AN29" i="18" s="1"/>
  <c r="U368" i="32"/>
  <c r="Q19" i="32"/>
  <c r="R17" i="32"/>
  <c r="R18" i="32"/>
  <c r="J35" i="32"/>
  <c r="G44" i="32"/>
  <c r="N22" i="18" s="1"/>
  <c r="H60" i="32"/>
  <c r="K60" i="32"/>
  <c r="M115" i="32"/>
  <c r="G173" i="32"/>
  <c r="AF28" i="18" s="1"/>
  <c r="M210" i="32"/>
  <c r="Q35" i="32"/>
  <c r="M16" i="32"/>
  <c r="R29" i="32"/>
  <c r="R171" i="32"/>
  <c r="R172" i="32"/>
  <c r="G230" i="32"/>
  <c r="AF29" i="18" s="1"/>
  <c r="M248" i="32"/>
  <c r="L96" i="32"/>
  <c r="G76" i="32"/>
  <c r="N29" i="18" s="1"/>
  <c r="M94" i="32"/>
  <c r="O137" i="32"/>
  <c r="R461" i="32"/>
  <c r="H29" i="18" s="1"/>
  <c r="S19" i="32"/>
  <c r="R28" i="18" s="1"/>
  <c r="O121" i="32"/>
  <c r="R322" i="32"/>
  <c r="Q44" i="32"/>
  <c r="R42" i="32"/>
  <c r="J60" i="32"/>
  <c r="H76" i="32"/>
  <c r="O29" i="18" s="1"/>
  <c r="K112" i="32"/>
  <c r="L137" i="32"/>
  <c r="S198" i="32"/>
  <c r="AJ22" i="18" s="1"/>
  <c r="G384" i="32"/>
  <c r="AX29" i="18" s="1"/>
  <c r="O19" i="32"/>
  <c r="M130" i="32"/>
  <c r="I189" i="32"/>
  <c r="H198" i="32"/>
  <c r="AG22" i="18" s="1"/>
  <c r="O250" i="32"/>
  <c r="J327" i="32"/>
  <c r="O352" i="32"/>
  <c r="M15" i="32"/>
  <c r="S35" i="32"/>
  <c r="R32" i="32"/>
  <c r="N137" i="32"/>
  <c r="R147" i="32"/>
  <c r="S275" i="32"/>
  <c r="AS22" i="18" s="1"/>
  <c r="I352" i="32"/>
  <c r="P19" i="32"/>
  <c r="R15" i="32"/>
  <c r="T19" i="32"/>
  <c r="S28" i="18" s="1"/>
  <c r="N35" i="32"/>
  <c r="Q60" i="32"/>
  <c r="R58" i="32"/>
  <c r="U112" i="32"/>
  <c r="N121" i="32"/>
  <c r="R114" i="32"/>
  <c r="Q173" i="32"/>
  <c r="H173" i="32"/>
  <c r="AG28" i="18" s="1"/>
  <c r="J214" i="32"/>
  <c r="M243" i="32"/>
  <c r="L250" i="32"/>
  <c r="N266" i="32"/>
  <c r="M285" i="32"/>
  <c r="J368" i="32"/>
  <c r="U19" i="32"/>
  <c r="T28" i="18" s="1"/>
  <c r="S173" i="32"/>
  <c r="AJ28" i="18" s="1"/>
  <c r="K214" i="32"/>
  <c r="G368" i="32"/>
  <c r="H19" i="32"/>
  <c r="O28" i="18" s="1"/>
  <c r="K19" i="32"/>
  <c r="S44" i="32"/>
  <c r="R22" i="18" s="1"/>
  <c r="R41" i="32"/>
  <c r="R89" i="32"/>
  <c r="N96" i="32"/>
  <c r="M108" i="32"/>
  <c r="Q137" i="32"/>
  <c r="M184" i="32"/>
  <c r="R226" i="32"/>
  <c r="R12" i="32"/>
  <c r="M14" i="32"/>
  <c r="U137" i="32"/>
  <c r="I19" i="32"/>
  <c r="L19" i="32"/>
  <c r="N44" i="32"/>
  <c r="R93" i="32"/>
  <c r="S112" i="32"/>
  <c r="Q121" i="32"/>
  <c r="F137" i="32"/>
  <c r="U173" i="32"/>
  <c r="AL28" i="18" s="1"/>
  <c r="H214" i="32"/>
  <c r="H230" i="32"/>
  <c r="AG29" i="18" s="1"/>
  <c r="G291" i="32"/>
  <c r="U352" i="32"/>
  <c r="BD22" i="18" s="1"/>
  <c r="M30" i="32"/>
  <c r="M207" i="32"/>
  <c r="I214" i="32"/>
  <c r="R247" i="32"/>
  <c r="S96" i="32"/>
  <c r="AA28" i="18" s="1"/>
  <c r="S250" i="32"/>
  <c r="AS28" i="18" s="1"/>
  <c r="M17" i="32"/>
  <c r="M132" i="32"/>
  <c r="J137" i="32"/>
  <c r="R169" i="32"/>
  <c r="H266" i="32"/>
  <c r="N60" i="32"/>
  <c r="J19" i="32"/>
  <c r="G35" i="32"/>
  <c r="H44" i="32"/>
  <c r="O22" i="18" s="1"/>
  <c r="O173" i="32"/>
  <c r="M361" i="32"/>
  <c r="I368" i="32"/>
  <c r="K44" i="32"/>
  <c r="M167" i="32"/>
  <c r="K189" i="32"/>
  <c r="I44" i="32"/>
  <c r="L44" i="32"/>
  <c r="H112" i="32"/>
  <c r="M111" i="32"/>
  <c r="J153" i="32"/>
  <c r="R188" i="32"/>
  <c r="I198" i="32"/>
  <c r="R192" i="32"/>
  <c r="O198" i="32"/>
  <c r="R196" i="32"/>
  <c r="L275" i="32"/>
  <c r="R115" i="32"/>
  <c r="H153" i="32"/>
  <c r="X29" i="18" s="1"/>
  <c r="U250" i="32"/>
  <c r="AU28" i="18" s="1"/>
  <c r="R248" i="32"/>
  <c r="R325" i="32"/>
  <c r="S352" i="32"/>
  <c r="BB22" i="18" s="1"/>
  <c r="F368" i="32"/>
  <c r="M182" i="32"/>
  <c r="M208" i="32"/>
  <c r="M404" i="32"/>
  <c r="G28" i="18" s="1"/>
  <c r="I112" i="32"/>
  <c r="M168" i="32"/>
  <c r="L189" i="32"/>
  <c r="M187" i="32"/>
  <c r="G250" i="32"/>
  <c r="AO28" i="18" s="1"/>
  <c r="I266" i="32"/>
  <c r="U275" i="32"/>
  <c r="AU22" i="18" s="1"/>
  <c r="R273" i="32"/>
  <c r="R324" i="32"/>
  <c r="L343" i="32"/>
  <c r="P121" i="32"/>
  <c r="M118" i="32"/>
  <c r="F173" i="32"/>
  <c r="AE28" i="18" s="1"/>
  <c r="R182" i="32"/>
  <c r="N189" i="32"/>
  <c r="H250" i="32"/>
  <c r="AP28" i="18" s="1"/>
  <c r="M321" i="32"/>
  <c r="M322" i="32"/>
  <c r="R336" i="32"/>
  <c r="N343" i="32"/>
  <c r="M366" i="32"/>
  <c r="F384" i="32"/>
  <c r="AW29" i="18" s="1"/>
  <c r="H384" i="32"/>
  <c r="AY29" i="18" s="1"/>
  <c r="M91" i="32"/>
  <c r="K250" i="32"/>
  <c r="R265" i="32"/>
  <c r="M290" i="32"/>
  <c r="F327" i="32"/>
  <c r="AW28" i="18" s="1"/>
  <c r="K327" i="32"/>
  <c r="R323" i="32"/>
  <c r="O327" i="32"/>
  <c r="M346" i="32"/>
  <c r="N368" i="32"/>
  <c r="M105" i="32"/>
  <c r="M166" i="32"/>
  <c r="P173" i="32"/>
  <c r="M259" i="32"/>
  <c r="I291" i="32"/>
  <c r="P327" i="32"/>
  <c r="M95" i="32"/>
  <c r="S189" i="32"/>
  <c r="L214" i="32"/>
  <c r="F230" i="32"/>
  <c r="AE29" i="18" s="1"/>
  <c r="Q327" i="32"/>
  <c r="S343" i="32"/>
  <c r="F352" i="32"/>
  <c r="AW22" i="18" s="1"/>
  <c r="K352" i="32"/>
  <c r="R445" i="32"/>
  <c r="I96" i="32"/>
  <c r="O96" i="32"/>
  <c r="N214" i="32"/>
  <c r="N250" i="32"/>
  <c r="M320" i="32"/>
  <c r="P112" i="32"/>
  <c r="M109" i="32"/>
  <c r="M136" i="32"/>
  <c r="L173" i="32"/>
  <c r="M171" i="32"/>
  <c r="T173" i="32"/>
  <c r="AK28" i="18" s="1"/>
  <c r="F198" i="32"/>
  <c r="AE22" i="18" s="1"/>
  <c r="K198" i="32"/>
  <c r="R246" i="32"/>
  <c r="M249" i="32"/>
  <c r="P266" i="32"/>
  <c r="T327" i="32"/>
  <c r="BC28" i="18" s="1"/>
  <c r="S368" i="32"/>
  <c r="R420" i="32"/>
  <c r="R90" i="32"/>
  <c r="R110" i="32"/>
  <c r="I137" i="32"/>
  <c r="R166" i="32"/>
  <c r="N173" i="32"/>
  <c r="I250" i="32"/>
  <c r="U266" i="32"/>
  <c r="R264" i="32"/>
  <c r="M284" i="32"/>
  <c r="M325" i="32"/>
  <c r="M326" i="32"/>
  <c r="M345" i="32"/>
  <c r="M244" i="32"/>
  <c r="L327" i="32"/>
  <c r="R321" i="32"/>
  <c r="M191" i="32"/>
  <c r="R244" i="32"/>
  <c r="R320" i="32"/>
  <c r="N327" i="32"/>
  <c r="M350" i="32"/>
  <c r="O275" i="32"/>
  <c r="I343" i="32"/>
  <c r="L352" i="32"/>
  <c r="I275" i="32"/>
  <c r="U291" i="32"/>
  <c r="R345" i="32"/>
  <c r="N352" i="32"/>
  <c r="P96" i="32"/>
  <c r="M93" i="32"/>
  <c r="M120" i="32"/>
  <c r="L198" i="32"/>
  <c r="M196" i="32"/>
  <c r="M461" i="32"/>
  <c r="G29" i="18" s="1"/>
  <c r="R94" i="32"/>
  <c r="I121" i="32"/>
  <c r="F189" i="32"/>
  <c r="R191" i="32"/>
  <c r="N198" i="32"/>
  <c r="R269" i="32"/>
  <c r="S327" i="32"/>
  <c r="BB28" i="18" s="1"/>
  <c r="F343" i="32"/>
  <c r="K343" i="32"/>
  <c r="M362" i="32"/>
  <c r="P137" i="32"/>
  <c r="M134" i="32"/>
  <c r="P250" i="32"/>
  <c r="M247" i="32"/>
  <c r="R274" i="32"/>
  <c r="M324" i="32"/>
  <c r="M429" i="32"/>
  <c r="G22" i="18" s="1"/>
  <c r="R62" i="16"/>
  <c r="R67" i="16"/>
  <c r="J119" i="16"/>
  <c r="O119" i="16"/>
  <c r="M88" i="16"/>
  <c r="K119" i="16"/>
  <c r="N119" i="16"/>
  <c r="R87" i="16"/>
  <c r="R92" i="16"/>
  <c r="P119" i="16"/>
  <c r="U71" i="16"/>
  <c r="M65" i="16"/>
  <c r="M70" i="16"/>
  <c r="R69" i="16"/>
  <c r="G119" i="16"/>
  <c r="R114" i="16"/>
  <c r="S119" i="16"/>
  <c r="L95" i="16"/>
  <c r="M110" i="16"/>
  <c r="T119" i="16"/>
  <c r="M85" i="16"/>
  <c r="R94" i="16"/>
  <c r="T95" i="16"/>
  <c r="L119" i="16"/>
  <c r="Q119" i="16"/>
  <c r="R65" i="16"/>
  <c r="R115" i="16"/>
  <c r="R60" i="16"/>
  <c r="AI17" i="18" s="1"/>
  <c r="R70" i="16"/>
  <c r="M116" i="16"/>
  <c r="U119" i="16"/>
  <c r="H71" i="16"/>
  <c r="R85" i="16"/>
  <c r="R90" i="16"/>
  <c r="M92" i="16"/>
  <c r="R111" i="16"/>
  <c r="M117" i="16"/>
  <c r="M113" i="16"/>
  <c r="M118" i="16"/>
  <c r="R112" i="16"/>
  <c r="M108" i="16"/>
  <c r="AZ17" i="18" s="1"/>
  <c r="I119" i="16"/>
  <c r="F119" i="16"/>
  <c r="L71" i="16"/>
  <c r="R93" i="16"/>
  <c r="N71" i="16"/>
  <c r="M89" i="16"/>
  <c r="M94" i="16"/>
  <c r="N95" i="16"/>
  <c r="O71" i="16"/>
  <c r="M46" i="16"/>
  <c r="R61" i="16"/>
  <c r="R66" i="16"/>
  <c r="K95" i="16"/>
  <c r="M90" i="16"/>
  <c r="Q95" i="16"/>
  <c r="S95" i="16"/>
  <c r="M62" i="16"/>
  <c r="M67" i="16"/>
  <c r="M68" i="16"/>
  <c r="F95" i="16"/>
  <c r="P95" i="16"/>
  <c r="M38" i="16"/>
  <c r="S71" i="16"/>
  <c r="H95" i="16"/>
  <c r="G95" i="16"/>
  <c r="U95" i="16"/>
  <c r="M64" i="16"/>
  <c r="M69" i="16"/>
  <c r="M87" i="16"/>
  <c r="M93" i="16"/>
  <c r="Q71" i="16"/>
  <c r="M61" i="16"/>
  <c r="R64" i="16"/>
  <c r="M66" i="16"/>
  <c r="F71" i="16"/>
  <c r="J71" i="16"/>
  <c r="M84" i="16"/>
  <c r="AQ17" i="18" s="1"/>
  <c r="R84" i="16"/>
  <c r="AR17" i="18" s="1"/>
  <c r="R88" i="16"/>
  <c r="I95" i="16"/>
  <c r="J95" i="16"/>
  <c r="M86" i="16"/>
  <c r="R63" i="16"/>
  <c r="K71" i="16"/>
  <c r="M60" i="16"/>
  <c r="AH17" i="18" s="1"/>
  <c r="I71" i="16"/>
  <c r="S47" i="16"/>
  <c r="M37" i="16"/>
  <c r="M42" i="16"/>
  <c r="R36" i="16"/>
  <c r="Z17" i="18" s="1"/>
  <c r="R41" i="16"/>
  <c r="M43" i="16"/>
  <c r="M18" i="16"/>
  <c r="R46" i="16"/>
  <c r="P47" i="16"/>
  <c r="R37" i="16"/>
  <c r="R42" i="16"/>
  <c r="M44" i="16"/>
  <c r="M39" i="16"/>
  <c r="R39" i="16"/>
  <c r="R44" i="16"/>
  <c r="M15" i="16"/>
  <c r="M20" i="16"/>
  <c r="J47" i="16"/>
  <c r="O47" i="16"/>
  <c r="T47" i="16"/>
  <c r="M21" i="16"/>
  <c r="R20" i="16"/>
  <c r="R21" i="16"/>
  <c r="G47" i="16"/>
  <c r="Q47" i="16"/>
  <c r="U47" i="16"/>
  <c r="H47" i="16"/>
  <c r="F47" i="16"/>
  <c r="R38" i="16"/>
  <c r="R43" i="16"/>
  <c r="N47" i="16"/>
  <c r="M14" i="16"/>
  <c r="M19" i="16"/>
  <c r="L47" i="16"/>
  <c r="M40" i="16"/>
  <c r="M45" i="16"/>
  <c r="R14" i="16"/>
  <c r="M36" i="16"/>
  <c r="Y17" i="18" s="1"/>
  <c r="M41" i="16"/>
  <c r="R40" i="16"/>
  <c r="R45" i="16"/>
  <c r="K47" i="16"/>
  <c r="I47" i="16"/>
  <c r="M22" i="16"/>
  <c r="I23" i="16"/>
  <c r="R12" i="16"/>
  <c r="Q17" i="18" s="1"/>
  <c r="R17" i="16"/>
  <c r="R22" i="16"/>
  <c r="M12" i="16"/>
  <c r="P17" i="18" s="1"/>
  <c r="R13" i="16"/>
  <c r="R18" i="16"/>
  <c r="R19" i="16"/>
  <c r="M16" i="16"/>
  <c r="R15" i="16"/>
  <c r="M17" i="16"/>
  <c r="R16" i="16"/>
  <c r="M13" i="16"/>
  <c r="R143" i="16"/>
  <c r="M143" i="16"/>
  <c r="M32" i="23"/>
  <c r="R30" i="23"/>
  <c r="M127" i="23"/>
  <c r="M132" i="23"/>
  <c r="R129" i="23"/>
  <c r="M146" i="23"/>
  <c r="R55" i="23"/>
  <c r="R69" i="23"/>
  <c r="R74" i="23"/>
  <c r="G113" i="23"/>
  <c r="AF12" i="18" s="1"/>
  <c r="O134" i="23"/>
  <c r="J151" i="23"/>
  <c r="M169" i="23"/>
  <c r="R171" i="23"/>
  <c r="M183" i="23"/>
  <c r="K172" i="23"/>
  <c r="H113" i="23"/>
  <c r="AG12" i="18" s="1"/>
  <c r="M73" i="23"/>
  <c r="M90" i="23"/>
  <c r="R92" i="23"/>
  <c r="H75" i="23"/>
  <c r="X12" i="18" s="1"/>
  <c r="H151" i="23"/>
  <c r="AP12" i="18" s="1"/>
  <c r="P189" i="23"/>
  <c r="R186" i="23"/>
  <c r="Q96" i="23"/>
  <c r="M165" i="23"/>
  <c r="H96" i="23"/>
  <c r="AG11" i="18" s="1"/>
  <c r="M92" i="23"/>
  <c r="R89" i="23"/>
  <c r="R94" i="23"/>
  <c r="G151" i="23"/>
  <c r="AO12" i="18" s="1"/>
  <c r="L172" i="23"/>
  <c r="M185" i="23"/>
  <c r="R182" i="23"/>
  <c r="R187" i="23"/>
  <c r="O96" i="23"/>
  <c r="M166" i="23"/>
  <c r="M171" i="23"/>
  <c r="G189" i="23"/>
  <c r="AX12" i="18" s="1"/>
  <c r="G58" i="23"/>
  <c r="W11" i="18" s="1"/>
  <c r="M93" i="23"/>
  <c r="R90" i="23"/>
  <c r="R95" i="23"/>
  <c r="R183" i="23"/>
  <c r="R188" i="23"/>
  <c r="N172" i="23"/>
  <c r="R169" i="23"/>
  <c r="K96" i="23"/>
  <c r="M181" i="23"/>
  <c r="M186" i="23"/>
  <c r="M89" i="23"/>
  <c r="M94" i="23"/>
  <c r="M168" i="23"/>
  <c r="R170" i="23"/>
  <c r="I189" i="23"/>
  <c r="K134" i="23"/>
  <c r="R128" i="23"/>
  <c r="H172" i="23"/>
  <c r="AY11" i="18" s="1"/>
  <c r="O189" i="23"/>
  <c r="Q189" i="23"/>
  <c r="K189" i="23"/>
  <c r="F189" i="23"/>
  <c r="AW12" i="18" s="1"/>
  <c r="N134" i="23"/>
  <c r="R133" i="23"/>
  <c r="M145" i="23"/>
  <c r="R148" i="23"/>
  <c r="R130" i="23"/>
  <c r="M147" i="23"/>
  <c r="M129" i="23"/>
  <c r="R126" i="23"/>
  <c r="R131" i="23"/>
  <c r="M131" i="23"/>
  <c r="P151" i="23"/>
  <c r="P134" i="23"/>
  <c r="K151" i="23"/>
  <c r="M148" i="23"/>
  <c r="Q134" i="23"/>
  <c r="I151" i="23"/>
  <c r="M149" i="23"/>
  <c r="R132" i="23"/>
  <c r="L134" i="23"/>
  <c r="R127" i="23"/>
  <c r="O151" i="23"/>
  <c r="M144" i="23"/>
  <c r="M126" i="23"/>
  <c r="F134" i="23"/>
  <c r="AN11" i="18" s="1"/>
  <c r="M112" i="23"/>
  <c r="M107" i="23"/>
  <c r="R109" i="23"/>
  <c r="R91" i="23"/>
  <c r="L96" i="23"/>
  <c r="Q113" i="23"/>
  <c r="M95" i="23"/>
  <c r="R106" i="23"/>
  <c r="R111" i="23"/>
  <c r="K113" i="23"/>
  <c r="I113" i="23"/>
  <c r="M110" i="23"/>
  <c r="M91" i="23"/>
  <c r="P96" i="23"/>
  <c r="M106" i="23"/>
  <c r="J113" i="23"/>
  <c r="M109" i="23"/>
  <c r="F113" i="23"/>
  <c r="AE12" i="18" s="1"/>
  <c r="N96" i="23"/>
  <c r="R88" i="23"/>
  <c r="S96" i="23" s="1"/>
  <c r="AJ11" i="18" s="1"/>
  <c r="M88" i="23"/>
  <c r="J96" i="23"/>
  <c r="F58" i="23"/>
  <c r="V11" i="18" s="1"/>
  <c r="K58" i="23"/>
  <c r="P58" i="23"/>
  <c r="L58" i="23"/>
  <c r="G75" i="23"/>
  <c r="W12" i="18" s="1"/>
  <c r="F75" i="23"/>
  <c r="V12" i="18" s="1"/>
  <c r="M71" i="23"/>
  <c r="H58" i="23"/>
  <c r="X11" i="18" s="1"/>
  <c r="M54" i="23"/>
  <c r="R51" i="23"/>
  <c r="R56" i="23"/>
  <c r="O58" i="23"/>
  <c r="J75" i="23"/>
  <c r="J58" i="23"/>
  <c r="M51" i="23"/>
  <c r="M56" i="23"/>
  <c r="R53" i="23"/>
  <c r="M70" i="23"/>
  <c r="M52" i="23"/>
  <c r="M57" i="23"/>
  <c r="R54" i="23"/>
  <c r="R73" i="23"/>
  <c r="M53" i="23"/>
  <c r="Q58" i="23"/>
  <c r="Q75" i="23"/>
  <c r="R70" i="23"/>
  <c r="M68" i="23"/>
  <c r="K75" i="23"/>
  <c r="I75" i="23"/>
  <c r="N58" i="23"/>
  <c r="R50" i="23"/>
  <c r="M50" i="23"/>
  <c r="R14" i="23"/>
  <c r="R19" i="23"/>
  <c r="M31" i="23"/>
  <c r="M36" i="23"/>
  <c r="R33" i="23"/>
  <c r="R16" i="23"/>
  <c r="M30" i="23"/>
  <c r="R13" i="23"/>
  <c r="R18" i="23"/>
  <c r="M35" i="23"/>
  <c r="R32" i="23"/>
  <c r="M19" i="23"/>
  <c r="M13" i="23"/>
  <c r="R15" i="23"/>
  <c r="R34" i="23"/>
  <c r="M14" i="23"/>
  <c r="R35" i="23"/>
  <c r="M18" i="23"/>
  <c r="M17" i="23"/>
  <c r="M33" i="23"/>
  <c r="R210" i="23"/>
  <c r="H11" i="18" s="1"/>
  <c r="M15" i="23"/>
  <c r="R31" i="23"/>
  <c r="R36" i="23"/>
  <c r="M34" i="23"/>
  <c r="R17" i="23"/>
  <c r="M16" i="23"/>
  <c r="M227" i="23"/>
  <c r="M210" i="23"/>
  <c r="G11" i="18" s="1"/>
  <c r="G396" i="15"/>
  <c r="F492" i="15"/>
  <c r="G496" i="15"/>
  <c r="F497" i="15"/>
  <c r="R227" i="23"/>
  <c r="I134" i="23"/>
  <c r="Q151" i="23"/>
  <c r="I210" i="23"/>
  <c r="L227" i="23"/>
  <c r="N227" i="23"/>
  <c r="O227" i="23"/>
  <c r="P227" i="23"/>
  <c r="S172" i="23"/>
  <c r="BB11" i="18" s="1"/>
  <c r="T172" i="23"/>
  <c r="BC11" i="18" s="1"/>
  <c r="U172" i="23"/>
  <c r="BD11" i="18" s="1"/>
  <c r="M105" i="23"/>
  <c r="L189" i="23"/>
  <c r="I172" i="23"/>
  <c r="N189" i="23"/>
  <c r="L151" i="23"/>
  <c r="I96" i="23"/>
  <c r="L113" i="23"/>
  <c r="O113" i="23"/>
  <c r="P113" i="23"/>
  <c r="M67" i="23"/>
  <c r="O75" i="23"/>
  <c r="S58" i="23"/>
  <c r="AA11" i="18" s="1"/>
  <c r="I58" i="23"/>
  <c r="L75" i="23"/>
  <c r="P75" i="23"/>
  <c r="G497" i="15"/>
  <c r="F398" i="15"/>
  <c r="G398" i="15"/>
  <c r="F396" i="15"/>
  <c r="F392" i="15"/>
  <c r="H398" i="15"/>
  <c r="G494" i="15"/>
  <c r="H494" i="15"/>
  <c r="G467" i="15"/>
  <c r="F435" i="15"/>
  <c r="F498" i="15"/>
  <c r="G483" i="15"/>
  <c r="AX8" i="18" s="1"/>
  <c r="H396" i="15"/>
  <c r="G492" i="15"/>
  <c r="G498" i="15"/>
  <c r="F451" i="15"/>
  <c r="H498" i="15"/>
  <c r="F419" i="15"/>
  <c r="AW6" i="18" s="1"/>
  <c r="H435" i="15"/>
  <c r="F467" i="15"/>
  <c r="H483" i="15"/>
  <c r="AY8" i="18" s="1"/>
  <c r="G451" i="15"/>
  <c r="G435" i="15"/>
  <c r="H492" i="15"/>
  <c r="H292" i="15"/>
  <c r="H467" i="15"/>
  <c r="H451" i="15"/>
  <c r="H496" i="15"/>
  <c r="G493" i="15"/>
  <c r="H493" i="15"/>
  <c r="G419" i="15"/>
  <c r="AX6" i="18" s="1"/>
  <c r="H419" i="15"/>
  <c r="AY6" i="18" s="1"/>
  <c r="F495" i="15"/>
  <c r="F493" i="15"/>
  <c r="G495" i="15"/>
  <c r="F494" i="15"/>
  <c r="H495" i="15"/>
  <c r="R428" i="15"/>
  <c r="R450" i="15"/>
  <c r="F351" i="15"/>
  <c r="G319" i="15"/>
  <c r="AO6" i="18" s="1"/>
  <c r="H297" i="15"/>
  <c r="F294" i="15"/>
  <c r="H294" i="15"/>
  <c r="F383" i="15"/>
  <c r="AN8" i="18" s="1"/>
  <c r="G294" i="15"/>
  <c r="G383" i="15"/>
  <c r="AO8" i="18" s="1"/>
  <c r="H392" i="15"/>
  <c r="F393" i="15"/>
  <c r="G394" i="15"/>
  <c r="H394" i="15"/>
  <c r="F395" i="15"/>
  <c r="G395" i="15"/>
  <c r="H395" i="15"/>
  <c r="H393" i="15"/>
  <c r="G393" i="15"/>
  <c r="R412" i="15"/>
  <c r="R416" i="15"/>
  <c r="R444" i="15"/>
  <c r="R448" i="15"/>
  <c r="M415" i="15"/>
  <c r="M447" i="15"/>
  <c r="G292" i="15"/>
  <c r="M449" i="15"/>
  <c r="M463" i="15"/>
  <c r="R463" i="15" s="1"/>
  <c r="M264" i="15"/>
  <c r="R264" i="15" s="1"/>
  <c r="J435" i="15"/>
  <c r="M430" i="15"/>
  <c r="M434" i="15"/>
  <c r="L467" i="15"/>
  <c r="M414" i="15"/>
  <c r="M418" i="15"/>
  <c r="N467" i="15"/>
  <c r="M215" i="15"/>
  <c r="M233" i="15"/>
  <c r="M247" i="15"/>
  <c r="M446" i="15"/>
  <c r="R447" i="15"/>
  <c r="I467" i="15"/>
  <c r="O467" i="15"/>
  <c r="M464" i="15"/>
  <c r="R464" i="15" s="1"/>
  <c r="J467" i="15"/>
  <c r="P467" i="15"/>
  <c r="S435" i="15"/>
  <c r="K467" i="15"/>
  <c r="K435" i="15"/>
  <c r="J451" i="15"/>
  <c r="K451" i="15"/>
  <c r="T435" i="15"/>
  <c r="U435" i="15"/>
  <c r="N419" i="15"/>
  <c r="R417" i="15"/>
  <c r="R431" i="15"/>
  <c r="R347" i="15"/>
  <c r="M346" i="15"/>
  <c r="M350" i="15"/>
  <c r="M364" i="15"/>
  <c r="R364" i="15" s="1"/>
  <c r="M331" i="15"/>
  <c r="J367" i="15"/>
  <c r="R318" i="15"/>
  <c r="R328" i="15"/>
  <c r="R332" i="15"/>
  <c r="R350" i="15"/>
  <c r="R432" i="15"/>
  <c r="I419" i="15"/>
  <c r="J419" i="15"/>
  <c r="L451" i="15"/>
  <c r="U467" i="15"/>
  <c r="P335" i="15"/>
  <c r="U419" i="15"/>
  <c r="BD6" i="18" s="1"/>
  <c r="N451" i="15"/>
  <c r="M263" i="15"/>
  <c r="R263" i="15" s="1"/>
  <c r="I451" i="15"/>
  <c r="O451" i="15"/>
  <c r="R449" i="15"/>
  <c r="P451" i="15"/>
  <c r="M448" i="15"/>
  <c r="R317" i="15"/>
  <c r="R331" i="15"/>
  <c r="R349" i="15"/>
  <c r="R430" i="15"/>
  <c r="R434" i="15"/>
  <c r="Q451" i="15"/>
  <c r="T419" i="15"/>
  <c r="BC6" i="18" s="1"/>
  <c r="K419" i="15"/>
  <c r="M312" i="15"/>
  <c r="M330" i="15"/>
  <c r="M334" i="15"/>
  <c r="M433" i="15"/>
  <c r="S451" i="15"/>
  <c r="M462" i="15"/>
  <c r="R462" i="15" s="1"/>
  <c r="M466" i="15"/>
  <c r="M450" i="15"/>
  <c r="M413" i="15"/>
  <c r="R329" i="15"/>
  <c r="R312" i="15"/>
  <c r="R316" i="15"/>
  <c r="R415" i="15"/>
  <c r="I435" i="15"/>
  <c r="O435" i="15"/>
  <c r="R433" i="15"/>
  <c r="R315" i="15"/>
  <c r="R446" i="15"/>
  <c r="Q467" i="15"/>
  <c r="S467" i="15"/>
  <c r="N367" i="15"/>
  <c r="S419" i="15"/>
  <c r="BB6" i="18" s="1"/>
  <c r="O335" i="15"/>
  <c r="L435" i="15"/>
  <c r="U451" i="15"/>
  <c r="L351" i="15"/>
  <c r="M366" i="15"/>
  <c r="N435" i="15"/>
  <c r="M315" i="15"/>
  <c r="M333" i="15"/>
  <c r="O351" i="15"/>
  <c r="M365" i="15"/>
  <c r="R365" i="15" s="1"/>
  <c r="P435" i="15"/>
  <c r="M432" i="15"/>
  <c r="M465" i="15"/>
  <c r="R465" i="15" s="1"/>
  <c r="M431" i="15"/>
  <c r="K367" i="15"/>
  <c r="L367" i="15"/>
  <c r="T467" i="15"/>
  <c r="T451" i="15"/>
  <c r="R116" i="15"/>
  <c r="R212" i="15"/>
  <c r="R216" i="15"/>
  <c r="R234" i="15"/>
  <c r="R244" i="15"/>
  <c r="R248" i="15"/>
  <c r="P351" i="15"/>
  <c r="P367" i="15"/>
  <c r="R414" i="15"/>
  <c r="Q435" i="15"/>
  <c r="M345" i="15"/>
  <c r="R345" i="15"/>
  <c r="T367" i="15"/>
  <c r="R418" i="15"/>
  <c r="G297" i="15"/>
  <c r="R330" i="15"/>
  <c r="R334" i="15"/>
  <c r="M348" i="15"/>
  <c r="O367" i="15"/>
  <c r="U367" i="15"/>
  <c r="M363" i="15"/>
  <c r="R363" i="15" s="1"/>
  <c r="F394" i="15"/>
  <c r="M416" i="15"/>
  <c r="M429" i="15"/>
  <c r="M445" i="15"/>
  <c r="L419" i="15"/>
  <c r="M428" i="15"/>
  <c r="M444" i="15"/>
  <c r="M460" i="15"/>
  <c r="F335" i="15"/>
  <c r="F297" i="15"/>
  <c r="M344" i="15"/>
  <c r="M249" i="15"/>
  <c r="F293" i="15"/>
  <c r="L335" i="15"/>
  <c r="K351" i="15"/>
  <c r="N335" i="15"/>
  <c r="J351" i="15"/>
  <c r="M361" i="15"/>
  <c r="R361" i="15" s="1"/>
  <c r="R413" i="15"/>
  <c r="R429" i="15"/>
  <c r="G392" i="15"/>
  <c r="M417" i="15"/>
  <c r="Q351" i="15"/>
  <c r="G293" i="15"/>
  <c r="M314" i="15"/>
  <c r="R344" i="15"/>
  <c r="M412" i="15"/>
  <c r="O419" i="15"/>
  <c r="R445" i="15"/>
  <c r="I367" i="15"/>
  <c r="F251" i="15"/>
  <c r="H293" i="15"/>
  <c r="F298" i="15"/>
  <c r="M347" i="15"/>
  <c r="R348" i="15"/>
  <c r="N351" i="15"/>
  <c r="G267" i="15"/>
  <c r="J335" i="15"/>
  <c r="R333" i="15"/>
  <c r="M362" i="15"/>
  <c r="R362" i="15" s="1"/>
  <c r="M461" i="15"/>
  <c r="R461" i="15" s="1"/>
  <c r="H319" i="15"/>
  <c r="AP6" i="18" s="1"/>
  <c r="F483" i="15"/>
  <c r="AW8" i="18" s="1"/>
  <c r="H397" i="15"/>
  <c r="R346" i="15"/>
  <c r="H367" i="15"/>
  <c r="P419" i="15"/>
  <c r="Q419" i="15"/>
  <c r="S367" i="15"/>
  <c r="F397" i="15"/>
  <c r="K335" i="15"/>
  <c r="M332" i="15"/>
  <c r="M234" i="15"/>
  <c r="M248" i="15"/>
  <c r="M266" i="15"/>
  <c r="G397" i="15"/>
  <c r="F367" i="15"/>
  <c r="Q319" i="15"/>
  <c r="G351" i="15"/>
  <c r="R313" i="15"/>
  <c r="H351" i="15"/>
  <c r="S319" i="15"/>
  <c r="AS6" i="18" s="1"/>
  <c r="I351" i="15"/>
  <c r="M349" i="15"/>
  <c r="M318" i="15"/>
  <c r="R314" i="15"/>
  <c r="G335" i="15"/>
  <c r="H335" i="15"/>
  <c r="I335" i="15"/>
  <c r="M329" i="15"/>
  <c r="R130" i="15"/>
  <c r="R218" i="15"/>
  <c r="R250" i="15"/>
  <c r="T319" i="15"/>
  <c r="AT6" i="18" s="1"/>
  <c r="M328" i="15"/>
  <c r="Q335" i="15"/>
  <c r="G367" i="15"/>
  <c r="H383" i="15"/>
  <c r="AP8" i="18" s="1"/>
  <c r="I319" i="15"/>
  <c r="L319" i="15"/>
  <c r="T335" i="15"/>
  <c r="U335" i="15"/>
  <c r="M313" i="15"/>
  <c r="M317" i="15"/>
  <c r="U319" i="15"/>
  <c r="AU6" i="18" s="1"/>
  <c r="S335" i="15"/>
  <c r="H219" i="15"/>
  <c r="AG6" i="18" s="1"/>
  <c r="R217" i="15"/>
  <c r="R231" i="15"/>
  <c r="H251" i="15"/>
  <c r="R245" i="15"/>
  <c r="R249" i="15"/>
  <c r="N319" i="15"/>
  <c r="S351" i="15"/>
  <c r="J319" i="15"/>
  <c r="F219" i="15"/>
  <c r="AE6" i="18" s="1"/>
  <c r="F292" i="15"/>
  <c r="F319" i="15"/>
  <c r="AN6" i="18" s="1"/>
  <c r="O319" i="15"/>
  <c r="T351" i="15"/>
  <c r="M360" i="15"/>
  <c r="Q367" i="15"/>
  <c r="K319" i="15"/>
  <c r="P319" i="15"/>
  <c r="U351" i="15"/>
  <c r="F295" i="15"/>
  <c r="R128" i="15"/>
  <c r="R133" i="15"/>
  <c r="G295" i="15"/>
  <c r="M316" i="15"/>
  <c r="H267" i="15"/>
  <c r="I267" i="15"/>
  <c r="H296" i="15"/>
  <c r="H283" i="15"/>
  <c r="AG8" i="18" s="1"/>
  <c r="G251" i="15"/>
  <c r="H298" i="15"/>
  <c r="G296" i="15"/>
  <c r="J235" i="15"/>
  <c r="R247" i="15"/>
  <c r="J267" i="15"/>
  <c r="G283" i="15"/>
  <c r="AF8" i="18" s="1"/>
  <c r="F235" i="15"/>
  <c r="H295" i="15"/>
  <c r="G219" i="15"/>
  <c r="AF6" i="18" s="1"/>
  <c r="G298" i="15"/>
  <c r="F296" i="15"/>
  <c r="H235" i="15"/>
  <c r="R146" i="15"/>
  <c r="K235" i="15"/>
  <c r="K267" i="15"/>
  <c r="Q267" i="15"/>
  <c r="F267" i="15"/>
  <c r="G235" i="15"/>
  <c r="S267" i="15"/>
  <c r="O267" i="15"/>
  <c r="P267" i="15"/>
  <c r="R232" i="15"/>
  <c r="K251" i="15"/>
  <c r="R229" i="15"/>
  <c r="R233" i="15"/>
  <c r="J251" i="15"/>
  <c r="S219" i="15"/>
  <c r="AJ6" i="18" s="1"/>
  <c r="M232" i="15"/>
  <c r="N267" i="15"/>
  <c r="R246" i="15"/>
  <c r="M230" i="15"/>
  <c r="M245" i="15"/>
  <c r="O251" i="15"/>
  <c r="Q251" i="15"/>
  <c r="M214" i="15"/>
  <c r="T251" i="15"/>
  <c r="U251" i="15"/>
  <c r="U219" i="15"/>
  <c r="AL6" i="18" s="1"/>
  <c r="T267" i="15"/>
  <c r="R230" i="15"/>
  <c r="P235" i="15"/>
  <c r="Q235" i="15"/>
  <c r="S235" i="15"/>
  <c r="M265" i="15"/>
  <c r="R265" i="15" s="1"/>
  <c r="T219" i="15"/>
  <c r="AK6" i="18" s="1"/>
  <c r="U267" i="15"/>
  <c r="R215" i="15"/>
  <c r="M262" i="15"/>
  <c r="R262" i="15" s="1"/>
  <c r="I235" i="15"/>
  <c r="R214" i="15"/>
  <c r="L219" i="15"/>
  <c r="R228" i="15"/>
  <c r="T235" i="15"/>
  <c r="I251" i="15"/>
  <c r="P251" i="15"/>
  <c r="S251" i="15"/>
  <c r="L235" i="15"/>
  <c r="R131" i="15"/>
  <c r="N219" i="15"/>
  <c r="U235" i="15"/>
  <c r="M231" i="15"/>
  <c r="M246" i="15"/>
  <c r="J219" i="15"/>
  <c r="K219" i="15"/>
  <c r="O235" i="15"/>
  <c r="R115" i="15"/>
  <c r="I219" i="15"/>
  <c r="M250" i="15"/>
  <c r="L267" i="15"/>
  <c r="M213" i="15"/>
  <c r="N235" i="15"/>
  <c r="R213" i="15"/>
  <c r="M218" i="15"/>
  <c r="Q219" i="15"/>
  <c r="M217" i="15"/>
  <c r="M216" i="15"/>
  <c r="M229" i="15"/>
  <c r="L251" i="15"/>
  <c r="M228" i="15"/>
  <c r="M244" i="15"/>
  <c r="N251" i="15"/>
  <c r="P219" i="15"/>
  <c r="R147" i="15"/>
  <c r="M261" i="15"/>
  <c r="R261" i="15" s="1"/>
  <c r="M212" i="15"/>
  <c r="F283" i="15"/>
  <c r="AE8" i="18" s="1"/>
  <c r="M260" i="15"/>
  <c r="O219" i="15"/>
  <c r="R148" i="15"/>
  <c r="R132" i="15"/>
  <c r="R144" i="15"/>
  <c r="R149" i="15"/>
  <c r="R145" i="15"/>
  <c r="R150" i="15"/>
  <c r="R129" i="15"/>
  <c r="R134" i="15"/>
  <c r="R117" i="15"/>
  <c r="R114" i="15"/>
  <c r="R113" i="15"/>
  <c r="R118" i="15"/>
  <c r="R112" i="15"/>
  <c r="W21" i="18" l="1"/>
  <c r="D27" i="18"/>
  <c r="H190" i="35"/>
  <c r="F190" i="35"/>
  <c r="BA18" i="18"/>
  <c r="E40" i="18"/>
  <c r="BC21" i="18"/>
  <c r="G209" i="35"/>
  <c r="F209" i="35"/>
  <c r="H209" i="35"/>
  <c r="G190" i="35"/>
  <c r="V21" i="18"/>
  <c r="AX21" i="18"/>
  <c r="BB21" i="18"/>
  <c r="I27" i="18"/>
  <c r="H21" i="18"/>
  <c r="X21" i="18"/>
  <c r="G21" i="18"/>
  <c r="AW21" i="18"/>
  <c r="AC21" i="18"/>
  <c r="AB21" i="18"/>
  <c r="AA21" i="18"/>
  <c r="AY21" i="18"/>
  <c r="AP39" i="18"/>
  <c r="AX41" i="18"/>
  <c r="AW41" i="18"/>
  <c r="AE21" i="18"/>
  <c r="Z18" i="18"/>
  <c r="N21" i="18"/>
  <c r="T21" i="18"/>
  <c r="BD21" i="18"/>
  <c r="AZ19" i="18"/>
  <c r="AO21" i="18"/>
  <c r="AI20" i="18"/>
  <c r="R21" i="18"/>
  <c r="AX9" i="18"/>
  <c r="BD39" i="18"/>
  <c r="BA39" i="18"/>
  <c r="AX39" i="18"/>
  <c r="AZ39" i="18"/>
  <c r="BB39" i="18"/>
  <c r="AY39" i="18"/>
  <c r="AW39" i="18"/>
  <c r="BC39" i="18"/>
  <c r="AP41" i="18"/>
  <c r="AY41" i="18"/>
  <c r="AN41" i="18"/>
  <c r="AJ21" i="18"/>
  <c r="S21" i="18"/>
  <c r="AU21" i="18"/>
  <c r="BA20" i="18"/>
  <c r="BA19" i="18"/>
  <c r="AR18" i="18"/>
  <c r="AT21" i="18"/>
  <c r="AP21" i="18"/>
  <c r="AS21" i="18"/>
  <c r="AF21" i="18"/>
  <c r="AZ20" i="18"/>
  <c r="AR20" i="18"/>
  <c r="AZ18" i="18"/>
  <c r="AN21" i="18"/>
  <c r="AX14" i="18"/>
  <c r="AY9" i="18"/>
  <c r="AY14" i="18"/>
  <c r="AW9" i="18"/>
  <c r="AW14" i="18"/>
  <c r="AT39" i="18"/>
  <c r="AO39" i="18"/>
  <c r="X39" i="18"/>
  <c r="V39" i="18"/>
  <c r="AQ39" i="18"/>
  <c r="AK39" i="18"/>
  <c r="AG39" i="18"/>
  <c r="AN39" i="18"/>
  <c r="S39" i="18"/>
  <c r="AU39" i="18"/>
  <c r="AS39" i="18"/>
  <c r="AO41" i="18"/>
  <c r="W41" i="18"/>
  <c r="AG41" i="18"/>
  <c r="AQ20" i="18"/>
  <c r="AQ19" i="18"/>
  <c r="AR19" i="18"/>
  <c r="AL21" i="18"/>
  <c r="O21" i="18"/>
  <c r="AK21" i="18"/>
  <c r="AI19" i="18"/>
  <c r="Z20" i="18"/>
  <c r="Z19" i="18"/>
  <c r="AQ18" i="18"/>
  <c r="AH20" i="18"/>
  <c r="AG21" i="18"/>
  <c r="AO9" i="18"/>
  <c r="AO14" i="18"/>
  <c r="AN9" i="18"/>
  <c r="AN14" i="18"/>
  <c r="AP14" i="18"/>
  <c r="AP9" i="18"/>
  <c r="Z39" i="18"/>
  <c r="F40" i="18"/>
  <c r="Y39" i="18"/>
  <c r="AI39" i="18"/>
  <c r="AH39" i="18"/>
  <c r="AE39" i="18"/>
  <c r="AJ39" i="18"/>
  <c r="R39" i="18"/>
  <c r="AL39" i="18"/>
  <c r="W39" i="18"/>
  <c r="AF39" i="18"/>
  <c r="AF41" i="18"/>
  <c r="AE41" i="18"/>
  <c r="M21" i="18"/>
  <c r="AI18" i="18"/>
  <c r="AH19" i="18"/>
  <c r="Y20" i="18"/>
  <c r="AH18" i="18"/>
  <c r="AG9" i="18"/>
  <c r="AG14" i="18"/>
  <c r="AE14" i="18"/>
  <c r="AE9" i="18"/>
  <c r="AF9" i="18"/>
  <c r="AF14" i="18"/>
  <c r="K27" i="18"/>
  <c r="E27" i="18"/>
  <c r="M22" i="34"/>
  <c r="P30" i="18" s="1"/>
  <c r="AB39" i="18"/>
  <c r="AC39" i="18"/>
  <c r="J40" i="18"/>
  <c r="K40" i="18"/>
  <c r="AA39" i="18"/>
  <c r="O41" i="18"/>
  <c r="N41" i="18"/>
  <c r="H41" i="18"/>
  <c r="V41" i="18"/>
  <c r="X41" i="18"/>
  <c r="Y18" i="18"/>
  <c r="Y19" i="18"/>
  <c r="Q18" i="18"/>
  <c r="J27" i="18"/>
  <c r="F27" i="18"/>
  <c r="R91" i="34"/>
  <c r="AR30" i="18" s="1"/>
  <c r="R22" i="34"/>
  <c r="Q30" i="18" s="1"/>
  <c r="R45" i="34"/>
  <c r="Z30" i="18" s="1"/>
  <c r="P39" i="18"/>
  <c r="T39" i="18"/>
  <c r="G39" i="18"/>
  <c r="G40" i="18" s="1"/>
  <c r="H39" i="18"/>
  <c r="Q39" i="18"/>
  <c r="N39" i="18"/>
  <c r="M39" i="18"/>
  <c r="O39" i="18"/>
  <c r="G41" i="18"/>
  <c r="M41" i="18"/>
  <c r="Q20" i="18"/>
  <c r="P18" i="18"/>
  <c r="P20" i="18"/>
  <c r="P19" i="18"/>
  <c r="Q19" i="18"/>
  <c r="R172" i="23"/>
  <c r="BA11" i="18" s="1"/>
  <c r="M98" i="35"/>
  <c r="M142" i="35"/>
  <c r="M181" i="35"/>
  <c r="K190" i="35"/>
  <c r="M161" i="35"/>
  <c r="R208" i="35"/>
  <c r="R180" i="35"/>
  <c r="R184" i="35"/>
  <c r="M187" i="35"/>
  <c r="M189" i="35"/>
  <c r="M188" i="35"/>
  <c r="M182" i="35"/>
  <c r="M186" i="35"/>
  <c r="M205" i="35"/>
  <c r="R185" i="35"/>
  <c r="R187" i="35"/>
  <c r="R188" i="35"/>
  <c r="R157" i="35"/>
  <c r="L190" i="35"/>
  <c r="M203" i="35"/>
  <c r="R141" i="35"/>
  <c r="P190" i="35"/>
  <c r="R199" i="35"/>
  <c r="R206" i="35"/>
  <c r="M183" i="35"/>
  <c r="M164" i="35"/>
  <c r="R200" i="35"/>
  <c r="R202" i="35"/>
  <c r="P209" i="35"/>
  <c r="S209" i="35"/>
  <c r="U190" i="35"/>
  <c r="M184" i="35"/>
  <c r="R116" i="35"/>
  <c r="M185" i="35"/>
  <c r="I190" i="35"/>
  <c r="R204" i="35"/>
  <c r="O190" i="35"/>
  <c r="Q190" i="35"/>
  <c r="M146" i="35"/>
  <c r="U167" i="35"/>
  <c r="M206" i="35"/>
  <c r="R183" i="35"/>
  <c r="R144" i="35"/>
  <c r="R105" i="35"/>
  <c r="M202" i="35"/>
  <c r="T167" i="35"/>
  <c r="M200" i="35"/>
  <c r="T190" i="35"/>
  <c r="R189" i="35"/>
  <c r="S167" i="35"/>
  <c r="R166" i="35"/>
  <c r="R182" i="35"/>
  <c r="L209" i="35"/>
  <c r="R186" i="35"/>
  <c r="U148" i="35"/>
  <c r="M180" i="35"/>
  <c r="M208" i="35"/>
  <c r="T209" i="35"/>
  <c r="L167" i="35"/>
  <c r="M73" i="35"/>
  <c r="R164" i="35"/>
  <c r="R142" i="35"/>
  <c r="R181" i="35"/>
  <c r="Q209" i="35"/>
  <c r="M140" i="35"/>
  <c r="R165" i="35"/>
  <c r="M201" i="35"/>
  <c r="I209" i="35"/>
  <c r="M199" i="35"/>
  <c r="U209" i="35"/>
  <c r="M204" i="35"/>
  <c r="F167" i="35"/>
  <c r="R207" i="35"/>
  <c r="J190" i="35"/>
  <c r="M207" i="35"/>
  <c r="R143" i="35"/>
  <c r="K167" i="35"/>
  <c r="O209" i="35"/>
  <c r="J209" i="35"/>
  <c r="M165" i="35"/>
  <c r="M101" i="35"/>
  <c r="N209" i="35"/>
  <c r="M96" i="35"/>
  <c r="R205" i="35"/>
  <c r="M143" i="35"/>
  <c r="K148" i="35"/>
  <c r="R203" i="35"/>
  <c r="S190" i="35"/>
  <c r="M145" i="35"/>
  <c r="O148" i="35"/>
  <c r="M160" i="35"/>
  <c r="M58" i="35"/>
  <c r="G148" i="35"/>
  <c r="M139" i="35"/>
  <c r="S148" i="35"/>
  <c r="K209" i="35"/>
  <c r="R201" i="35"/>
  <c r="N190" i="35"/>
  <c r="R103" i="35"/>
  <c r="R162" i="35"/>
  <c r="G167" i="35"/>
  <c r="R119" i="35"/>
  <c r="N167" i="35"/>
  <c r="R138" i="35"/>
  <c r="R158" i="35"/>
  <c r="H167" i="35"/>
  <c r="M138" i="35"/>
  <c r="Q167" i="35"/>
  <c r="J167" i="35"/>
  <c r="P148" i="35"/>
  <c r="R161" i="35"/>
  <c r="P167" i="35"/>
  <c r="R163" i="35"/>
  <c r="M159" i="35"/>
  <c r="T148" i="35"/>
  <c r="M115" i="35"/>
  <c r="O167" i="35"/>
  <c r="R98" i="35"/>
  <c r="I148" i="35"/>
  <c r="M166" i="35"/>
  <c r="I167" i="35"/>
  <c r="M157" i="35"/>
  <c r="M141" i="35"/>
  <c r="R145" i="35"/>
  <c r="R99" i="35"/>
  <c r="R147" i="35"/>
  <c r="M162" i="35"/>
  <c r="M163" i="35"/>
  <c r="F148" i="35"/>
  <c r="R159" i="35"/>
  <c r="M158" i="35"/>
  <c r="R160" i="35"/>
  <c r="H148" i="35"/>
  <c r="I125" i="35"/>
  <c r="M102" i="35"/>
  <c r="L125" i="35"/>
  <c r="R117" i="35"/>
  <c r="I106" i="35"/>
  <c r="H106" i="35"/>
  <c r="G106" i="35"/>
  <c r="G125" i="35"/>
  <c r="J106" i="35"/>
  <c r="O106" i="35"/>
  <c r="M118" i="35"/>
  <c r="R139" i="35"/>
  <c r="T106" i="35"/>
  <c r="S106" i="35"/>
  <c r="Q148" i="35"/>
  <c r="M103" i="35"/>
  <c r="M144" i="35"/>
  <c r="M147" i="35"/>
  <c r="R146" i="35"/>
  <c r="M122" i="35"/>
  <c r="L148" i="35"/>
  <c r="M57" i="35"/>
  <c r="K64" i="35"/>
  <c r="J148" i="35"/>
  <c r="N106" i="35"/>
  <c r="R100" i="35"/>
  <c r="N148" i="35"/>
  <c r="R122" i="35"/>
  <c r="Q106" i="35"/>
  <c r="M99" i="35"/>
  <c r="L106" i="35"/>
  <c r="P125" i="35"/>
  <c r="M123" i="35"/>
  <c r="T125" i="35"/>
  <c r="R115" i="35"/>
  <c r="R123" i="35"/>
  <c r="F125" i="35"/>
  <c r="R104" i="35"/>
  <c r="F106" i="35"/>
  <c r="R124" i="35"/>
  <c r="O125" i="35"/>
  <c r="M100" i="35"/>
  <c r="U106" i="35"/>
  <c r="J125" i="35"/>
  <c r="S125" i="35"/>
  <c r="Q125" i="35"/>
  <c r="U125" i="35"/>
  <c r="M105" i="35"/>
  <c r="K125" i="35"/>
  <c r="P106" i="35"/>
  <c r="M97" i="35"/>
  <c r="M120" i="35"/>
  <c r="R102" i="35"/>
  <c r="M121" i="35"/>
  <c r="R97" i="35"/>
  <c r="H125" i="35"/>
  <c r="R32" i="35"/>
  <c r="R121" i="35"/>
  <c r="M74" i="35"/>
  <c r="J41" i="35"/>
  <c r="U83" i="35"/>
  <c r="M104" i="35"/>
  <c r="M116" i="35"/>
  <c r="R101" i="35"/>
  <c r="R74" i="35"/>
  <c r="R96" i="35"/>
  <c r="K106" i="35"/>
  <c r="R120" i="35"/>
  <c r="M119" i="35"/>
  <c r="M124" i="35"/>
  <c r="N125" i="35"/>
  <c r="S41" i="35"/>
  <c r="R80" i="35"/>
  <c r="G83" i="35"/>
  <c r="M117" i="35"/>
  <c r="R118" i="35"/>
  <c r="S83" i="35"/>
  <c r="R58" i="35"/>
  <c r="M63" i="35"/>
  <c r="R75" i="35"/>
  <c r="R60" i="35"/>
  <c r="Q83" i="35"/>
  <c r="M80" i="35"/>
  <c r="M77" i="35"/>
  <c r="R82" i="35"/>
  <c r="M54" i="35"/>
  <c r="K83" i="35"/>
  <c r="R79" i="35"/>
  <c r="J64" i="35"/>
  <c r="M79" i="35"/>
  <c r="M60" i="35"/>
  <c r="R78" i="35"/>
  <c r="U41" i="35"/>
  <c r="M78" i="35"/>
  <c r="J83" i="35"/>
  <c r="T83" i="35"/>
  <c r="M76" i="35"/>
  <c r="F83" i="35"/>
  <c r="M75" i="35"/>
  <c r="R76" i="35"/>
  <c r="R55" i="35"/>
  <c r="G64" i="35"/>
  <c r="P83" i="35"/>
  <c r="R59" i="35"/>
  <c r="O83" i="35"/>
  <c r="L83" i="35"/>
  <c r="N64" i="35"/>
  <c r="Q64" i="35"/>
  <c r="I83" i="35"/>
  <c r="O64" i="35"/>
  <c r="L64" i="35"/>
  <c r="R81" i="35"/>
  <c r="R56" i="35"/>
  <c r="F64" i="35"/>
  <c r="M81" i="35"/>
  <c r="M59" i="35"/>
  <c r="S64" i="35"/>
  <c r="H83" i="35"/>
  <c r="R77" i="35"/>
  <c r="R61" i="35"/>
  <c r="R73" i="35"/>
  <c r="M82" i="35"/>
  <c r="R13" i="35"/>
  <c r="N83" i="35"/>
  <c r="R21" i="35"/>
  <c r="L41" i="35"/>
  <c r="R18" i="35"/>
  <c r="M21" i="35"/>
  <c r="R12" i="35"/>
  <c r="O22" i="35"/>
  <c r="J22" i="35"/>
  <c r="M15" i="35"/>
  <c r="R62" i="35"/>
  <c r="R57" i="35"/>
  <c r="M62" i="35"/>
  <c r="P41" i="35"/>
  <c r="U64" i="35"/>
  <c r="R20" i="35"/>
  <c r="H64" i="35"/>
  <c r="R17" i="35"/>
  <c r="I64" i="35"/>
  <c r="T64" i="35"/>
  <c r="M56" i="35"/>
  <c r="M19" i="35"/>
  <c r="R63" i="35"/>
  <c r="N22" i="35"/>
  <c r="M55" i="35"/>
  <c r="P64" i="35"/>
  <c r="T22" i="35"/>
  <c r="S27" i="18" s="1"/>
  <c r="K41" i="35"/>
  <c r="I41" i="35"/>
  <c r="H22" i="35"/>
  <c r="O27" i="18" s="1"/>
  <c r="M12" i="35"/>
  <c r="R15" i="35"/>
  <c r="U22" i="35"/>
  <c r="R19" i="35"/>
  <c r="M232" i="35"/>
  <c r="R31" i="35"/>
  <c r="Q22" i="35"/>
  <c r="M31" i="35"/>
  <c r="M17" i="35"/>
  <c r="K22" i="35"/>
  <c r="G22" i="35"/>
  <c r="N27" i="18" s="1"/>
  <c r="M13" i="35"/>
  <c r="P22" i="35"/>
  <c r="M251" i="35"/>
  <c r="R232" i="35"/>
  <c r="F22" i="35"/>
  <c r="M27" i="18" s="1"/>
  <c r="M16" i="35"/>
  <c r="S22" i="35"/>
  <c r="R251" i="35"/>
  <c r="M14" i="35"/>
  <c r="N41" i="35"/>
  <c r="M18" i="35"/>
  <c r="I22" i="35"/>
  <c r="M39" i="35"/>
  <c r="R14" i="35"/>
  <c r="L22" i="35"/>
  <c r="M45" i="34"/>
  <c r="Y30" i="18" s="1"/>
  <c r="R119" i="16"/>
  <c r="M91" i="34"/>
  <c r="AQ30" i="18" s="1"/>
  <c r="R68" i="34"/>
  <c r="AI30" i="18" s="1"/>
  <c r="M68" i="34"/>
  <c r="AH30" i="18" s="1"/>
  <c r="R114" i="34"/>
  <c r="BA30" i="18" s="1"/>
  <c r="M114" i="34"/>
  <c r="AZ30" i="18" s="1"/>
  <c r="R262" i="33"/>
  <c r="AR39" i="18" s="1"/>
  <c r="M172" i="23"/>
  <c r="AZ11" i="18" s="1"/>
  <c r="M134" i="23"/>
  <c r="AQ11" i="18" s="1"/>
  <c r="M189" i="23"/>
  <c r="AZ12" i="18" s="1"/>
  <c r="F499" i="15"/>
  <c r="G399" i="15"/>
  <c r="M148" i="32"/>
  <c r="R75" i="32"/>
  <c r="R300" i="32"/>
  <c r="I153" i="32"/>
  <c r="M73" i="32"/>
  <c r="M69" i="32"/>
  <c r="R380" i="32"/>
  <c r="J230" i="32"/>
  <c r="J76" i="32"/>
  <c r="M266" i="32"/>
  <c r="R227" i="32"/>
  <c r="U384" i="32"/>
  <c r="BD29" i="18" s="1"/>
  <c r="BD41" i="18" s="1"/>
  <c r="R229" i="32"/>
  <c r="R44" i="32"/>
  <c r="Q22" i="18" s="1"/>
  <c r="M146" i="32"/>
  <c r="M225" i="32"/>
  <c r="M44" i="32"/>
  <c r="P22" i="18" s="1"/>
  <c r="Q307" i="32"/>
  <c r="M379" i="32"/>
  <c r="I76" i="32"/>
  <c r="O307" i="32"/>
  <c r="M226" i="32"/>
  <c r="R152" i="32"/>
  <c r="M70" i="32"/>
  <c r="O76" i="32"/>
  <c r="M149" i="32"/>
  <c r="M343" i="32"/>
  <c r="R303" i="32"/>
  <c r="M35" i="32"/>
  <c r="R223" i="32"/>
  <c r="O153" i="32"/>
  <c r="M381" i="32"/>
  <c r="L384" i="32"/>
  <c r="M382" i="32"/>
  <c r="R112" i="32"/>
  <c r="L230" i="32"/>
  <c r="R378" i="32"/>
  <c r="T230" i="32"/>
  <c r="AK29" i="18" s="1"/>
  <c r="AK41" i="18" s="1"/>
  <c r="O384" i="32"/>
  <c r="R381" i="32"/>
  <c r="M60" i="32"/>
  <c r="R352" i="32"/>
  <c r="BA22" i="18" s="1"/>
  <c r="M301" i="32"/>
  <c r="R225" i="32"/>
  <c r="M327" i="32"/>
  <c r="AZ28" i="18" s="1"/>
  <c r="T76" i="32"/>
  <c r="S29" i="18" s="1"/>
  <c r="S41" i="18" s="1"/>
  <c r="M303" i="32"/>
  <c r="R73" i="32"/>
  <c r="L76" i="32"/>
  <c r="I307" i="32"/>
  <c r="M300" i="32"/>
  <c r="M377" i="32"/>
  <c r="R382" i="32"/>
  <c r="O230" i="32"/>
  <c r="R301" i="32"/>
  <c r="M275" i="32"/>
  <c r="AQ22" i="18" s="1"/>
  <c r="R71" i="32"/>
  <c r="R60" i="32"/>
  <c r="U153" i="32"/>
  <c r="AC29" i="18" s="1"/>
  <c r="AC41" i="18" s="1"/>
  <c r="Q384" i="32"/>
  <c r="R70" i="32"/>
  <c r="R151" i="32"/>
  <c r="S384" i="32"/>
  <c r="BB29" i="18" s="1"/>
  <c r="BB41" i="18" s="1"/>
  <c r="U307" i="32"/>
  <c r="AU29" i="18" s="1"/>
  <c r="AU41" i="18" s="1"/>
  <c r="R189" i="32"/>
  <c r="R198" i="32"/>
  <c r="AI22" i="18" s="1"/>
  <c r="T153" i="32"/>
  <c r="AB29" i="18" s="1"/>
  <c r="AB41" i="18" s="1"/>
  <c r="P307" i="32"/>
  <c r="T307" i="32"/>
  <c r="AT29" i="18" s="1"/>
  <c r="AT41" i="18" s="1"/>
  <c r="I384" i="32"/>
  <c r="M380" i="32"/>
  <c r="R35" i="32"/>
  <c r="U76" i="32"/>
  <c r="T29" i="18" s="1"/>
  <c r="T41" i="18" s="1"/>
  <c r="R250" i="32"/>
  <c r="AR28" i="18" s="1"/>
  <c r="R305" i="32"/>
  <c r="M147" i="32"/>
  <c r="M121" i="32"/>
  <c r="Y22" i="18" s="1"/>
  <c r="R275" i="32"/>
  <c r="AR22" i="18" s="1"/>
  <c r="R266" i="32"/>
  <c r="M96" i="32"/>
  <c r="Y28" i="18" s="1"/>
  <c r="R343" i="32"/>
  <c r="R377" i="32"/>
  <c r="P230" i="32"/>
  <c r="P76" i="32"/>
  <c r="R224" i="32"/>
  <c r="M19" i="32"/>
  <c r="P28" i="18" s="1"/>
  <c r="N384" i="32"/>
  <c r="P384" i="32"/>
  <c r="R368" i="32"/>
  <c r="M368" i="32"/>
  <c r="R72" i="32"/>
  <c r="R19" i="32"/>
  <c r="Q28" i="18" s="1"/>
  <c r="M306" i="32"/>
  <c r="R149" i="32"/>
  <c r="M250" i="32"/>
  <c r="AQ28" i="18" s="1"/>
  <c r="J307" i="32"/>
  <c r="M302" i="32"/>
  <c r="L307" i="32"/>
  <c r="K307" i="32"/>
  <c r="N76" i="32"/>
  <c r="R69" i="32"/>
  <c r="R291" i="32"/>
  <c r="M291" i="32"/>
  <c r="K230" i="32"/>
  <c r="U230" i="32"/>
  <c r="AL29" i="18" s="1"/>
  <c r="AL41" i="18" s="1"/>
  <c r="S153" i="32"/>
  <c r="AA29" i="18" s="1"/>
  <c r="AA41" i="18" s="1"/>
  <c r="M304" i="32"/>
  <c r="R306" i="32"/>
  <c r="S76" i="32"/>
  <c r="R29" i="18" s="1"/>
  <c r="R41" i="18" s="1"/>
  <c r="J384" i="32"/>
  <c r="S307" i="32"/>
  <c r="AS29" i="18" s="1"/>
  <c r="AS41" i="18" s="1"/>
  <c r="R383" i="32"/>
  <c r="M352" i="32"/>
  <c r="AZ22" i="18" s="1"/>
  <c r="M227" i="32"/>
  <c r="R302" i="32"/>
  <c r="M383" i="32"/>
  <c r="N307" i="32"/>
  <c r="T384" i="32"/>
  <c r="BC29" i="18" s="1"/>
  <c r="BC41" i="18" s="1"/>
  <c r="M189" i="32"/>
  <c r="M152" i="32"/>
  <c r="S230" i="32"/>
  <c r="AJ29" i="18" s="1"/>
  <c r="AJ41" i="18" s="1"/>
  <c r="K153" i="32"/>
  <c r="R228" i="32"/>
  <c r="M229" i="32"/>
  <c r="K76" i="32"/>
  <c r="I230" i="32"/>
  <c r="M223" i="32"/>
  <c r="K384" i="32"/>
  <c r="Q230" i="32"/>
  <c r="Q76" i="32"/>
  <c r="M228" i="32"/>
  <c r="M150" i="32"/>
  <c r="R327" i="32"/>
  <c r="BA28" i="18" s="1"/>
  <c r="M173" i="32"/>
  <c r="AH28" i="18" s="1"/>
  <c r="R304" i="32"/>
  <c r="R150" i="32"/>
  <c r="N153" i="32"/>
  <c r="R146" i="32"/>
  <c r="R121" i="32"/>
  <c r="Z22" i="18" s="1"/>
  <c r="N230" i="32"/>
  <c r="L153" i="32"/>
  <c r="R379" i="32"/>
  <c r="Q153" i="32"/>
  <c r="M74" i="32"/>
  <c r="R214" i="32"/>
  <c r="M214" i="32"/>
  <c r="M137" i="32"/>
  <c r="R137" i="32"/>
  <c r="R74" i="32"/>
  <c r="M71" i="32"/>
  <c r="M378" i="32"/>
  <c r="R173" i="32"/>
  <c r="AI28" i="18" s="1"/>
  <c r="M224" i="32"/>
  <c r="M151" i="32"/>
  <c r="R96" i="32"/>
  <c r="Z28" i="18" s="1"/>
  <c r="R148" i="32"/>
  <c r="M198" i="32"/>
  <c r="AH22" i="18" s="1"/>
  <c r="M112" i="32"/>
  <c r="P153" i="32"/>
  <c r="M305" i="32"/>
  <c r="R95" i="16"/>
  <c r="M119" i="16"/>
  <c r="M95" i="16"/>
  <c r="M71" i="16"/>
  <c r="R71" i="16"/>
  <c r="M47" i="16"/>
  <c r="R47" i="16"/>
  <c r="R134" i="23"/>
  <c r="AR11" i="18" s="1"/>
  <c r="R181" i="23"/>
  <c r="M151" i="23"/>
  <c r="AQ12" i="18" s="1"/>
  <c r="M113" i="23"/>
  <c r="AH12" i="18" s="1"/>
  <c r="M96" i="23"/>
  <c r="AH11" i="18" s="1"/>
  <c r="R96" i="23"/>
  <c r="AI11" i="18" s="1"/>
  <c r="M58" i="23"/>
  <c r="Y11" i="18" s="1"/>
  <c r="R58" i="23"/>
  <c r="Z11" i="18" s="1"/>
  <c r="M75" i="23"/>
  <c r="Y12" i="18" s="1"/>
  <c r="R67" i="23"/>
  <c r="R75" i="23" s="1"/>
  <c r="Z12" i="18" s="1"/>
  <c r="T210" i="23"/>
  <c r="J11" i="18" s="1"/>
  <c r="U210" i="23"/>
  <c r="K11" i="18" s="1"/>
  <c r="S227" i="23"/>
  <c r="U96" i="23"/>
  <c r="AL11" i="18" s="1"/>
  <c r="R143" i="23"/>
  <c r="N151" i="23"/>
  <c r="N75" i="23"/>
  <c r="S134" i="23"/>
  <c r="AS11" i="18" s="1"/>
  <c r="R105" i="23"/>
  <c r="N113" i="23"/>
  <c r="T58" i="23"/>
  <c r="AB11" i="18" s="1"/>
  <c r="U58" i="23"/>
  <c r="AC11" i="18" s="1"/>
  <c r="G499" i="15"/>
  <c r="F399" i="15"/>
  <c r="H499" i="15"/>
  <c r="M435" i="15"/>
  <c r="R435" i="15"/>
  <c r="M451" i="15"/>
  <c r="R335" i="15"/>
  <c r="R351" i="15"/>
  <c r="R319" i="15"/>
  <c r="AR6" i="18" s="1"/>
  <c r="M419" i="15"/>
  <c r="AZ6" i="18" s="1"/>
  <c r="R251" i="15"/>
  <c r="M335" i="15"/>
  <c r="R451" i="15"/>
  <c r="R419" i="15"/>
  <c r="BA6" i="18" s="1"/>
  <c r="H299" i="15"/>
  <c r="M319" i="15"/>
  <c r="AQ6" i="18" s="1"/>
  <c r="R460" i="15"/>
  <c r="M467" i="15"/>
  <c r="M351" i="15"/>
  <c r="H399" i="15"/>
  <c r="R235" i="15"/>
  <c r="F299" i="15"/>
  <c r="G299" i="15"/>
  <c r="R360" i="15"/>
  <c r="M367" i="15"/>
  <c r="R219" i="15"/>
  <c r="AI6" i="18" s="1"/>
  <c r="M235" i="15"/>
  <c r="M251" i="15"/>
  <c r="M267" i="15"/>
  <c r="R260" i="15"/>
  <c r="M219" i="15"/>
  <c r="AH6" i="18" s="1"/>
  <c r="AA27" i="18" l="1"/>
  <c r="AY27" i="18"/>
  <c r="AW27" i="18"/>
  <c r="X40" i="18"/>
  <c r="AX24" i="18"/>
  <c r="AY40" i="18"/>
  <c r="AX27" i="18"/>
  <c r="Q21" i="18"/>
  <c r="S40" i="18"/>
  <c r="BD27" i="18"/>
  <c r="AQ40" i="18"/>
  <c r="H40" i="18"/>
  <c r="AC40" i="18"/>
  <c r="AJ40" i="18"/>
  <c r="BD40" i="18"/>
  <c r="AR21" i="18"/>
  <c r="AZ21" i="18"/>
  <c r="AH21" i="18"/>
  <c r="AX15" i="18"/>
  <c r="BC27" i="18"/>
  <c r="AO40" i="18"/>
  <c r="BA40" i="18"/>
  <c r="BA21" i="18"/>
  <c r="BB27" i="18"/>
  <c r="AB27" i="18"/>
  <c r="AT27" i="18"/>
  <c r="AS27" i="18"/>
  <c r="AP27" i="18"/>
  <c r="W27" i="18"/>
  <c r="X27" i="18"/>
  <c r="AE27" i="18"/>
  <c r="R40" i="18"/>
  <c r="AH40" i="18"/>
  <c r="W40" i="18"/>
  <c r="BC40" i="18"/>
  <c r="BB40" i="18"/>
  <c r="AR40" i="18"/>
  <c r="Z40" i="18"/>
  <c r="AZ40" i="18"/>
  <c r="Y40" i="18"/>
  <c r="AX40" i="18"/>
  <c r="AI21" i="18"/>
  <c r="AQ21" i="18"/>
  <c r="Z21" i="18"/>
  <c r="AW15" i="18"/>
  <c r="AW24" i="18"/>
  <c r="AY15" i="18"/>
  <c r="AY24" i="18"/>
  <c r="AL27" i="18"/>
  <c r="AU27" i="18"/>
  <c r="AO27" i="18"/>
  <c r="G27" i="18"/>
  <c r="AN27" i="18"/>
  <c r="AJ27" i="18"/>
  <c r="AK27" i="18"/>
  <c r="AT40" i="18"/>
  <c r="AS40" i="18"/>
  <c r="AU40" i="18"/>
  <c r="AP40" i="18"/>
  <c r="T40" i="18"/>
  <c r="AF40" i="18"/>
  <c r="AA40" i="18"/>
  <c r="AL40" i="18"/>
  <c r="Y21" i="18"/>
  <c r="AP24" i="18"/>
  <c r="AP15" i="18"/>
  <c r="AN15" i="18"/>
  <c r="AN24" i="18"/>
  <c r="AO15" i="18"/>
  <c r="AO24" i="18"/>
  <c r="T27" i="18"/>
  <c r="AF27" i="18"/>
  <c r="AG27" i="18"/>
  <c r="AI40" i="18"/>
  <c r="AG40" i="18"/>
  <c r="AB40" i="18"/>
  <c r="O40" i="18"/>
  <c r="AK40" i="18"/>
  <c r="P21" i="18"/>
  <c r="AF15" i="18"/>
  <c r="AF24" i="18"/>
  <c r="AE24" i="18"/>
  <c r="AE15" i="18"/>
  <c r="AG15" i="18"/>
  <c r="AG24" i="18"/>
  <c r="V27" i="18"/>
  <c r="AC27" i="18"/>
  <c r="N40" i="18"/>
  <c r="I40" i="18"/>
  <c r="P40" i="18"/>
  <c r="R27" i="18"/>
  <c r="H27" i="18"/>
  <c r="Q40" i="18"/>
  <c r="M190" i="35"/>
  <c r="R209" i="35"/>
  <c r="R190" i="35"/>
  <c r="M209" i="35"/>
  <c r="M148" i="35"/>
  <c r="R167" i="35"/>
  <c r="R148" i="35"/>
  <c r="M167" i="35"/>
  <c r="M106" i="35"/>
  <c r="R41" i="35"/>
  <c r="M125" i="35"/>
  <c r="R106" i="35"/>
  <c r="R125" i="35"/>
  <c r="R64" i="35"/>
  <c r="M83" i="35"/>
  <c r="R83" i="35"/>
  <c r="M64" i="35"/>
  <c r="M41" i="35"/>
  <c r="R22" i="35"/>
  <c r="M22" i="35"/>
  <c r="M153" i="32"/>
  <c r="Y29" i="18" s="1"/>
  <c r="Y41" i="18" s="1"/>
  <c r="M76" i="32"/>
  <c r="P29" i="18" s="1"/>
  <c r="P41" i="18" s="1"/>
  <c r="M384" i="32"/>
  <c r="AZ29" i="18" s="1"/>
  <c r="AZ41" i="18" s="1"/>
  <c r="M230" i="32"/>
  <c r="AH29" i="18" s="1"/>
  <c r="AH41" i="18" s="1"/>
  <c r="R384" i="32"/>
  <c r="BA29" i="18" s="1"/>
  <c r="BA41" i="18" s="1"/>
  <c r="R76" i="32"/>
  <c r="Q29" i="18" s="1"/>
  <c r="Q41" i="18" s="1"/>
  <c r="R153" i="32"/>
  <c r="Z29" i="18" s="1"/>
  <c r="Z41" i="18" s="1"/>
  <c r="R230" i="32"/>
  <c r="AI29" i="18" s="1"/>
  <c r="AI41" i="18" s="1"/>
  <c r="M307" i="32"/>
  <c r="AQ29" i="18" s="1"/>
  <c r="AQ41" i="18" s="1"/>
  <c r="R307" i="32"/>
  <c r="AR29" i="18" s="1"/>
  <c r="AR41" i="18" s="1"/>
  <c r="R189" i="23"/>
  <c r="BA12" i="18" s="1"/>
  <c r="T96" i="23"/>
  <c r="AK11" i="18" s="1"/>
  <c r="T227" i="23"/>
  <c r="U227" i="23"/>
  <c r="R151" i="23"/>
  <c r="AR12" i="18" s="1"/>
  <c r="T134" i="23"/>
  <c r="AT11" i="18" s="1"/>
  <c r="U134" i="23"/>
  <c r="AU11" i="18" s="1"/>
  <c r="R113" i="23"/>
  <c r="AI12" i="18" s="1"/>
  <c r="T75" i="23"/>
  <c r="AB12" i="18" s="1"/>
  <c r="U75" i="23"/>
  <c r="AC12" i="18" s="1"/>
  <c r="AX32" i="18" l="1"/>
  <c r="AX35" i="18" s="1"/>
  <c r="AX25" i="18"/>
  <c r="AR27" i="18"/>
  <c r="BA27" i="18"/>
  <c r="AI27" i="18"/>
  <c r="AH27" i="18"/>
  <c r="AQ27" i="18"/>
  <c r="AZ27" i="18"/>
  <c r="AW25" i="18"/>
  <c r="AW32" i="18"/>
  <c r="AY25" i="18"/>
  <c r="AY32" i="18"/>
  <c r="Y27" i="18"/>
  <c r="AO25" i="18"/>
  <c r="AO32" i="18"/>
  <c r="AN25" i="18"/>
  <c r="AN32" i="18"/>
  <c r="AP25" i="18"/>
  <c r="AP32" i="18"/>
  <c r="AE32" i="18"/>
  <c r="AE25" i="18"/>
  <c r="AF32" i="18"/>
  <c r="AF25" i="18"/>
  <c r="AG32" i="18"/>
  <c r="AG25" i="18"/>
  <c r="Z27" i="18"/>
  <c r="Q27" i="18"/>
  <c r="P27" i="18"/>
  <c r="S189" i="23"/>
  <c r="BB12" i="18" s="1"/>
  <c r="S75" i="23"/>
  <c r="AA12" i="18" s="1"/>
  <c r="S151" i="23"/>
  <c r="AS12" i="18" s="1"/>
  <c r="S113" i="23"/>
  <c r="AJ12" i="18" s="1"/>
  <c r="AX42" i="18" l="1"/>
  <c r="AX33" i="18"/>
  <c r="AY35" i="18"/>
  <c r="AY42" i="18"/>
  <c r="AY33" i="18"/>
  <c r="AW35" i="18"/>
  <c r="AW36" i="18" s="1"/>
  <c r="AX36" i="18" s="1"/>
  <c r="AW42" i="18"/>
  <c r="AW33" i="18"/>
  <c r="AP35" i="18"/>
  <c r="AP42" i="18"/>
  <c r="AP33" i="18"/>
  <c r="AN33" i="18"/>
  <c r="AN35" i="18"/>
  <c r="AN36" i="18" s="1"/>
  <c r="AN42" i="18"/>
  <c r="AO35" i="18"/>
  <c r="AO42" i="18"/>
  <c r="AO33" i="18"/>
  <c r="AE35" i="18"/>
  <c r="AE36" i="18" s="1"/>
  <c r="AE42" i="18"/>
  <c r="AE33" i="18"/>
  <c r="AG35" i="18"/>
  <c r="AG33" i="18"/>
  <c r="AG42" i="18"/>
  <c r="AF35" i="18"/>
  <c r="AF42" i="18"/>
  <c r="AF33" i="18"/>
  <c r="T189" i="23"/>
  <c r="BC12" i="18" s="1"/>
  <c r="U189" i="23"/>
  <c r="BD12" i="18" s="1"/>
  <c r="T151" i="23"/>
  <c r="AT12" i="18" s="1"/>
  <c r="U151" i="23"/>
  <c r="AU12" i="18" s="1"/>
  <c r="T113" i="23"/>
  <c r="AK12" i="18" s="1"/>
  <c r="U113" i="23"/>
  <c r="AL12" i="18" s="1"/>
  <c r="AY36" i="18" l="1"/>
  <c r="AO36" i="18"/>
  <c r="AP36" i="18" s="1"/>
  <c r="AF36" i="18"/>
  <c r="AG36" i="18" s="1"/>
  <c r="H82" i="15"/>
  <c r="G82" i="15"/>
  <c r="F82" i="15"/>
  <c r="H81" i="15"/>
  <c r="G81" i="15"/>
  <c r="F81" i="15"/>
  <c r="H80" i="15"/>
  <c r="G80" i="15"/>
  <c r="F80" i="15"/>
  <c r="H79" i="15"/>
  <c r="G79" i="15"/>
  <c r="F79" i="15"/>
  <c r="H78" i="15"/>
  <c r="G78" i="15"/>
  <c r="F78" i="15"/>
  <c r="H77" i="15"/>
  <c r="G77" i="15"/>
  <c r="F77" i="15"/>
  <c r="H76" i="15"/>
  <c r="G76" i="15"/>
  <c r="F76" i="15"/>
  <c r="R66" i="15"/>
  <c r="R65" i="15"/>
  <c r="R64" i="15"/>
  <c r="R63" i="15"/>
  <c r="R62" i="15"/>
  <c r="R61" i="15"/>
  <c r="R60" i="15"/>
  <c r="H66" i="15"/>
  <c r="G66" i="15"/>
  <c r="F66" i="15"/>
  <c r="H65" i="15"/>
  <c r="G65" i="15"/>
  <c r="F65" i="15"/>
  <c r="H64" i="15"/>
  <c r="G64" i="15"/>
  <c r="F64" i="15"/>
  <c r="H63" i="15"/>
  <c r="G63" i="15"/>
  <c r="F63" i="15"/>
  <c r="H62" i="15"/>
  <c r="G62" i="15"/>
  <c r="F62" i="15"/>
  <c r="H61" i="15"/>
  <c r="G61" i="15"/>
  <c r="F61" i="15"/>
  <c r="H60" i="15"/>
  <c r="G60" i="15"/>
  <c r="F60" i="15"/>
  <c r="R50" i="15"/>
  <c r="R49" i="15"/>
  <c r="R48" i="15"/>
  <c r="R47" i="15"/>
  <c r="R46" i="15"/>
  <c r="R45" i="15"/>
  <c r="R44" i="15"/>
  <c r="R34" i="15"/>
  <c r="R33" i="15"/>
  <c r="R32" i="15"/>
  <c r="R31" i="15"/>
  <c r="R30" i="15"/>
  <c r="R29" i="15"/>
  <c r="R28" i="15"/>
  <c r="H50" i="15"/>
  <c r="G50" i="15"/>
  <c r="F50" i="15"/>
  <c r="H49" i="15"/>
  <c r="G49" i="15"/>
  <c r="F49" i="15"/>
  <c r="H48" i="15"/>
  <c r="G48" i="15"/>
  <c r="F48" i="15"/>
  <c r="H47" i="15"/>
  <c r="G47" i="15"/>
  <c r="F47" i="15"/>
  <c r="H46" i="15"/>
  <c r="G46" i="15"/>
  <c r="F46" i="15"/>
  <c r="H45" i="15"/>
  <c r="G45" i="15"/>
  <c r="F45" i="15"/>
  <c r="H44" i="15"/>
  <c r="G44" i="15"/>
  <c r="F44" i="15"/>
  <c r="H34" i="15"/>
  <c r="G34" i="15"/>
  <c r="F34" i="15"/>
  <c r="H33" i="15"/>
  <c r="G33" i="15"/>
  <c r="F33" i="15"/>
  <c r="H32" i="15"/>
  <c r="G32" i="15"/>
  <c r="F32" i="15"/>
  <c r="H31" i="15"/>
  <c r="G31" i="15"/>
  <c r="F31" i="15"/>
  <c r="H30" i="15"/>
  <c r="G30" i="15"/>
  <c r="F30" i="15"/>
  <c r="H29" i="15"/>
  <c r="G29" i="15"/>
  <c r="F29" i="15"/>
  <c r="H28" i="15"/>
  <c r="G28" i="15"/>
  <c r="F28" i="15"/>
  <c r="U18" i="15" l="1"/>
  <c r="T18" i="15"/>
  <c r="U17" i="15"/>
  <c r="T17" i="15"/>
  <c r="U16" i="15"/>
  <c r="T16" i="15"/>
  <c r="U15" i="15"/>
  <c r="T15" i="15"/>
  <c r="U14" i="15"/>
  <c r="T14" i="15"/>
  <c r="U13" i="15"/>
  <c r="T13" i="15"/>
  <c r="U12" i="15"/>
  <c r="T12" i="15"/>
  <c r="S18" i="15"/>
  <c r="S17" i="15"/>
  <c r="S16" i="15"/>
  <c r="S15" i="15"/>
  <c r="S14" i="15"/>
  <c r="S13" i="15"/>
  <c r="S12" i="15"/>
  <c r="Q18" i="15"/>
  <c r="P18" i="15"/>
  <c r="O18" i="15"/>
  <c r="N18" i="15"/>
  <c r="Q17" i="15"/>
  <c r="P17" i="15"/>
  <c r="O17" i="15"/>
  <c r="N17" i="15"/>
  <c r="Q16" i="15"/>
  <c r="P16" i="15"/>
  <c r="O16" i="15"/>
  <c r="N16" i="15"/>
  <c r="Q15" i="15"/>
  <c r="P15" i="15"/>
  <c r="O15" i="15"/>
  <c r="N15" i="15"/>
  <c r="Q14" i="15"/>
  <c r="P14" i="15"/>
  <c r="O14" i="15"/>
  <c r="N14" i="15"/>
  <c r="Q13" i="15"/>
  <c r="P13" i="15"/>
  <c r="O13" i="15"/>
  <c r="N13" i="15"/>
  <c r="Q12" i="15"/>
  <c r="P12" i="15"/>
  <c r="O12" i="15"/>
  <c r="N12" i="15"/>
  <c r="L18" i="15"/>
  <c r="K18" i="15"/>
  <c r="J18" i="15"/>
  <c r="I18" i="15"/>
  <c r="L17" i="15"/>
  <c r="K17" i="15"/>
  <c r="J17" i="15"/>
  <c r="I17" i="15"/>
  <c r="L16" i="15"/>
  <c r="K16" i="15"/>
  <c r="J16" i="15"/>
  <c r="I16" i="15"/>
  <c r="L15" i="15"/>
  <c r="K15" i="15"/>
  <c r="J15" i="15"/>
  <c r="I15" i="15"/>
  <c r="L14" i="15"/>
  <c r="K14" i="15"/>
  <c r="J14" i="15"/>
  <c r="I14" i="15"/>
  <c r="L13" i="15"/>
  <c r="K13" i="15"/>
  <c r="J13" i="15"/>
  <c r="I13" i="15"/>
  <c r="L12" i="15"/>
  <c r="K12" i="15"/>
  <c r="J12" i="15"/>
  <c r="I12" i="15"/>
  <c r="H18" i="15"/>
  <c r="G18" i="15"/>
  <c r="H17" i="15"/>
  <c r="G17" i="15"/>
  <c r="H16" i="15"/>
  <c r="G16" i="15"/>
  <c r="H15" i="15"/>
  <c r="G15" i="15"/>
  <c r="H14" i="15"/>
  <c r="G14" i="15"/>
  <c r="H13" i="15"/>
  <c r="G13" i="15"/>
  <c r="H12" i="15"/>
  <c r="G12" i="15"/>
  <c r="F18" i="15"/>
  <c r="F17" i="15"/>
  <c r="F16" i="15"/>
  <c r="F15" i="15"/>
  <c r="F14" i="15"/>
  <c r="F13" i="15"/>
  <c r="F12" i="15"/>
  <c r="F92" i="15" s="1"/>
  <c r="E3" i="15"/>
  <c r="E103" i="15"/>
  <c r="W118" i="15"/>
  <c r="W117" i="15"/>
  <c r="W116" i="15"/>
  <c r="W115" i="15"/>
  <c r="W114" i="15"/>
  <c r="W113" i="15"/>
  <c r="W112" i="15"/>
  <c r="L596" i="15"/>
  <c r="K596" i="15"/>
  <c r="K595" i="15"/>
  <c r="J595" i="15"/>
  <c r="I595" i="15"/>
  <c r="H595" i="15"/>
  <c r="G595" i="15"/>
  <c r="L598" i="15"/>
  <c r="K598" i="15"/>
  <c r="J598" i="15"/>
  <c r="H598" i="15"/>
  <c r="G598" i="15"/>
  <c r="F598" i="15"/>
  <c r="L597" i="15"/>
  <c r="K597" i="15"/>
  <c r="J597" i="15"/>
  <c r="I597" i="15"/>
  <c r="H597" i="15"/>
  <c r="G597" i="15"/>
  <c r="F597" i="15"/>
  <c r="I596" i="15"/>
  <c r="H596" i="15"/>
  <c r="G596" i="15"/>
  <c r="F596" i="15"/>
  <c r="L594" i="15"/>
  <c r="K594" i="15"/>
  <c r="J594" i="15"/>
  <c r="L593" i="15"/>
  <c r="K593" i="15"/>
  <c r="J593" i="15"/>
  <c r="H593" i="15"/>
  <c r="G593" i="15"/>
  <c r="F593" i="15"/>
  <c r="L592" i="15"/>
  <c r="K592" i="15"/>
  <c r="J592" i="15"/>
  <c r="I594" i="15"/>
  <c r="W13" i="15"/>
  <c r="W14" i="15"/>
  <c r="W15" i="15"/>
  <c r="W16" i="15"/>
  <c r="W17" i="15"/>
  <c r="W18" i="15"/>
  <c r="W12" i="15"/>
  <c r="C23" i="30"/>
  <c r="C24" i="30"/>
  <c r="C25" i="30"/>
  <c r="C26" i="30"/>
  <c r="C22" i="30"/>
  <c r="M34" i="15"/>
  <c r="M66" i="15"/>
  <c r="B2" i="18"/>
  <c r="M3" i="18" l="1"/>
  <c r="E4" i="35"/>
  <c r="V3" i="18"/>
  <c r="E46" i="35"/>
  <c r="AE3" i="18"/>
  <c r="E88" i="35"/>
  <c r="AW3" i="18"/>
  <c r="E172" i="35"/>
  <c r="AN3" i="18"/>
  <c r="E130" i="35"/>
  <c r="E81" i="32"/>
  <c r="E28" i="16"/>
  <c r="E84" i="33"/>
  <c r="E27" i="34"/>
  <c r="E42" i="23"/>
  <c r="E76" i="16"/>
  <c r="E244" i="33"/>
  <c r="E235" i="32"/>
  <c r="E304" i="15"/>
  <c r="E73" i="34"/>
  <c r="E118" i="23"/>
  <c r="E52" i="16"/>
  <c r="E164" i="33"/>
  <c r="E80" i="23"/>
  <c r="E158" i="32"/>
  <c r="E204" i="15"/>
  <c r="E50" i="34"/>
  <c r="E4" i="15"/>
  <c r="E4" i="32"/>
  <c r="E4" i="23"/>
  <c r="E4" i="33"/>
  <c r="E4" i="34"/>
  <c r="E4" i="16"/>
  <c r="E324" i="33"/>
  <c r="E100" i="16"/>
  <c r="E404" i="15"/>
  <c r="E156" i="23"/>
  <c r="E312" i="32"/>
  <c r="E96" i="34"/>
  <c r="E104" i="15"/>
  <c r="L76" i="15"/>
  <c r="L81" i="15"/>
  <c r="J378" i="15"/>
  <c r="J394" i="15" s="1"/>
  <c r="J478" i="15"/>
  <c r="J494" i="15" s="1"/>
  <c r="K378" i="15"/>
  <c r="K394" i="15" s="1"/>
  <c r="K478" i="15"/>
  <c r="K494" i="15" s="1"/>
  <c r="K80" i="15"/>
  <c r="L378" i="15"/>
  <c r="L394" i="15" s="1"/>
  <c r="L478" i="15"/>
  <c r="L494" i="15" s="1"/>
  <c r="I379" i="15"/>
  <c r="I395" i="15" s="1"/>
  <c r="I479" i="15"/>
  <c r="L80" i="15"/>
  <c r="J379" i="15"/>
  <c r="J395" i="15" s="1"/>
  <c r="J479" i="15"/>
  <c r="J495" i="15" s="1"/>
  <c r="I81" i="15"/>
  <c r="L380" i="15"/>
  <c r="L396" i="15" s="1"/>
  <c r="L480" i="15"/>
  <c r="L496" i="15" s="1"/>
  <c r="I378" i="15"/>
  <c r="I478" i="15"/>
  <c r="J376" i="15"/>
  <c r="J392" i="15" s="1"/>
  <c r="J476" i="15"/>
  <c r="J381" i="15"/>
  <c r="J397" i="15" s="1"/>
  <c r="J481" i="15"/>
  <c r="J497" i="15" s="1"/>
  <c r="K376" i="15"/>
  <c r="K392" i="15" s="1"/>
  <c r="K476" i="15"/>
  <c r="K381" i="15"/>
  <c r="K397" i="15" s="1"/>
  <c r="K481" i="15"/>
  <c r="K497" i="15" s="1"/>
  <c r="L376" i="15"/>
  <c r="L392" i="15" s="1"/>
  <c r="L476" i="15"/>
  <c r="L381" i="15"/>
  <c r="L397" i="15" s="1"/>
  <c r="L481" i="15"/>
  <c r="L497" i="15" s="1"/>
  <c r="K379" i="15"/>
  <c r="K395" i="15" s="1"/>
  <c r="K479" i="15"/>
  <c r="K495" i="15" s="1"/>
  <c r="K380" i="15"/>
  <c r="K396" i="15" s="1"/>
  <c r="K480" i="15"/>
  <c r="K496" i="15" s="1"/>
  <c r="I380" i="15"/>
  <c r="I396" i="15" s="1"/>
  <c r="I480" i="15"/>
  <c r="I381" i="15"/>
  <c r="I481" i="15"/>
  <c r="J377" i="15"/>
  <c r="J393" i="15" s="1"/>
  <c r="J477" i="15"/>
  <c r="J493" i="15" s="1"/>
  <c r="J382" i="15"/>
  <c r="J398" i="15" s="1"/>
  <c r="J482" i="15"/>
  <c r="J498" i="15" s="1"/>
  <c r="K377" i="15"/>
  <c r="K393" i="15" s="1"/>
  <c r="K477" i="15"/>
  <c r="K493" i="15" s="1"/>
  <c r="K382" i="15"/>
  <c r="K398" i="15" s="1"/>
  <c r="K482" i="15"/>
  <c r="K498" i="15" s="1"/>
  <c r="L377" i="15"/>
  <c r="L393" i="15" s="1"/>
  <c r="L477" i="15"/>
  <c r="L493" i="15" s="1"/>
  <c r="L382" i="15"/>
  <c r="L398" i="15" s="1"/>
  <c r="L482" i="15"/>
  <c r="L498" i="15" s="1"/>
  <c r="J178" i="15"/>
  <c r="J278" i="15"/>
  <c r="J294" i="15" s="1"/>
  <c r="J181" i="15"/>
  <c r="J281" i="15"/>
  <c r="J297" i="15" s="1"/>
  <c r="K181" i="15"/>
  <c r="K281" i="15"/>
  <c r="K297" i="15" s="1"/>
  <c r="L176" i="15"/>
  <c r="L276" i="15"/>
  <c r="L181" i="15"/>
  <c r="L281" i="15"/>
  <c r="L297" i="15" s="1"/>
  <c r="I179" i="15"/>
  <c r="I279" i="15"/>
  <c r="K180" i="15"/>
  <c r="K280" i="15"/>
  <c r="K296" i="15" s="1"/>
  <c r="I181" i="15"/>
  <c r="I281" i="15"/>
  <c r="J176" i="15"/>
  <c r="J276" i="15"/>
  <c r="K176" i="15"/>
  <c r="K276" i="15"/>
  <c r="J177" i="15"/>
  <c r="J277" i="15"/>
  <c r="J293" i="15" s="1"/>
  <c r="K178" i="15"/>
  <c r="K278" i="15"/>
  <c r="K294" i="15" s="1"/>
  <c r="J179" i="15"/>
  <c r="J279" i="15"/>
  <c r="J295" i="15" s="1"/>
  <c r="I180" i="15"/>
  <c r="I280" i="15"/>
  <c r="L180" i="15"/>
  <c r="L280" i="15"/>
  <c r="L296" i="15" s="1"/>
  <c r="I178" i="15"/>
  <c r="I278" i="15"/>
  <c r="K177" i="15"/>
  <c r="K277" i="15"/>
  <c r="K293" i="15" s="1"/>
  <c r="K182" i="15"/>
  <c r="K282" i="15"/>
  <c r="K298" i="15" s="1"/>
  <c r="L178" i="15"/>
  <c r="L278" i="15"/>
  <c r="L294" i="15" s="1"/>
  <c r="K179" i="15"/>
  <c r="K279" i="15"/>
  <c r="K295" i="15" s="1"/>
  <c r="J182" i="15"/>
  <c r="J282" i="15"/>
  <c r="J298" i="15" s="1"/>
  <c r="L177" i="15"/>
  <c r="L277" i="15"/>
  <c r="L293" i="15" s="1"/>
  <c r="L182" i="15"/>
  <c r="L282" i="15"/>
  <c r="L298" i="15" s="1"/>
  <c r="J76" i="15"/>
  <c r="J81" i="15"/>
  <c r="K76" i="15"/>
  <c r="K81" i="15"/>
  <c r="M145" i="15"/>
  <c r="J77" i="15"/>
  <c r="J78" i="15"/>
  <c r="L77" i="15"/>
  <c r="K82" i="15"/>
  <c r="K77" i="15"/>
  <c r="J82" i="15"/>
  <c r="L82" i="15"/>
  <c r="L78" i="15"/>
  <c r="I79" i="15"/>
  <c r="J79" i="15"/>
  <c r="K78" i="15"/>
  <c r="K79" i="15"/>
  <c r="I78" i="15"/>
  <c r="R17" i="15"/>
  <c r="I80" i="15"/>
  <c r="R12" i="15"/>
  <c r="R13" i="15"/>
  <c r="R18" i="15"/>
  <c r="R15" i="15"/>
  <c r="R16" i="15"/>
  <c r="R14" i="15"/>
  <c r="M160" i="15"/>
  <c r="R160" i="15" s="1"/>
  <c r="M161" i="15"/>
  <c r="R161" i="15" s="1"/>
  <c r="M144" i="15"/>
  <c r="M128" i="15"/>
  <c r="M60" i="15"/>
  <c r="F592" i="15"/>
  <c r="F594" i="15"/>
  <c r="G594" i="15"/>
  <c r="J599" i="15"/>
  <c r="H594" i="15"/>
  <c r="I598" i="15"/>
  <c r="I482" i="15" s="1"/>
  <c r="G599" i="15"/>
  <c r="G592" i="15"/>
  <c r="H592" i="15"/>
  <c r="K599" i="15"/>
  <c r="F595" i="15"/>
  <c r="I593" i="15"/>
  <c r="I477" i="15" s="1"/>
  <c r="L595" i="15"/>
  <c r="L479" i="15" s="1"/>
  <c r="L495" i="15" s="1"/>
  <c r="J596" i="15"/>
  <c r="J480" i="15" s="1"/>
  <c r="J496" i="15" s="1"/>
  <c r="I592" i="15"/>
  <c r="I476" i="15" s="1"/>
  <c r="M62" i="15"/>
  <c r="M65" i="15"/>
  <c r="F67" i="15"/>
  <c r="G67" i="15"/>
  <c r="M63" i="15"/>
  <c r="M61" i="15"/>
  <c r="M31" i="15"/>
  <c r="H67" i="15"/>
  <c r="M33" i="15"/>
  <c r="I67" i="15"/>
  <c r="M45" i="15"/>
  <c r="K67" i="15"/>
  <c r="M64" i="15"/>
  <c r="L67" i="15"/>
  <c r="J67" i="15"/>
  <c r="M44" i="15"/>
  <c r="F35" i="15"/>
  <c r="G35" i="15"/>
  <c r="H35" i="15"/>
  <c r="I35" i="15"/>
  <c r="M30" i="15"/>
  <c r="L35" i="15"/>
  <c r="J35" i="15"/>
  <c r="K35" i="15"/>
  <c r="M29" i="15"/>
  <c r="M32" i="15"/>
  <c r="M28" i="15"/>
  <c r="M378" i="15" l="1"/>
  <c r="M394" i="15" s="1"/>
  <c r="K383" i="15"/>
  <c r="K399" i="15" s="1"/>
  <c r="M381" i="15"/>
  <c r="M397" i="15" s="1"/>
  <c r="M481" i="15"/>
  <c r="M497" i="15" s="1"/>
  <c r="I497" i="15"/>
  <c r="I397" i="15"/>
  <c r="I493" i="15"/>
  <c r="M477" i="15"/>
  <c r="M493" i="15" s="1"/>
  <c r="I495" i="15"/>
  <c r="M479" i="15"/>
  <c r="M495" i="15" s="1"/>
  <c r="L492" i="15"/>
  <c r="L483" i="15"/>
  <c r="L499" i="15" s="1"/>
  <c r="J483" i="15"/>
  <c r="J499" i="15" s="1"/>
  <c r="J492" i="15"/>
  <c r="I494" i="15"/>
  <c r="M478" i="15"/>
  <c r="M494" i="15" s="1"/>
  <c r="I496" i="15"/>
  <c r="M480" i="15"/>
  <c r="M496" i="15" s="1"/>
  <c r="I483" i="15"/>
  <c r="I499" i="15" s="1"/>
  <c r="M476" i="15"/>
  <c r="I492" i="15"/>
  <c r="I394" i="15"/>
  <c r="I498" i="15"/>
  <c r="M482" i="15"/>
  <c r="M498" i="15" s="1"/>
  <c r="K483" i="15"/>
  <c r="K499" i="15" s="1"/>
  <c r="K492" i="15"/>
  <c r="I282" i="15"/>
  <c r="M282" i="15" s="1"/>
  <c r="M298" i="15" s="1"/>
  <c r="I382" i="15"/>
  <c r="I276" i="15"/>
  <c r="I292" i="15" s="1"/>
  <c r="I376" i="15"/>
  <c r="J280" i="15"/>
  <c r="J296" i="15" s="1"/>
  <c r="J380" i="15"/>
  <c r="L279" i="15"/>
  <c r="L295" i="15" s="1"/>
  <c r="L379" i="15"/>
  <c r="I277" i="15"/>
  <c r="I293" i="15" s="1"/>
  <c r="I377" i="15"/>
  <c r="I296" i="15"/>
  <c r="M278" i="15"/>
  <c r="M294" i="15" s="1"/>
  <c r="I294" i="15"/>
  <c r="L292" i="15"/>
  <c r="I297" i="15"/>
  <c r="M281" i="15"/>
  <c r="M297" i="15" s="1"/>
  <c r="I295" i="15"/>
  <c r="K292" i="15"/>
  <c r="K283" i="15"/>
  <c r="K299" i="15" s="1"/>
  <c r="J292" i="15"/>
  <c r="J80" i="15"/>
  <c r="J180" i="15"/>
  <c r="I82" i="15"/>
  <c r="I182" i="15"/>
  <c r="I76" i="15"/>
  <c r="I176" i="15"/>
  <c r="L79" i="15"/>
  <c r="L179" i="15"/>
  <c r="I77" i="15"/>
  <c r="I177" i="15"/>
  <c r="M162" i="15"/>
  <c r="M596" i="15"/>
  <c r="F599" i="15"/>
  <c r="M598" i="15"/>
  <c r="M593" i="15"/>
  <c r="Q595" i="15"/>
  <c r="Q479" i="15" s="1"/>
  <c r="Q495" i="15" s="1"/>
  <c r="P595" i="15"/>
  <c r="P479" i="15" s="1"/>
  <c r="P495" i="15" s="1"/>
  <c r="O595" i="15"/>
  <c r="O479" i="15" s="1"/>
  <c r="O495" i="15" s="1"/>
  <c r="M594" i="15"/>
  <c r="M597" i="15"/>
  <c r="N595" i="15"/>
  <c r="N479" i="15" s="1"/>
  <c r="M595" i="15"/>
  <c r="I599" i="15"/>
  <c r="R595" i="15"/>
  <c r="L599" i="15"/>
  <c r="H599" i="15"/>
  <c r="M592" i="15"/>
  <c r="M67" i="15"/>
  <c r="R67" i="15"/>
  <c r="M35" i="15"/>
  <c r="M280" i="15" l="1"/>
  <c r="M296" i="15" s="1"/>
  <c r="I298" i="15"/>
  <c r="J283" i="15"/>
  <c r="J299" i="15" s="1"/>
  <c r="L283" i="15"/>
  <c r="L299" i="15" s="1"/>
  <c r="M492" i="15"/>
  <c r="M483" i="15"/>
  <c r="R479" i="15"/>
  <c r="R495" i="15" s="1"/>
  <c r="N495" i="15"/>
  <c r="M277" i="15"/>
  <c r="M293" i="15" s="1"/>
  <c r="M279" i="15"/>
  <c r="M295" i="15" s="1"/>
  <c r="N279" i="15"/>
  <c r="N295" i="15" s="1"/>
  <c r="N379" i="15"/>
  <c r="I283" i="15"/>
  <c r="I299" i="15" s="1"/>
  <c r="O279" i="15"/>
  <c r="O295" i="15" s="1"/>
  <c r="O379" i="15"/>
  <c r="O395" i="15" s="1"/>
  <c r="M276" i="15"/>
  <c r="M292" i="15" s="1"/>
  <c r="P279" i="15"/>
  <c r="P295" i="15" s="1"/>
  <c r="P379" i="15"/>
  <c r="P395" i="15" s="1"/>
  <c r="L395" i="15"/>
  <c r="L383" i="15"/>
  <c r="L399" i="15" s="1"/>
  <c r="M379" i="15"/>
  <c r="M395" i="15" s="1"/>
  <c r="M376" i="15"/>
  <c r="I392" i="15"/>
  <c r="I383" i="15"/>
  <c r="I399" i="15" s="1"/>
  <c r="M382" i="15"/>
  <c r="M398" i="15" s="1"/>
  <c r="I398" i="15"/>
  <c r="M377" i="15"/>
  <c r="M393" i="15" s="1"/>
  <c r="I393" i="15"/>
  <c r="Q279" i="15"/>
  <c r="Q295" i="15" s="1"/>
  <c r="Q379" i="15"/>
  <c r="Q395" i="15" s="1"/>
  <c r="J396" i="15"/>
  <c r="J383" i="15"/>
  <c r="J399" i="15" s="1"/>
  <c r="M380" i="15"/>
  <c r="M396" i="15" s="1"/>
  <c r="N79" i="15"/>
  <c r="N179" i="15"/>
  <c r="O79" i="15"/>
  <c r="O179" i="15"/>
  <c r="P79" i="15"/>
  <c r="P179" i="15"/>
  <c r="Q79" i="15"/>
  <c r="Q179" i="15"/>
  <c r="R162" i="15"/>
  <c r="O67" i="15"/>
  <c r="Q597" i="15"/>
  <c r="Q481" i="15" s="1"/>
  <c r="Q497" i="15" s="1"/>
  <c r="N597" i="15"/>
  <c r="N481" i="15" s="1"/>
  <c r="P597" i="15"/>
  <c r="P481" i="15" s="1"/>
  <c r="P497" i="15" s="1"/>
  <c r="O597" i="15"/>
  <c r="O481" i="15" s="1"/>
  <c r="O497" i="15" s="1"/>
  <c r="R597" i="15"/>
  <c r="R594" i="15"/>
  <c r="Q594" i="15"/>
  <c r="Q478" i="15" s="1"/>
  <c r="Q494" i="15" s="1"/>
  <c r="O594" i="15"/>
  <c r="O478" i="15" s="1"/>
  <c r="O494" i="15" s="1"/>
  <c r="N594" i="15"/>
  <c r="N478" i="15" s="1"/>
  <c r="P594" i="15"/>
  <c r="P478" i="15" s="1"/>
  <c r="P494" i="15" s="1"/>
  <c r="M599" i="15"/>
  <c r="R599" i="15"/>
  <c r="R592" i="15"/>
  <c r="Q598" i="15"/>
  <c r="Q482" i="15" s="1"/>
  <c r="Q498" i="15" s="1"/>
  <c r="P598" i="15"/>
  <c r="P482" i="15" s="1"/>
  <c r="P498" i="15" s="1"/>
  <c r="O598" i="15"/>
  <c r="O482" i="15" s="1"/>
  <c r="O498" i="15" s="1"/>
  <c r="N598" i="15"/>
  <c r="N482" i="15" s="1"/>
  <c r="R598" i="15"/>
  <c r="Q593" i="15"/>
  <c r="Q477" i="15" s="1"/>
  <c r="Q493" i="15" s="1"/>
  <c r="P593" i="15"/>
  <c r="P477" i="15" s="1"/>
  <c r="P493" i="15" s="1"/>
  <c r="O593" i="15"/>
  <c r="O477" i="15" s="1"/>
  <c r="O493" i="15" s="1"/>
  <c r="N593" i="15"/>
  <c r="N477" i="15" s="1"/>
  <c r="R593" i="15"/>
  <c r="S595" i="15"/>
  <c r="S479" i="15" s="1"/>
  <c r="S495" i="15" s="1"/>
  <c r="Q596" i="15"/>
  <c r="Q480" i="15" s="1"/>
  <c r="Q496" i="15" s="1"/>
  <c r="P596" i="15"/>
  <c r="P480" i="15" s="1"/>
  <c r="P496" i="15" s="1"/>
  <c r="O596" i="15"/>
  <c r="O480" i="15" s="1"/>
  <c r="O496" i="15" s="1"/>
  <c r="N596" i="15"/>
  <c r="N480" i="15" s="1"/>
  <c r="R596" i="15"/>
  <c r="P67" i="15"/>
  <c r="Q67" i="15"/>
  <c r="N67" i="15"/>
  <c r="S67" i="15"/>
  <c r="O35" i="15"/>
  <c r="R35" i="15"/>
  <c r="Q35" i="15"/>
  <c r="P35" i="15"/>
  <c r="N35" i="15"/>
  <c r="M499" i="15" l="1"/>
  <c r="AZ8" i="18"/>
  <c r="R481" i="15"/>
  <c r="R497" i="15" s="1"/>
  <c r="N497" i="15"/>
  <c r="R477" i="15"/>
  <c r="R493" i="15" s="1"/>
  <c r="N493" i="15"/>
  <c r="R482" i="15"/>
  <c r="R498" i="15" s="1"/>
  <c r="N498" i="15"/>
  <c r="N494" i="15"/>
  <c r="R478" i="15"/>
  <c r="R494" i="15" s="1"/>
  <c r="R480" i="15"/>
  <c r="R496" i="15" s="1"/>
  <c r="N496" i="15"/>
  <c r="Q277" i="15"/>
  <c r="Q293" i="15" s="1"/>
  <c r="Q377" i="15"/>
  <c r="Q393" i="15" s="1"/>
  <c r="N282" i="15"/>
  <c r="N298" i="15" s="1"/>
  <c r="N382" i="15"/>
  <c r="P282" i="15"/>
  <c r="P298" i="15" s="1"/>
  <c r="P382" i="15"/>
  <c r="P398" i="15" s="1"/>
  <c r="S279" i="15"/>
  <c r="S295" i="15" s="1"/>
  <c r="S379" i="15"/>
  <c r="S395" i="15" s="1"/>
  <c r="O281" i="15"/>
  <c r="O297" i="15" s="1"/>
  <c r="O381" i="15"/>
  <c r="O397" i="15" s="1"/>
  <c r="N277" i="15"/>
  <c r="N293" i="15" s="1"/>
  <c r="N377" i="15"/>
  <c r="N281" i="15"/>
  <c r="N297" i="15" s="1"/>
  <c r="N381" i="15"/>
  <c r="O277" i="15"/>
  <c r="O293" i="15" s="1"/>
  <c r="O377" i="15"/>
  <c r="O393" i="15" s="1"/>
  <c r="P277" i="15"/>
  <c r="P293" i="15" s="1"/>
  <c r="P377" i="15"/>
  <c r="P393" i="15" s="1"/>
  <c r="M383" i="15"/>
  <c r="M392" i="15"/>
  <c r="Q282" i="15"/>
  <c r="Q298" i="15" s="1"/>
  <c r="Q382" i="15"/>
  <c r="Q398" i="15" s="1"/>
  <c r="P278" i="15"/>
  <c r="P294" i="15" s="1"/>
  <c r="P378" i="15"/>
  <c r="P394" i="15" s="1"/>
  <c r="R279" i="15"/>
  <c r="R295" i="15" s="1"/>
  <c r="N280" i="15"/>
  <c r="N296" i="15" s="1"/>
  <c r="N380" i="15"/>
  <c r="O278" i="15"/>
  <c r="O294" i="15" s="1"/>
  <c r="O378" i="15"/>
  <c r="O394" i="15" s="1"/>
  <c r="M283" i="15"/>
  <c r="O280" i="15"/>
  <c r="O296" i="15" s="1"/>
  <c r="O380" i="15"/>
  <c r="O396" i="15" s="1"/>
  <c r="Q278" i="15"/>
  <c r="Q294" i="15" s="1"/>
  <c r="Q378" i="15"/>
  <c r="Q394" i="15" s="1"/>
  <c r="P280" i="15"/>
  <c r="P296" i="15" s="1"/>
  <c r="P380" i="15"/>
  <c r="P396" i="15" s="1"/>
  <c r="P281" i="15"/>
  <c r="P297" i="15" s="1"/>
  <c r="P381" i="15"/>
  <c r="P397" i="15" s="1"/>
  <c r="Q281" i="15"/>
  <c r="Q297" i="15" s="1"/>
  <c r="Q381" i="15"/>
  <c r="Q397" i="15" s="1"/>
  <c r="O282" i="15"/>
  <c r="O298" i="15" s="1"/>
  <c r="O382" i="15"/>
  <c r="O398" i="15" s="1"/>
  <c r="N278" i="15"/>
  <c r="N294" i="15" s="1"/>
  <c r="N378" i="15"/>
  <c r="Q280" i="15"/>
  <c r="Q296" i="15" s="1"/>
  <c r="Q380" i="15"/>
  <c r="Q396" i="15" s="1"/>
  <c r="N395" i="15"/>
  <c r="R379" i="15"/>
  <c r="R395" i="15" s="1"/>
  <c r="R79" i="15"/>
  <c r="Q78" i="15"/>
  <c r="Q178" i="15"/>
  <c r="O78" i="15"/>
  <c r="O178" i="15"/>
  <c r="O81" i="15"/>
  <c r="O181" i="15"/>
  <c r="P81" i="15"/>
  <c r="P181" i="15"/>
  <c r="N77" i="15"/>
  <c r="N177" i="15"/>
  <c r="O77" i="15"/>
  <c r="O177" i="15"/>
  <c r="P77" i="15"/>
  <c r="P177" i="15"/>
  <c r="O82" i="15"/>
  <c r="O182" i="15"/>
  <c r="P78" i="15"/>
  <c r="P178" i="15"/>
  <c r="N78" i="15"/>
  <c r="N178" i="15"/>
  <c r="N80" i="15"/>
  <c r="N180" i="15"/>
  <c r="O80" i="15"/>
  <c r="O180" i="15"/>
  <c r="P80" i="15"/>
  <c r="P180" i="15"/>
  <c r="Q80" i="15"/>
  <c r="Q180" i="15"/>
  <c r="S79" i="15"/>
  <c r="S179" i="15"/>
  <c r="N81" i="15"/>
  <c r="N181" i="15"/>
  <c r="Q81" i="15"/>
  <c r="Q181" i="15"/>
  <c r="Q77" i="15"/>
  <c r="Q177" i="15"/>
  <c r="N82" i="15"/>
  <c r="N182" i="15"/>
  <c r="P82" i="15"/>
  <c r="P182" i="15"/>
  <c r="Q82" i="15"/>
  <c r="Q182" i="15"/>
  <c r="R179" i="15"/>
  <c r="O592" i="15"/>
  <c r="O476" i="15" s="1"/>
  <c r="O599" i="15"/>
  <c r="S598" i="15"/>
  <c r="S482" i="15" s="1"/>
  <c r="S498" i="15" s="1"/>
  <c r="P599" i="15"/>
  <c r="P592" i="15"/>
  <c r="P476" i="15" s="1"/>
  <c r="Q599" i="15"/>
  <c r="Q592" i="15"/>
  <c r="Q476" i="15" s="1"/>
  <c r="N592" i="15"/>
  <c r="N476" i="15" s="1"/>
  <c r="N599" i="15"/>
  <c r="S599" i="15"/>
  <c r="S592" i="15"/>
  <c r="S476" i="15" s="1"/>
  <c r="U595" i="15"/>
  <c r="U479" i="15" s="1"/>
  <c r="U495" i="15" s="1"/>
  <c r="T595" i="15"/>
  <c r="T479" i="15" s="1"/>
  <c r="T495" i="15" s="1"/>
  <c r="S594" i="15"/>
  <c r="S478" i="15" s="1"/>
  <c r="S494" i="15" s="1"/>
  <c r="S593" i="15"/>
  <c r="S477" i="15" s="1"/>
  <c r="S493" i="15" s="1"/>
  <c r="S596" i="15"/>
  <c r="S480" i="15" s="1"/>
  <c r="S496" i="15" s="1"/>
  <c r="S597" i="15"/>
  <c r="S481" i="15" s="1"/>
  <c r="S497" i="15" s="1"/>
  <c r="T67" i="15"/>
  <c r="S35" i="15"/>
  <c r="L37" i="23"/>
  <c r="AZ14" i="18" l="1"/>
  <c r="AZ9" i="18"/>
  <c r="M399" i="15"/>
  <c r="AQ8" i="18"/>
  <c r="M299" i="15"/>
  <c r="AH8" i="18"/>
  <c r="I20" i="23"/>
  <c r="J20" i="23"/>
  <c r="G37" i="23"/>
  <c r="N12" i="18" s="1"/>
  <c r="F37" i="23"/>
  <c r="M12" i="18" s="1"/>
  <c r="L20" i="23"/>
  <c r="H20" i="23"/>
  <c r="O11" i="18" s="1"/>
  <c r="G20" i="23"/>
  <c r="N11" i="18" s="1"/>
  <c r="F20" i="23"/>
  <c r="M11" i="18" s="1"/>
  <c r="J37" i="23"/>
  <c r="I37" i="23"/>
  <c r="K20" i="23"/>
  <c r="K37" i="23"/>
  <c r="H37" i="23"/>
  <c r="O12" i="18" s="1"/>
  <c r="R278" i="15"/>
  <c r="R294" i="15" s="1"/>
  <c r="S492" i="15"/>
  <c r="S483" i="15"/>
  <c r="R280" i="15"/>
  <c r="R296" i="15" s="1"/>
  <c r="R476" i="15"/>
  <c r="N492" i="15"/>
  <c r="N483" i="15"/>
  <c r="N499" i="15" s="1"/>
  <c r="P492" i="15"/>
  <c r="P483" i="15"/>
  <c r="P499" i="15" s="1"/>
  <c r="O492" i="15"/>
  <c r="O483" i="15"/>
  <c r="O499" i="15" s="1"/>
  <c r="Q492" i="15"/>
  <c r="Q483" i="15"/>
  <c r="Q499" i="15" s="1"/>
  <c r="S281" i="15"/>
  <c r="S297" i="15" s="1"/>
  <c r="S381" i="15"/>
  <c r="S397" i="15" s="1"/>
  <c r="S280" i="15"/>
  <c r="S296" i="15" s="1"/>
  <c r="S380" i="15"/>
  <c r="S396" i="15" s="1"/>
  <c r="S277" i="15"/>
  <c r="S293" i="15" s="1"/>
  <c r="S377" i="15"/>
  <c r="S393" i="15" s="1"/>
  <c r="S278" i="15"/>
  <c r="S294" i="15" s="1"/>
  <c r="S378" i="15"/>
  <c r="S394" i="15" s="1"/>
  <c r="T279" i="15"/>
  <c r="T295" i="15" s="1"/>
  <c r="T379" i="15"/>
  <c r="T395" i="15" s="1"/>
  <c r="U279" i="15"/>
  <c r="U295" i="15" s="1"/>
  <c r="U379" i="15"/>
  <c r="U395" i="15" s="1"/>
  <c r="R282" i="15"/>
  <c r="R298" i="15" s="1"/>
  <c r="N397" i="15"/>
  <c r="R381" i="15"/>
  <c r="R397" i="15" s="1"/>
  <c r="S276" i="15"/>
  <c r="S376" i="15"/>
  <c r="R281" i="15"/>
  <c r="R297" i="15" s="1"/>
  <c r="N393" i="15"/>
  <c r="R377" i="15"/>
  <c r="R393" i="15" s="1"/>
  <c r="N276" i="15"/>
  <c r="N292" i="15" s="1"/>
  <c r="N376" i="15"/>
  <c r="R277" i="15"/>
  <c r="R293" i="15" s="1"/>
  <c r="Q276" i="15"/>
  <c r="Q292" i="15" s="1"/>
  <c r="Q376" i="15"/>
  <c r="N396" i="15"/>
  <c r="R380" i="15"/>
  <c r="R396" i="15" s="1"/>
  <c r="P276" i="15"/>
  <c r="P292" i="15" s="1"/>
  <c r="P376" i="15"/>
  <c r="S282" i="15"/>
  <c r="S298" i="15" s="1"/>
  <c r="S382" i="15"/>
  <c r="S398" i="15" s="1"/>
  <c r="N394" i="15"/>
  <c r="R378" i="15"/>
  <c r="R394" i="15" s="1"/>
  <c r="R382" i="15"/>
  <c r="R398" i="15" s="1"/>
  <c r="N398" i="15"/>
  <c r="O276" i="15"/>
  <c r="O283" i="15" s="1"/>
  <c r="O299" i="15" s="1"/>
  <c r="O376" i="15"/>
  <c r="R77" i="15"/>
  <c r="R78" i="15"/>
  <c r="R81" i="15"/>
  <c r="R82" i="15"/>
  <c r="R178" i="15"/>
  <c r="U79" i="15"/>
  <c r="U179" i="15"/>
  <c r="S76" i="15"/>
  <c r="S176" i="15"/>
  <c r="R182" i="15"/>
  <c r="N76" i="15"/>
  <c r="N176" i="15"/>
  <c r="Q76" i="15"/>
  <c r="Q176" i="15"/>
  <c r="P76" i="15"/>
  <c r="P176" i="15"/>
  <c r="R181" i="15"/>
  <c r="S82" i="15"/>
  <c r="S182" i="15"/>
  <c r="R177" i="15"/>
  <c r="O76" i="15"/>
  <c r="O176" i="15"/>
  <c r="T79" i="15"/>
  <c r="T179" i="15"/>
  <c r="S81" i="15"/>
  <c r="S181" i="15"/>
  <c r="S80" i="15"/>
  <c r="S180" i="15"/>
  <c r="S77" i="15"/>
  <c r="S177" i="15"/>
  <c r="R180" i="15"/>
  <c r="S78" i="15"/>
  <c r="S178" i="15"/>
  <c r="R80" i="15"/>
  <c r="U597" i="15"/>
  <c r="U481" i="15" s="1"/>
  <c r="U497" i="15" s="1"/>
  <c r="T597" i="15"/>
  <c r="T481" i="15" s="1"/>
  <c r="T497" i="15" s="1"/>
  <c r="T599" i="15"/>
  <c r="T592" i="15"/>
  <c r="T476" i="15" s="1"/>
  <c r="T596" i="15"/>
  <c r="T480" i="15" s="1"/>
  <c r="T496" i="15" s="1"/>
  <c r="U596" i="15"/>
  <c r="U480" i="15" s="1"/>
  <c r="U496" i="15" s="1"/>
  <c r="U593" i="15"/>
  <c r="U477" i="15" s="1"/>
  <c r="U493" i="15" s="1"/>
  <c r="T593" i="15"/>
  <c r="T477" i="15" s="1"/>
  <c r="T493" i="15" s="1"/>
  <c r="U598" i="15"/>
  <c r="U482" i="15" s="1"/>
  <c r="U498" i="15" s="1"/>
  <c r="T598" i="15"/>
  <c r="T482" i="15" s="1"/>
  <c r="T498" i="15" s="1"/>
  <c r="T594" i="15"/>
  <c r="T478" i="15" s="1"/>
  <c r="T494" i="15" s="1"/>
  <c r="U594" i="15"/>
  <c r="U478" i="15" s="1"/>
  <c r="U494" i="15" s="1"/>
  <c r="U67" i="15"/>
  <c r="T35" i="15"/>
  <c r="M12" i="23"/>
  <c r="M20" i="23" s="1"/>
  <c r="P11" i="18" s="1"/>
  <c r="M29" i="23"/>
  <c r="S499" i="15" l="1"/>
  <c r="BB8" i="18"/>
  <c r="AZ15" i="18"/>
  <c r="AZ24" i="18"/>
  <c r="AQ14" i="18"/>
  <c r="AQ9" i="18"/>
  <c r="AH14" i="18"/>
  <c r="AH9" i="18"/>
  <c r="O292" i="15"/>
  <c r="P37" i="23"/>
  <c r="Q37" i="23"/>
  <c r="N37" i="23"/>
  <c r="M37" i="23"/>
  <c r="P12" i="18" s="1"/>
  <c r="O37" i="23"/>
  <c r="Q283" i="15"/>
  <c r="Q299" i="15" s="1"/>
  <c r="N283" i="15"/>
  <c r="N299" i="15" s="1"/>
  <c r="T492" i="15"/>
  <c r="T483" i="15"/>
  <c r="P283" i="15"/>
  <c r="P299" i="15" s="1"/>
  <c r="S283" i="15"/>
  <c r="R492" i="15"/>
  <c r="R483" i="15"/>
  <c r="T277" i="15"/>
  <c r="T293" i="15" s="1"/>
  <c r="T377" i="15"/>
  <c r="T393" i="15" s="1"/>
  <c r="U280" i="15"/>
  <c r="U296" i="15" s="1"/>
  <c r="U380" i="15"/>
  <c r="U396" i="15" s="1"/>
  <c r="S392" i="15"/>
  <c r="S383" i="15"/>
  <c r="T278" i="15"/>
  <c r="T294" i="15" s="1"/>
  <c r="T378" i="15"/>
  <c r="T394" i="15" s="1"/>
  <c r="U277" i="15"/>
  <c r="U293" i="15" s="1"/>
  <c r="U377" i="15"/>
  <c r="U393" i="15" s="1"/>
  <c r="T276" i="15"/>
  <c r="T376" i="15"/>
  <c r="U281" i="15"/>
  <c r="U297" i="15" s="1"/>
  <c r="U381" i="15"/>
  <c r="U397" i="15" s="1"/>
  <c r="S292" i="15"/>
  <c r="N392" i="15"/>
  <c r="N383" i="15"/>
  <c r="N399" i="15" s="1"/>
  <c r="R376" i="15"/>
  <c r="O383" i="15"/>
  <c r="O399" i="15" s="1"/>
  <c r="O392" i="15"/>
  <c r="U278" i="15"/>
  <c r="U294" i="15" s="1"/>
  <c r="U378" i="15"/>
  <c r="U394" i="15" s="1"/>
  <c r="T282" i="15"/>
  <c r="T298" i="15" s="1"/>
  <c r="T382" i="15"/>
  <c r="T398" i="15" s="1"/>
  <c r="U282" i="15"/>
  <c r="U298" i="15" s="1"/>
  <c r="U382" i="15"/>
  <c r="U398" i="15" s="1"/>
  <c r="P392" i="15"/>
  <c r="P383" i="15"/>
  <c r="P399" i="15" s="1"/>
  <c r="T280" i="15"/>
  <c r="T296" i="15" s="1"/>
  <c r="T380" i="15"/>
  <c r="T396" i="15" s="1"/>
  <c r="R276" i="15"/>
  <c r="R292" i="15" s="1"/>
  <c r="Q392" i="15"/>
  <c r="Q383" i="15"/>
  <c r="Q399" i="15" s="1"/>
  <c r="T281" i="15"/>
  <c r="T297" i="15" s="1"/>
  <c r="T381" i="15"/>
  <c r="T397" i="15" s="1"/>
  <c r="R76" i="15"/>
  <c r="T82" i="15"/>
  <c r="T182" i="15"/>
  <c r="T77" i="15"/>
  <c r="T177" i="15"/>
  <c r="U77" i="15"/>
  <c r="U177" i="15"/>
  <c r="U80" i="15"/>
  <c r="U180" i="15"/>
  <c r="T76" i="15"/>
  <c r="T176" i="15"/>
  <c r="U82" i="15"/>
  <c r="U182" i="15"/>
  <c r="T80" i="15"/>
  <c r="T180" i="15"/>
  <c r="T81" i="15"/>
  <c r="T181" i="15"/>
  <c r="U81" i="15"/>
  <c r="U181" i="15"/>
  <c r="R176" i="15"/>
  <c r="U78" i="15"/>
  <c r="U178" i="15"/>
  <c r="T78" i="15"/>
  <c r="T178" i="15"/>
  <c r="U599" i="15"/>
  <c r="U592" i="15"/>
  <c r="U476" i="15" s="1"/>
  <c r="U35" i="15"/>
  <c r="R29" i="23"/>
  <c r="R37" i="23" s="1"/>
  <c r="Q12" i="18" s="1"/>
  <c r="T499" i="15" l="1"/>
  <c r="BC8" i="18"/>
  <c r="AZ25" i="18"/>
  <c r="AZ32" i="18"/>
  <c r="R499" i="15"/>
  <c r="BA8" i="18"/>
  <c r="BB9" i="18"/>
  <c r="BB14" i="18"/>
  <c r="AQ15" i="18"/>
  <c r="AQ24" i="18"/>
  <c r="S399" i="15"/>
  <c r="AS8" i="18"/>
  <c r="AH15" i="18"/>
  <c r="AH24" i="18"/>
  <c r="S299" i="15"/>
  <c r="AJ8" i="18"/>
  <c r="T283" i="15"/>
  <c r="U483" i="15"/>
  <c r="U492" i="15"/>
  <c r="R283" i="15"/>
  <c r="T292" i="15"/>
  <c r="R392" i="15"/>
  <c r="R383" i="15"/>
  <c r="T392" i="15"/>
  <c r="T383" i="15"/>
  <c r="U276" i="15"/>
  <c r="U283" i="15" s="1"/>
  <c r="U376" i="15"/>
  <c r="U76" i="15"/>
  <c r="U176" i="15"/>
  <c r="S37" i="23"/>
  <c r="R12" i="18" s="1"/>
  <c r="J23" i="16"/>
  <c r="AZ42" i="18" l="1"/>
  <c r="AZ35" i="18"/>
  <c r="AZ36" i="18" s="1"/>
  <c r="AW48" i="18" a="1"/>
  <c r="AW48" i="18" s="1"/>
  <c r="AZ33" i="18"/>
  <c r="BC9" i="18"/>
  <c r="BC14" i="18"/>
  <c r="U499" i="15"/>
  <c r="BD8" i="18"/>
  <c r="BB24" i="18"/>
  <c r="BB15" i="18"/>
  <c r="BA14" i="18"/>
  <c r="BA9" i="18"/>
  <c r="AQ25" i="18"/>
  <c r="AQ32" i="18"/>
  <c r="T399" i="15"/>
  <c r="AT8" i="18"/>
  <c r="R399" i="15"/>
  <c r="AR8" i="18"/>
  <c r="AS14" i="18"/>
  <c r="AS9" i="18"/>
  <c r="U299" i="15"/>
  <c r="AL8" i="18"/>
  <c r="R299" i="15"/>
  <c r="AI8" i="18"/>
  <c r="T299" i="15"/>
  <c r="AK8" i="18"/>
  <c r="AJ14" i="18"/>
  <c r="AJ9" i="18"/>
  <c r="AH32" i="18"/>
  <c r="AH25" i="18"/>
  <c r="U292" i="15"/>
  <c r="U392" i="15"/>
  <c r="U383" i="15"/>
  <c r="T37" i="23"/>
  <c r="S12" i="18" s="1"/>
  <c r="K23" i="16"/>
  <c r="BB32" i="18" l="1"/>
  <c r="BB25" i="18"/>
  <c r="BD9" i="18"/>
  <c r="BD14" i="18"/>
  <c r="BA15" i="18"/>
  <c r="BA24" i="18"/>
  <c r="BC15" i="18"/>
  <c r="BC24" i="18"/>
  <c r="AQ35" i="18"/>
  <c r="AQ36" i="18" s="1"/>
  <c r="AQ42" i="18"/>
  <c r="AQ33" i="18"/>
  <c r="AN48" i="18" a="1"/>
  <c r="AN48" i="18" s="1"/>
  <c r="U399" i="15"/>
  <c r="AU8" i="18"/>
  <c r="AS15" i="18"/>
  <c r="AS24" i="18"/>
  <c r="AR9" i="18"/>
  <c r="AR14" i="18"/>
  <c r="AT14" i="18"/>
  <c r="AT9" i="18"/>
  <c r="AL9" i="18"/>
  <c r="AL14" i="18"/>
  <c r="AH35" i="18"/>
  <c r="AH36" i="18" s="1"/>
  <c r="AH42" i="18"/>
  <c r="AE48" i="18" a="1"/>
  <c r="AE48" i="18" s="1"/>
  <c r="AH33" i="18"/>
  <c r="AJ24" i="18"/>
  <c r="AJ15" i="18"/>
  <c r="AK14" i="18"/>
  <c r="AK9" i="18"/>
  <c r="AI9" i="18"/>
  <c r="AI14" i="18"/>
  <c r="U37" i="23"/>
  <c r="T12" i="18" s="1"/>
  <c r="P23" i="16"/>
  <c r="Q23" i="16"/>
  <c r="L23" i="16"/>
  <c r="O23" i="16"/>
  <c r="BD24" i="18" l="1"/>
  <c r="BD15" i="18"/>
  <c r="BB35" i="18"/>
  <c r="BB33" i="18"/>
  <c r="BB42" i="18"/>
  <c r="BC25" i="18"/>
  <c r="BC32" i="18"/>
  <c r="BA25" i="18"/>
  <c r="BA32" i="18"/>
  <c r="AT15" i="18"/>
  <c r="AT24" i="18"/>
  <c r="AR15" i="18"/>
  <c r="AR24" i="18"/>
  <c r="AS32" i="18"/>
  <c r="AS25" i="18"/>
  <c r="AU14" i="18"/>
  <c r="AU9" i="18"/>
  <c r="AI15" i="18"/>
  <c r="AI24" i="18"/>
  <c r="AK24" i="18"/>
  <c r="AK15" i="18"/>
  <c r="AJ32" i="18"/>
  <c r="AJ25" i="18"/>
  <c r="AL24" i="18"/>
  <c r="AL15" i="18"/>
  <c r="M23" i="16"/>
  <c r="N23" i="16"/>
  <c r="BD32" i="18" l="1"/>
  <c r="BD25" i="18"/>
  <c r="BA35" i="18"/>
  <c r="BA36" i="18" s="1"/>
  <c r="BB36" i="18" s="1"/>
  <c r="BA42" i="18"/>
  <c r="BA33" i="18"/>
  <c r="BC42" i="18"/>
  <c r="BC35" i="18"/>
  <c r="BC33" i="18"/>
  <c r="AU15" i="18"/>
  <c r="AU24" i="18"/>
  <c r="AS35" i="18"/>
  <c r="AS42" i="18"/>
  <c r="AS33" i="18"/>
  <c r="AR32" i="18"/>
  <c r="AR25" i="18"/>
  <c r="AT32" i="18"/>
  <c r="AT25" i="18"/>
  <c r="AL32" i="18"/>
  <c r="AL25" i="18"/>
  <c r="AJ35" i="18"/>
  <c r="AJ42" i="18"/>
  <c r="AJ33" i="18"/>
  <c r="AK32" i="18"/>
  <c r="AK25" i="18"/>
  <c r="AI32" i="18"/>
  <c r="AI25" i="18"/>
  <c r="R23" i="16"/>
  <c r="S23" i="16"/>
  <c r="BC36" i="18" l="1"/>
  <c r="BD35" i="18"/>
  <c r="BD42" i="18"/>
  <c r="BD33" i="18"/>
  <c r="AW45" i="18"/>
  <c r="AW44" i="18"/>
  <c r="AU25" i="18"/>
  <c r="AU32" i="18"/>
  <c r="AT35" i="18"/>
  <c r="AT33" i="18"/>
  <c r="AT42" i="18"/>
  <c r="AR35" i="18"/>
  <c r="AR36" i="18" s="1"/>
  <c r="AS36" i="18" s="1"/>
  <c r="AR33" i="18"/>
  <c r="AR42" i="18"/>
  <c r="AI35" i="18"/>
  <c r="AI36" i="18" s="1"/>
  <c r="AJ36" i="18" s="1"/>
  <c r="AI42" i="18"/>
  <c r="AI33" i="18"/>
  <c r="AE44" i="18"/>
  <c r="AK35" i="18"/>
  <c r="AK42" i="18"/>
  <c r="AK33" i="18"/>
  <c r="AL35" i="18"/>
  <c r="AE45" i="18"/>
  <c r="AL42" i="18"/>
  <c r="AL33" i="18"/>
  <c r="T23" i="16"/>
  <c r="BD36" i="18" l="1"/>
  <c r="AW46" i="18"/>
  <c r="AT36" i="18"/>
  <c r="AN45" i="18"/>
  <c r="AU35" i="18"/>
  <c r="AU33" i="18"/>
  <c r="AU42" i="18"/>
  <c r="AN44" i="18"/>
  <c r="AK36" i="18"/>
  <c r="AL36" i="18" s="1"/>
  <c r="AE46" i="18"/>
  <c r="U23" i="16"/>
  <c r="AU36" i="18" l="1"/>
  <c r="AN46" i="18"/>
  <c r="M117" i="15"/>
  <c r="M115" i="15" l="1"/>
  <c r="M149" i="15"/>
  <c r="M147" i="15"/>
  <c r="M113" i="15"/>
  <c r="M116" i="15"/>
  <c r="M150" i="15"/>
  <c r="J151" i="15"/>
  <c r="J119" i="15"/>
  <c r="I119" i="15"/>
  <c r="M112" i="15"/>
  <c r="K151" i="15"/>
  <c r="K119" i="15"/>
  <c r="M80" i="15"/>
  <c r="H23" i="16"/>
  <c r="F23" i="16"/>
  <c r="G23" i="16"/>
  <c r="M114" i="15" l="1"/>
  <c r="M148" i="15"/>
  <c r="M146" i="15"/>
  <c r="I151" i="15"/>
  <c r="F119" i="15"/>
  <c r="V6" i="18" s="1"/>
  <c r="F151" i="15"/>
  <c r="L119" i="15"/>
  <c r="H119" i="15"/>
  <c r="X6" i="18" s="1"/>
  <c r="H151" i="15"/>
  <c r="G119" i="15"/>
  <c r="W6" i="18" s="1"/>
  <c r="G151" i="15"/>
  <c r="L151" i="15"/>
  <c r="J83" i="15"/>
  <c r="M79" i="15"/>
  <c r="H83" i="15"/>
  <c r="O8" i="18" s="1"/>
  <c r="I83" i="15"/>
  <c r="G83" i="15"/>
  <c r="N8" i="18" s="1"/>
  <c r="F83" i="15"/>
  <c r="M8" i="18" s="1"/>
  <c r="M76" i="15"/>
  <c r="K83" i="15"/>
  <c r="M78" i="15"/>
  <c r="M77" i="15"/>
  <c r="M82" i="15"/>
  <c r="M81" i="15"/>
  <c r="H196" i="15"/>
  <c r="F196" i="15"/>
  <c r="G196" i="15"/>
  <c r="M14" i="18" l="1"/>
  <c r="N14" i="18"/>
  <c r="O14" i="18"/>
  <c r="F14" i="18"/>
  <c r="E14" i="18"/>
  <c r="D14" i="18"/>
  <c r="D24" i="18" s="1"/>
  <c r="M151" i="15"/>
  <c r="R119" i="15"/>
  <c r="Z6" i="18" s="1"/>
  <c r="Q119" i="15"/>
  <c r="L83" i="15"/>
  <c r="M83" i="15"/>
  <c r="P8" i="18" s="1"/>
  <c r="F195" i="15"/>
  <c r="G195" i="15"/>
  <c r="H195" i="15"/>
  <c r="F193" i="15"/>
  <c r="G193" i="15"/>
  <c r="H193" i="15"/>
  <c r="G197" i="15"/>
  <c r="H197" i="15"/>
  <c r="F197" i="15"/>
  <c r="F198" i="15"/>
  <c r="G198" i="15"/>
  <c r="H198" i="15"/>
  <c r="P14" i="18" l="1"/>
  <c r="O24" i="18"/>
  <c r="N24" i="18"/>
  <c r="M24" i="18"/>
  <c r="G14" i="18"/>
  <c r="P119" i="15"/>
  <c r="N119" i="15"/>
  <c r="O119" i="15"/>
  <c r="I197" i="15"/>
  <c r="J197" i="15"/>
  <c r="F192" i="15"/>
  <c r="S119" i="15"/>
  <c r="AA6" i="18" s="1"/>
  <c r="G192" i="15"/>
  <c r="H192" i="15"/>
  <c r="S83" i="15"/>
  <c r="R8" i="18" s="1"/>
  <c r="N151" i="15"/>
  <c r="P151" i="15"/>
  <c r="O151" i="15"/>
  <c r="Q151" i="15"/>
  <c r="R151" i="15"/>
  <c r="F194" i="15"/>
  <c r="N83" i="15"/>
  <c r="R83" i="15"/>
  <c r="Q8" i="18" s="1"/>
  <c r="M32" i="18" l="1"/>
  <c r="N32" i="18"/>
  <c r="O32" i="18"/>
  <c r="P24" i="18"/>
  <c r="Q83" i="15"/>
  <c r="P83" i="15"/>
  <c r="U119" i="15"/>
  <c r="AC6" i="18" s="1"/>
  <c r="T119" i="15"/>
  <c r="AB6" i="18" s="1"/>
  <c r="F183" i="15"/>
  <c r="S151" i="15"/>
  <c r="L197" i="15"/>
  <c r="O83" i="15"/>
  <c r="F199" i="15" l="1"/>
  <c r="V8" i="18"/>
  <c r="P32" i="18"/>
  <c r="O35" i="18"/>
  <c r="O42" i="18"/>
  <c r="N35" i="18"/>
  <c r="N42" i="18"/>
  <c r="M35" i="18"/>
  <c r="M36" i="18" s="1"/>
  <c r="M42" i="18"/>
  <c r="H194" i="15"/>
  <c r="H183" i="15"/>
  <c r="K197" i="15"/>
  <c r="M181" i="15"/>
  <c r="U151" i="15"/>
  <c r="T151" i="15"/>
  <c r="M182" i="15"/>
  <c r="G194" i="15"/>
  <c r="G183" i="15"/>
  <c r="T83" i="15"/>
  <c r="S8" i="18" s="1"/>
  <c r="V9" i="18" l="1"/>
  <c r="V14" i="18"/>
  <c r="G199" i="15"/>
  <c r="W8" i="18"/>
  <c r="H199" i="15"/>
  <c r="X8" i="18"/>
  <c r="N36" i="18"/>
  <c r="O36" i="18" s="1"/>
  <c r="P35" i="18"/>
  <c r="M48" i="18" a="1"/>
  <c r="M48" i="18" s="1"/>
  <c r="P42" i="18"/>
  <c r="M197" i="15"/>
  <c r="U83" i="15"/>
  <c r="T8" i="18" s="1"/>
  <c r="X14" i="18" l="1"/>
  <c r="X9" i="18"/>
  <c r="W14" i="18"/>
  <c r="W9" i="18"/>
  <c r="V15" i="18"/>
  <c r="V24" i="18"/>
  <c r="P36" i="18"/>
  <c r="O197" i="15"/>
  <c r="N197" i="15"/>
  <c r="R197" i="15"/>
  <c r="Q197" i="15"/>
  <c r="P197" i="15"/>
  <c r="V32" i="18" l="1"/>
  <c r="V25" i="18"/>
  <c r="W15" i="18"/>
  <c r="W24" i="18"/>
  <c r="X15" i="18"/>
  <c r="X24" i="18"/>
  <c r="S197" i="15"/>
  <c r="X32" i="18" l="1"/>
  <c r="X25" i="18"/>
  <c r="W32" i="18"/>
  <c r="W25" i="18"/>
  <c r="V35" i="18"/>
  <c r="V36" i="18" s="1"/>
  <c r="V42" i="18"/>
  <c r="V33" i="18"/>
  <c r="T197" i="15"/>
  <c r="U197" i="15"/>
  <c r="H51" i="15"/>
  <c r="M50" i="15"/>
  <c r="W35" i="18" l="1"/>
  <c r="W36" i="18" s="1"/>
  <c r="W42" i="18"/>
  <c r="W33" i="18"/>
  <c r="X35" i="18"/>
  <c r="X33" i="18"/>
  <c r="X42" i="18"/>
  <c r="G51" i="15"/>
  <c r="F51" i="15"/>
  <c r="K51" i="15"/>
  <c r="M49" i="15"/>
  <c r="J51" i="15"/>
  <c r="M48" i="15"/>
  <c r="I51" i="15"/>
  <c r="M46" i="15"/>
  <c r="L51" i="15"/>
  <c r="M47" i="15"/>
  <c r="L94" i="15"/>
  <c r="L93" i="15"/>
  <c r="K97" i="15"/>
  <c r="J93" i="15"/>
  <c r="F98" i="15"/>
  <c r="F94" i="15"/>
  <c r="I94" i="15"/>
  <c r="F95" i="15"/>
  <c r="L97" i="15"/>
  <c r="J97" i="15"/>
  <c r="K92" i="15"/>
  <c r="H97" i="15"/>
  <c r="H93" i="15"/>
  <c r="H95" i="15"/>
  <c r="G92" i="15"/>
  <c r="G94" i="15"/>
  <c r="L96" i="15"/>
  <c r="J92" i="15"/>
  <c r="G97" i="15"/>
  <c r="G93" i="15"/>
  <c r="I93" i="15"/>
  <c r="K98" i="15"/>
  <c r="K195" i="15" s="1"/>
  <c r="H98" i="15"/>
  <c r="I92" i="15"/>
  <c r="K96" i="15"/>
  <c r="L92" i="15"/>
  <c r="F97" i="15"/>
  <c r="F93" i="15"/>
  <c r="K94" i="15"/>
  <c r="J98" i="15"/>
  <c r="J195" i="15" s="1"/>
  <c r="G98" i="15"/>
  <c r="I97" i="15"/>
  <c r="J96" i="15"/>
  <c r="L98" i="15"/>
  <c r="L195" i="15" s="1"/>
  <c r="H96" i="15"/>
  <c r="H92" i="15"/>
  <c r="G95" i="15"/>
  <c r="K93" i="15"/>
  <c r="I96" i="15"/>
  <c r="L95" i="15"/>
  <c r="I98" i="15"/>
  <c r="G96" i="15"/>
  <c r="J94" i="15"/>
  <c r="H94" i="15"/>
  <c r="I95" i="15"/>
  <c r="K95" i="15"/>
  <c r="J95" i="15"/>
  <c r="F96" i="15"/>
  <c r="F19" i="15"/>
  <c r="G19" i="15"/>
  <c r="H19" i="15"/>
  <c r="X36" i="18" l="1"/>
  <c r="H99" i="15"/>
  <c r="O6" i="18"/>
  <c r="G99" i="15"/>
  <c r="N6" i="18"/>
  <c r="F99" i="15"/>
  <c r="M6" i="18"/>
  <c r="M131" i="15"/>
  <c r="M165" i="15"/>
  <c r="R165" i="15" s="1"/>
  <c r="F167" i="15"/>
  <c r="F135" i="15"/>
  <c r="J193" i="15"/>
  <c r="K194" i="15"/>
  <c r="L193" i="15"/>
  <c r="L198" i="15"/>
  <c r="K193" i="15"/>
  <c r="I195" i="15"/>
  <c r="M179" i="15"/>
  <c r="M130" i="15"/>
  <c r="M164" i="15"/>
  <c r="R164" i="15" s="1"/>
  <c r="K198" i="15"/>
  <c r="J194" i="15"/>
  <c r="L194" i="15"/>
  <c r="J198" i="15"/>
  <c r="M134" i="15"/>
  <c r="H167" i="15"/>
  <c r="H135" i="15"/>
  <c r="G135" i="15"/>
  <c r="G167" i="15"/>
  <c r="M51" i="15"/>
  <c r="K19" i="15"/>
  <c r="K99" i="15" s="1"/>
  <c r="K196" i="15" s="1"/>
  <c r="L19" i="15"/>
  <c r="L99" i="15" s="1"/>
  <c r="L196" i="15" s="1"/>
  <c r="I19" i="15"/>
  <c r="I99" i="15" s="1"/>
  <c r="J19" i="15"/>
  <c r="J99" i="15" s="1"/>
  <c r="J196" i="15" s="1"/>
  <c r="M18" i="15"/>
  <c r="M15" i="15"/>
  <c r="M14" i="15"/>
  <c r="M12" i="15"/>
  <c r="M16" i="15"/>
  <c r="M13" i="15"/>
  <c r="M17" i="15"/>
  <c r="M9" i="18" l="1"/>
  <c r="M15" i="18"/>
  <c r="M25" i="18"/>
  <c r="M33" i="18"/>
  <c r="N9" i="18"/>
  <c r="N15" i="18"/>
  <c r="N25" i="18"/>
  <c r="N33" i="18"/>
  <c r="O9" i="18"/>
  <c r="O15" i="18"/>
  <c r="O25" i="18"/>
  <c r="O33" i="18"/>
  <c r="G9" i="18"/>
  <c r="M178" i="15"/>
  <c r="I194" i="15"/>
  <c r="M195" i="15"/>
  <c r="M118" i="15"/>
  <c r="M119" i="15" s="1"/>
  <c r="Y6" i="18" s="1"/>
  <c r="I198" i="15"/>
  <c r="J192" i="15"/>
  <c r="J183" i="15"/>
  <c r="J199" i="15" s="1"/>
  <c r="L167" i="15"/>
  <c r="L135" i="15"/>
  <c r="M176" i="15"/>
  <c r="I192" i="15"/>
  <c r="I183" i="15"/>
  <c r="I199" i="15" s="1"/>
  <c r="I196" i="15"/>
  <c r="M180" i="15"/>
  <c r="M132" i="15"/>
  <c r="M166" i="15"/>
  <c r="M177" i="15"/>
  <c r="I193" i="15"/>
  <c r="M133" i="15"/>
  <c r="K183" i="15"/>
  <c r="K199" i="15" s="1"/>
  <c r="K192" i="15"/>
  <c r="K167" i="15"/>
  <c r="K135" i="15"/>
  <c r="J167" i="15"/>
  <c r="J135" i="15"/>
  <c r="M129" i="15"/>
  <c r="I135" i="15"/>
  <c r="L183" i="15"/>
  <c r="L199" i="15" s="1"/>
  <c r="L192" i="15"/>
  <c r="O51" i="15"/>
  <c r="N51" i="15"/>
  <c r="Q51" i="15"/>
  <c r="P51" i="15"/>
  <c r="R51" i="15"/>
  <c r="D9" i="18"/>
  <c r="D15" i="18"/>
  <c r="E9" i="18"/>
  <c r="E15" i="18"/>
  <c r="F9" i="18"/>
  <c r="F15" i="18"/>
  <c r="M95" i="15"/>
  <c r="M97" i="15"/>
  <c r="M93" i="15"/>
  <c r="M96" i="15"/>
  <c r="M92" i="15"/>
  <c r="M94" i="15"/>
  <c r="M98" i="15"/>
  <c r="M198" i="15" l="1"/>
  <c r="M193" i="15"/>
  <c r="M196" i="15"/>
  <c r="M163" i="15"/>
  <c r="I167" i="15"/>
  <c r="M192" i="15"/>
  <c r="M183" i="15"/>
  <c r="O195" i="15"/>
  <c r="R195" i="15"/>
  <c r="N195" i="15"/>
  <c r="Q195" i="15"/>
  <c r="P195" i="15"/>
  <c r="M194" i="15"/>
  <c r="M135" i="15"/>
  <c r="S51" i="15"/>
  <c r="G15" i="18"/>
  <c r="R92" i="15"/>
  <c r="R96" i="15"/>
  <c r="R97" i="15"/>
  <c r="R93" i="15"/>
  <c r="R94" i="15"/>
  <c r="R98" i="15"/>
  <c r="R95" i="15"/>
  <c r="M199" i="15" l="1"/>
  <c r="Y8" i="18"/>
  <c r="Q196" i="15"/>
  <c r="N196" i="15"/>
  <c r="R196" i="15"/>
  <c r="O196" i="15"/>
  <c r="P196" i="15"/>
  <c r="R192" i="15"/>
  <c r="R183" i="15"/>
  <c r="P135" i="15"/>
  <c r="O135" i="15"/>
  <c r="N135" i="15"/>
  <c r="Q135" i="15"/>
  <c r="R135" i="15"/>
  <c r="Q193" i="15"/>
  <c r="P193" i="15"/>
  <c r="O193" i="15"/>
  <c r="N193" i="15"/>
  <c r="R193" i="15"/>
  <c r="Q194" i="15"/>
  <c r="R194" i="15"/>
  <c r="P194" i="15"/>
  <c r="N194" i="15"/>
  <c r="O194" i="15"/>
  <c r="R198" i="15"/>
  <c r="R163" i="15"/>
  <c r="M167" i="15"/>
  <c r="T51" i="15"/>
  <c r="H9" i="18"/>
  <c r="O94" i="15"/>
  <c r="N98" i="15"/>
  <c r="P95" i="15"/>
  <c r="O97" i="15"/>
  <c r="P98" i="15"/>
  <c r="O95" i="15"/>
  <c r="N93" i="15"/>
  <c r="Q96" i="15"/>
  <c r="N95" i="15"/>
  <c r="N97" i="15"/>
  <c r="O96" i="15"/>
  <c r="Q93" i="15"/>
  <c r="N92" i="15"/>
  <c r="Q98" i="15"/>
  <c r="P94" i="15"/>
  <c r="N96" i="15"/>
  <c r="P92" i="15"/>
  <c r="Q92" i="15"/>
  <c r="N94" i="15"/>
  <c r="Q95" i="15"/>
  <c r="O98" i="15"/>
  <c r="O92" i="15"/>
  <c r="P93" i="15"/>
  <c r="P97" i="15"/>
  <c r="O93" i="15"/>
  <c r="P96" i="15"/>
  <c r="Q94" i="15"/>
  <c r="Q97" i="15"/>
  <c r="P19" i="15"/>
  <c r="P99" i="15" s="1"/>
  <c r="N19" i="15"/>
  <c r="N99" i="15" s="1"/>
  <c r="Q19" i="15"/>
  <c r="Q99" i="15" s="1"/>
  <c r="S98" i="15"/>
  <c r="S93" i="15"/>
  <c r="S96" i="15"/>
  <c r="S97" i="15"/>
  <c r="S95" i="15"/>
  <c r="O19" i="15"/>
  <c r="O99" i="15" s="1"/>
  <c r="S94" i="15"/>
  <c r="S92" i="15"/>
  <c r="Y9" i="18" l="1"/>
  <c r="Y14" i="18"/>
  <c r="R199" i="15"/>
  <c r="Z8" i="18"/>
  <c r="S193" i="15"/>
  <c r="S192" i="15"/>
  <c r="Q167" i="15"/>
  <c r="P167" i="15"/>
  <c r="O167" i="15"/>
  <c r="N167" i="15"/>
  <c r="Q192" i="15"/>
  <c r="Q183" i="15"/>
  <c r="Q199" i="15" s="1"/>
  <c r="S194" i="15"/>
  <c r="P192" i="15"/>
  <c r="P183" i="15"/>
  <c r="P199" i="15" s="1"/>
  <c r="N183" i="15"/>
  <c r="N199" i="15" s="1"/>
  <c r="N192" i="15"/>
  <c r="O192" i="15"/>
  <c r="O183" i="15"/>
  <c r="O199" i="15" s="1"/>
  <c r="S195" i="15"/>
  <c r="S135" i="15"/>
  <c r="Q198" i="15"/>
  <c r="P198" i="15"/>
  <c r="O198" i="15"/>
  <c r="N198" i="15"/>
  <c r="U51" i="15"/>
  <c r="I9" i="18"/>
  <c r="T94" i="15"/>
  <c r="T95" i="15"/>
  <c r="T92" i="15"/>
  <c r="T97" i="15"/>
  <c r="T96" i="15"/>
  <c r="T93" i="15"/>
  <c r="T98" i="15"/>
  <c r="R19" i="15"/>
  <c r="M19" i="15"/>
  <c r="Z9" i="18" l="1"/>
  <c r="Z14" i="18"/>
  <c r="Y15" i="18"/>
  <c r="Y24" i="18"/>
  <c r="M99" i="15"/>
  <c r="P6" i="18"/>
  <c r="R99" i="15"/>
  <c r="Q6" i="18"/>
  <c r="T193" i="15"/>
  <c r="T192" i="15"/>
  <c r="T194" i="15"/>
  <c r="S167" i="15"/>
  <c r="T198" i="15"/>
  <c r="S198" i="15"/>
  <c r="T195" i="15"/>
  <c r="U135" i="15"/>
  <c r="T135" i="15"/>
  <c r="J9" i="18"/>
  <c r="U96" i="15"/>
  <c r="U193" i="15" s="1"/>
  <c r="U97" i="15"/>
  <c r="U194" i="15" s="1"/>
  <c r="U93" i="15"/>
  <c r="U92" i="15"/>
  <c r="U95" i="15"/>
  <c r="U98" i="15"/>
  <c r="U195" i="15" s="1"/>
  <c r="U94" i="15"/>
  <c r="S19" i="15"/>
  <c r="Z15" i="18" l="1"/>
  <c r="Z24" i="18"/>
  <c r="Y25" i="18"/>
  <c r="Y32" i="18"/>
  <c r="Q9" i="18"/>
  <c r="S99" i="15"/>
  <c r="R6" i="18"/>
  <c r="P9" i="18"/>
  <c r="P15" i="18"/>
  <c r="P25" i="18"/>
  <c r="P33" i="18"/>
  <c r="U192" i="15"/>
  <c r="U198" i="15"/>
  <c r="U167" i="15"/>
  <c r="T167" i="15"/>
  <c r="S196" i="15"/>
  <c r="S183" i="15"/>
  <c r="K9" i="18"/>
  <c r="T19" i="15"/>
  <c r="Z32" i="18" l="1"/>
  <c r="Z25" i="18"/>
  <c r="S199" i="15"/>
  <c r="AA8" i="18"/>
  <c r="Y33" i="18"/>
  <c r="Y35" i="18"/>
  <c r="Y36" i="18" s="1"/>
  <c r="Y42" i="18"/>
  <c r="V48" i="18" a="1"/>
  <c r="V48" i="18" s="1"/>
  <c r="T99" i="15"/>
  <c r="S6" i="18"/>
  <c r="R9" i="18"/>
  <c r="T196" i="15"/>
  <c r="T183" i="15"/>
  <c r="U19" i="15"/>
  <c r="T199" i="15" l="1"/>
  <c r="AB8" i="18"/>
  <c r="AA9" i="18"/>
  <c r="AA14" i="18"/>
  <c r="Z35" i="18"/>
  <c r="Z36" i="18" s="1"/>
  <c r="Z42" i="18"/>
  <c r="Z33" i="18"/>
  <c r="U99" i="15"/>
  <c r="T6" i="18"/>
  <c r="S9" i="18"/>
  <c r="U196" i="15"/>
  <c r="U183" i="15"/>
  <c r="U199" i="15" l="1"/>
  <c r="AC8" i="18"/>
  <c r="AA15" i="18"/>
  <c r="AA24" i="18"/>
  <c r="AB14" i="18"/>
  <c r="AB9" i="18"/>
  <c r="T9" i="18"/>
  <c r="AB24" i="18" l="1"/>
  <c r="AB15" i="18"/>
  <c r="AA32" i="18"/>
  <c r="AA25" i="18"/>
  <c r="AC14" i="18"/>
  <c r="AC9" i="18"/>
  <c r="AC24" i="18" l="1"/>
  <c r="AC15" i="18"/>
  <c r="AA35" i="18"/>
  <c r="AA36" i="18" s="1"/>
  <c r="AA42" i="18"/>
  <c r="AA33" i="18"/>
  <c r="AB32" i="18"/>
  <c r="AB25" i="18"/>
  <c r="AB35" i="18" l="1"/>
  <c r="AB36" i="18" s="1"/>
  <c r="AB42" i="18"/>
  <c r="AB33" i="18"/>
  <c r="AC32" i="18"/>
  <c r="AC25" i="18"/>
  <c r="AC35" i="18" l="1"/>
  <c r="AC36" i="18" s="1"/>
  <c r="AC33" i="18"/>
  <c r="V45" i="18"/>
  <c r="AC42" i="18"/>
  <c r="V44" i="18"/>
  <c r="V46" i="18" l="1"/>
  <c r="Q20" i="23" l="1"/>
  <c r="P20" i="23"/>
  <c r="N20" i="23"/>
  <c r="R12" i="23"/>
  <c r="H14" i="18" s="1"/>
  <c r="O20" i="23"/>
  <c r="H15" i="18" l="1"/>
  <c r="R20" i="23"/>
  <c r="Q11" i="18" s="1"/>
  <c r="Q14" i="18" s="1"/>
  <c r="Q24" i="18" l="1"/>
  <c r="Q15" i="18"/>
  <c r="I14" i="18"/>
  <c r="S20" i="23"/>
  <c r="R11" i="18" s="1"/>
  <c r="R14" i="18" s="1"/>
  <c r="R24" i="18" l="1"/>
  <c r="R15" i="18"/>
  <c r="Q32" i="18"/>
  <c r="Q25" i="18"/>
  <c r="J14" i="18"/>
  <c r="T20" i="23"/>
  <c r="S11" i="18" s="1"/>
  <c r="S14" i="18" s="1"/>
  <c r="I15" i="18"/>
  <c r="Q35" i="18" l="1"/>
  <c r="Q36" i="18" s="1"/>
  <c r="Q42" i="18"/>
  <c r="Q33" i="18"/>
  <c r="S24" i="18"/>
  <c r="S15" i="18"/>
  <c r="R32" i="18"/>
  <c r="R25" i="18"/>
  <c r="K14" i="18"/>
  <c r="U20" i="23"/>
  <c r="T11" i="18" s="1"/>
  <c r="T14" i="18" s="1"/>
  <c r="J15" i="18"/>
  <c r="T24" i="18" l="1"/>
  <c r="T15" i="18"/>
  <c r="R35" i="18"/>
  <c r="R36" i="18" s="1"/>
  <c r="R42" i="18"/>
  <c r="R33" i="18"/>
  <c r="S32" i="18"/>
  <c r="S25" i="18"/>
  <c r="K15" i="18"/>
  <c r="S42" i="18" l="1"/>
  <c r="S35" i="18"/>
  <c r="S36" i="18" s="1"/>
  <c r="S33" i="18"/>
  <c r="T32" i="18"/>
  <c r="M44" i="18" s="1"/>
  <c r="T25" i="18"/>
  <c r="C11" i="30"/>
  <c r="C9" i="30"/>
  <c r="H429" i="33" l="1"/>
  <c r="H318" i="32"/>
  <c r="H452" i="32"/>
  <c r="H490" i="15"/>
  <c r="H410" i="15"/>
  <c r="H326" i="15"/>
  <c r="H242" i="15"/>
  <c r="H448" i="33"/>
  <c r="H141" i="23"/>
  <c r="H375" i="32"/>
  <c r="H458" i="15"/>
  <c r="H374" i="15"/>
  <c r="H189" i="33"/>
  <c r="H51" i="32"/>
  <c r="H387" i="33"/>
  <c r="H34" i="16"/>
  <c r="H90" i="15"/>
  <c r="H250" i="33"/>
  <c r="H29" i="33"/>
  <c r="H103" i="32"/>
  <c r="H10" i="23"/>
  <c r="H558" i="15"/>
  <c r="H180" i="32"/>
  <c r="H52" i="35"/>
  <c r="H307" i="33"/>
  <c r="H90" i="33"/>
  <c r="H467" i="33"/>
  <c r="H164" i="32"/>
  <c r="H411" i="32"/>
  <c r="H65" i="23"/>
  <c r="H74" i="15"/>
  <c r="H10" i="15"/>
  <c r="H86" i="23"/>
  <c r="H217" i="23"/>
  <c r="H542" i="15"/>
  <c r="H79" i="34"/>
  <c r="H241" i="32"/>
  <c r="H436" i="32"/>
  <c r="H158" i="15"/>
  <c r="H113" i="35"/>
  <c r="H56" i="34"/>
  <c r="H368" i="33"/>
  <c r="H221" i="32"/>
  <c r="H10" i="16"/>
  <c r="H124" i="23"/>
  <c r="H142" i="15"/>
  <c r="H58" i="15"/>
  <c r="H71" i="35"/>
  <c r="H136" i="35"/>
  <c r="H178" i="35"/>
  <c r="H220" i="35"/>
  <c r="H282" i="32"/>
  <c r="H82" i="16"/>
  <c r="H179" i="23"/>
  <c r="H290" i="15"/>
  <c r="H210" i="15"/>
  <c r="H330" i="33"/>
  <c r="H109" i="33"/>
  <c r="H334" i="32"/>
  <c r="H590" i="15"/>
  <c r="H510" i="15"/>
  <c r="H426" i="15"/>
  <c r="H342" i="15"/>
  <c r="H258" i="15"/>
  <c r="H110" i="15"/>
  <c r="H147" i="33"/>
  <c r="H410" i="33"/>
  <c r="H10" i="32"/>
  <c r="H474" i="15"/>
  <c r="H208" i="33"/>
  <c r="H67" i="32"/>
  <c r="H10" i="34"/>
  <c r="H26" i="15"/>
  <c r="H10" i="35"/>
  <c r="H269" i="33"/>
  <c r="H48" i="33"/>
  <c r="H128" i="32"/>
  <c r="H27" i="23"/>
  <c r="H144" i="32"/>
  <c r="H162" i="23"/>
  <c r="H226" i="15"/>
  <c r="H102" i="34"/>
  <c r="H526" i="15"/>
  <c r="H42" i="15"/>
  <c r="H442" i="15"/>
  <c r="H128" i="33"/>
  <c r="H87" i="32"/>
  <c r="H239" i="35"/>
  <c r="H205" i="32"/>
  <c r="H274" i="15"/>
  <c r="H197" i="35"/>
  <c r="H395" i="32"/>
  <c r="H349" i="33"/>
  <c r="H310" i="15"/>
  <c r="H103" i="23"/>
  <c r="H257" i="32"/>
  <c r="H130" i="16"/>
  <c r="H106" i="16"/>
  <c r="H574" i="15"/>
  <c r="H190" i="15"/>
  <c r="H125" i="34"/>
  <c r="H170" i="33"/>
  <c r="H390" i="15"/>
  <c r="H227" i="33"/>
  <c r="H10" i="33"/>
  <c r="H298" i="32"/>
  <c r="H358" i="15"/>
  <c r="H155" i="35"/>
  <c r="H33" i="34"/>
  <c r="H29" i="35"/>
  <c r="H288" i="33"/>
  <c r="H67" i="33"/>
  <c r="H359" i="32"/>
  <c r="H26" i="32"/>
  <c r="H58" i="16"/>
  <c r="H48" i="23"/>
  <c r="H200" i="23"/>
  <c r="H126" i="15"/>
  <c r="H94" i="35"/>
  <c r="C8" i="30"/>
  <c r="R189" i="33"/>
  <c r="AG334" i="32"/>
  <c r="R51" i="32"/>
  <c r="AG426" i="15"/>
  <c r="AG342" i="15"/>
  <c r="AG258" i="15"/>
  <c r="R298" i="32"/>
  <c r="AG155" i="35"/>
  <c r="AG257" i="32"/>
  <c r="AG58" i="16"/>
  <c r="R442" i="15"/>
  <c r="R466" i="15" s="1"/>
  <c r="R467" i="15" s="1"/>
  <c r="R250" i="33"/>
  <c r="AG147" i="33"/>
  <c r="R29" i="33"/>
  <c r="R103" i="32"/>
  <c r="AG10" i="32"/>
  <c r="R10" i="23"/>
  <c r="R558" i="15"/>
  <c r="R52" i="35"/>
  <c r="R307" i="33"/>
  <c r="AG208" i="33"/>
  <c r="R90" i="33"/>
  <c r="R467" i="33"/>
  <c r="R164" i="32"/>
  <c r="AG67" i="32"/>
  <c r="R411" i="32"/>
  <c r="R65" i="23"/>
  <c r="R74" i="15"/>
  <c r="R10" i="15"/>
  <c r="AG128" i="33"/>
  <c r="R130" i="16"/>
  <c r="R113" i="35"/>
  <c r="AG10" i="35"/>
  <c r="R56" i="34"/>
  <c r="R368" i="33"/>
  <c r="AG269" i="33"/>
  <c r="AG48" i="33"/>
  <c r="R221" i="32"/>
  <c r="AG128" i="32"/>
  <c r="R10" i="16"/>
  <c r="R124" i="23"/>
  <c r="AG27" i="23"/>
  <c r="R142" i="15"/>
  <c r="R166" i="15" s="1"/>
  <c r="R167" i="15" s="1"/>
  <c r="R58" i="15"/>
  <c r="R358" i="15"/>
  <c r="R178" i="35"/>
  <c r="AG71" i="35"/>
  <c r="R220" i="35"/>
  <c r="AG10" i="34"/>
  <c r="AG330" i="33"/>
  <c r="AG109" i="33"/>
  <c r="R282" i="32"/>
  <c r="AG180" i="32"/>
  <c r="R82" i="16"/>
  <c r="R179" i="23"/>
  <c r="AG86" i="23"/>
  <c r="R290" i="15"/>
  <c r="R210" i="15"/>
  <c r="AG110" i="15"/>
  <c r="AG26" i="15"/>
  <c r="AG349" i="33"/>
  <c r="R106" i="16"/>
  <c r="R390" i="15"/>
  <c r="R226" i="15"/>
  <c r="AG136" i="35"/>
  <c r="AG79" i="34"/>
  <c r="AG387" i="33"/>
  <c r="R334" i="32"/>
  <c r="AG241" i="32"/>
  <c r="AG34" i="16"/>
  <c r="AG141" i="23"/>
  <c r="R590" i="15"/>
  <c r="R510" i="15"/>
  <c r="R426" i="15"/>
  <c r="R342" i="15"/>
  <c r="R366" i="15" s="1"/>
  <c r="R367" i="15" s="1"/>
  <c r="R258" i="15"/>
  <c r="AG158" i="15"/>
  <c r="AG126" i="15"/>
  <c r="AG197" i="35"/>
  <c r="R147" i="33"/>
  <c r="R410" i="33"/>
  <c r="AG298" i="32"/>
  <c r="R10" i="32"/>
  <c r="AG106" i="16"/>
  <c r="R474" i="15"/>
  <c r="AG390" i="15"/>
  <c r="AG310" i="15"/>
  <c r="AG226" i="15"/>
  <c r="AG94" i="35"/>
  <c r="AG103" i="23"/>
  <c r="R310" i="15"/>
  <c r="R208" i="33"/>
  <c r="AG359" i="32"/>
  <c r="R67" i="32"/>
  <c r="AG442" i="15"/>
  <c r="AG358" i="15"/>
  <c r="R197" i="35"/>
  <c r="AG162" i="23"/>
  <c r="R274" i="15"/>
  <c r="R10" i="35"/>
  <c r="R269" i="33"/>
  <c r="AG170" i="33"/>
  <c r="R48" i="33"/>
  <c r="R128" i="32"/>
  <c r="AG26" i="32"/>
  <c r="R27" i="23"/>
  <c r="R359" i="32"/>
  <c r="R71" i="35"/>
  <c r="R10" i="34"/>
  <c r="R330" i="33"/>
  <c r="AG227" i="33"/>
  <c r="R109" i="33"/>
  <c r="AG10" i="33"/>
  <c r="R180" i="32"/>
  <c r="AG87" i="32"/>
  <c r="R86" i="23"/>
  <c r="R217" i="23"/>
  <c r="R542" i="15"/>
  <c r="R110" i="15"/>
  <c r="R26" i="15"/>
  <c r="AG190" i="15"/>
  <c r="R136" i="35"/>
  <c r="AG29" i="35"/>
  <c r="R79" i="34"/>
  <c r="R387" i="33"/>
  <c r="AG288" i="33"/>
  <c r="AG67" i="33"/>
  <c r="R448" i="33"/>
  <c r="R241" i="32"/>
  <c r="AG144" i="32"/>
  <c r="R436" i="32"/>
  <c r="R34" i="16"/>
  <c r="R141" i="23"/>
  <c r="AG48" i="23"/>
  <c r="R158" i="15"/>
  <c r="R90" i="15"/>
  <c r="AG33" i="34"/>
  <c r="AG205" i="32"/>
  <c r="AG42" i="15"/>
  <c r="AG102" i="34"/>
  <c r="AG56" i="34"/>
  <c r="AG410" i="15"/>
  <c r="R42" i="15"/>
  <c r="R239" i="35"/>
  <c r="AG250" i="33"/>
  <c r="AG29" i="33"/>
  <c r="R429" i="33"/>
  <c r="R205" i="32"/>
  <c r="AG458" i="15"/>
  <c r="R288" i="33"/>
  <c r="R26" i="32"/>
  <c r="AG179" i="23"/>
  <c r="AG318" i="32"/>
  <c r="R395" i="32"/>
  <c r="AG10" i="16"/>
  <c r="AG290" i="15"/>
  <c r="AG10" i="23"/>
  <c r="AG142" i="15"/>
  <c r="AG90" i="15"/>
  <c r="AG65" i="23"/>
  <c r="R326" i="15"/>
  <c r="AG52" i="35"/>
  <c r="AG307" i="33"/>
  <c r="AG90" i="33"/>
  <c r="R257" i="32"/>
  <c r="AG164" i="32"/>
  <c r="R58" i="16"/>
  <c r="AG282" i="32"/>
  <c r="R144" i="32"/>
  <c r="R170" i="33"/>
  <c r="AG375" i="32"/>
  <c r="AG51" i="32"/>
  <c r="AG82" i="16"/>
  <c r="R410" i="15"/>
  <c r="R125" i="34"/>
  <c r="R574" i="15"/>
  <c r="R162" i="23"/>
  <c r="AG113" i="35"/>
  <c r="R33" i="34"/>
  <c r="AG368" i="33"/>
  <c r="R318" i="32"/>
  <c r="AG326" i="15"/>
  <c r="AG210" i="15"/>
  <c r="AG178" i="35"/>
  <c r="R375" i="32"/>
  <c r="R190" i="15"/>
  <c r="AG189" i="33"/>
  <c r="R242" i="15"/>
  <c r="R266" i="15" s="1"/>
  <c r="R267" i="15" s="1"/>
  <c r="R227" i="33"/>
  <c r="R10" i="33"/>
  <c r="AG103" i="32"/>
  <c r="R458" i="15"/>
  <c r="AG124" i="23"/>
  <c r="R102" i="34"/>
  <c r="R526" i="15"/>
  <c r="AG10" i="15"/>
  <c r="R67" i="33"/>
  <c r="R490" i="15"/>
  <c r="R29" i="35"/>
  <c r="R155" i="35"/>
  <c r="R48" i="23"/>
  <c r="R200" i="23"/>
  <c r="R126" i="15"/>
  <c r="AG58" i="15"/>
  <c r="R94" i="35"/>
  <c r="R349" i="33"/>
  <c r="R128" i="33"/>
  <c r="AG221" i="32"/>
  <c r="AG490" i="15"/>
  <c r="AG242" i="15"/>
  <c r="R87" i="32"/>
  <c r="R452" i="32"/>
  <c r="R374" i="15"/>
  <c r="R103" i="23"/>
  <c r="T42" i="18"/>
  <c r="T35" i="18"/>
  <c r="T36" i="18" s="1"/>
  <c r="M45" i="18"/>
  <c r="M46" i="18" s="1"/>
  <c r="T33" i="18"/>
  <c r="C12" i="30"/>
  <c r="S250" i="33" l="1"/>
  <c r="AH147" i="33"/>
  <c r="S29" i="33"/>
  <c r="S103" i="32"/>
  <c r="AH10" i="32"/>
  <c r="S10" i="23"/>
  <c r="S558" i="15"/>
  <c r="S52" i="35"/>
  <c r="S307" i="33"/>
  <c r="AH208" i="33"/>
  <c r="S90" i="33"/>
  <c r="S467" i="33"/>
  <c r="S164" i="32"/>
  <c r="AH67" i="32"/>
  <c r="S411" i="32"/>
  <c r="S65" i="23"/>
  <c r="S74" i="15"/>
  <c r="S10" i="15"/>
  <c r="AH326" i="15"/>
  <c r="S113" i="35"/>
  <c r="AH10" i="35"/>
  <c r="S56" i="34"/>
  <c r="S368" i="33"/>
  <c r="AH269" i="33"/>
  <c r="AH48" i="33"/>
  <c r="S221" i="32"/>
  <c r="AH128" i="32"/>
  <c r="S10" i="16"/>
  <c r="S124" i="23"/>
  <c r="AH27" i="23"/>
  <c r="S142" i="15"/>
  <c r="S58" i="15"/>
  <c r="AH102" i="34"/>
  <c r="S359" i="32"/>
  <c r="S170" i="33"/>
  <c r="AH490" i="15"/>
  <c r="S178" i="35"/>
  <c r="AH71" i="35"/>
  <c r="S220" i="35"/>
  <c r="AH10" i="34"/>
  <c r="AH330" i="33"/>
  <c r="AH109" i="33"/>
  <c r="S282" i="32"/>
  <c r="AH180" i="32"/>
  <c r="S82" i="16"/>
  <c r="S179" i="23"/>
  <c r="AH86" i="23"/>
  <c r="S290" i="15"/>
  <c r="S210" i="15"/>
  <c r="AH110" i="15"/>
  <c r="AH26" i="15"/>
  <c r="AH162" i="23"/>
  <c r="AH136" i="35"/>
  <c r="AH79" i="34"/>
  <c r="AH387" i="33"/>
  <c r="S334" i="32"/>
  <c r="AH241" i="32"/>
  <c r="AH34" i="16"/>
  <c r="AH141" i="23"/>
  <c r="S590" i="15"/>
  <c r="S510" i="15"/>
  <c r="S426" i="15"/>
  <c r="S342" i="15"/>
  <c r="S258" i="15"/>
  <c r="AH158" i="15"/>
  <c r="AH155" i="35"/>
  <c r="S442" i="15"/>
  <c r="S274" i="15"/>
  <c r="AH190" i="15"/>
  <c r="AH242" i="15"/>
  <c r="AH197" i="35"/>
  <c r="S147" i="33"/>
  <c r="S410" i="33"/>
  <c r="AH298" i="32"/>
  <c r="S10" i="32"/>
  <c r="AH106" i="16"/>
  <c r="S474" i="15"/>
  <c r="AH390" i="15"/>
  <c r="AH310" i="15"/>
  <c r="AH226" i="15"/>
  <c r="AH410" i="15"/>
  <c r="S208" i="33"/>
  <c r="AH359" i="32"/>
  <c r="S67" i="32"/>
  <c r="AH442" i="15"/>
  <c r="AH358" i="15"/>
  <c r="S10" i="35"/>
  <c r="S269" i="33"/>
  <c r="AH170" i="33"/>
  <c r="S48" i="33"/>
  <c r="S128" i="32"/>
  <c r="AH26" i="32"/>
  <c r="S27" i="23"/>
  <c r="AH257" i="32"/>
  <c r="S26" i="32"/>
  <c r="S574" i="15"/>
  <c r="S71" i="35"/>
  <c r="S10" i="34"/>
  <c r="S330" i="33"/>
  <c r="AH227" i="33"/>
  <c r="S109" i="33"/>
  <c r="AH10" i="33"/>
  <c r="S180" i="32"/>
  <c r="AH87" i="32"/>
  <c r="S86" i="23"/>
  <c r="S217" i="23"/>
  <c r="S542" i="15"/>
  <c r="S110" i="15"/>
  <c r="S26" i="15"/>
  <c r="S136" i="35"/>
  <c r="AH29" i="35"/>
  <c r="S79" i="34"/>
  <c r="S387" i="33"/>
  <c r="AH288" i="33"/>
  <c r="AH67" i="33"/>
  <c r="S448" i="33"/>
  <c r="S241" i="32"/>
  <c r="AH144" i="32"/>
  <c r="S436" i="32"/>
  <c r="S34" i="16"/>
  <c r="S141" i="23"/>
  <c r="AH48" i="23"/>
  <c r="S158" i="15"/>
  <c r="S90" i="15"/>
  <c r="S197" i="35"/>
  <c r="AH94" i="35"/>
  <c r="AH33" i="34"/>
  <c r="AH349" i="33"/>
  <c r="AH128" i="33"/>
  <c r="S298" i="32"/>
  <c r="AH205" i="32"/>
  <c r="S106" i="16"/>
  <c r="S130" i="16"/>
  <c r="AH103" i="23"/>
  <c r="S390" i="15"/>
  <c r="S310" i="15"/>
  <c r="S226" i="15"/>
  <c r="AH126" i="15"/>
  <c r="AH42" i="15"/>
  <c r="AH58" i="16"/>
  <c r="S358" i="15"/>
  <c r="AH318" i="32"/>
  <c r="S239" i="35"/>
  <c r="AH250" i="33"/>
  <c r="AH29" i="33"/>
  <c r="S429" i="33"/>
  <c r="S205" i="32"/>
  <c r="S395" i="32"/>
  <c r="AH10" i="16"/>
  <c r="AH290" i="15"/>
  <c r="S48" i="23"/>
  <c r="AH58" i="15"/>
  <c r="S155" i="35"/>
  <c r="S189" i="33"/>
  <c r="AH10" i="23"/>
  <c r="AH458" i="15"/>
  <c r="AH90" i="15"/>
  <c r="S190" i="15"/>
  <c r="AH282" i="32"/>
  <c r="AH52" i="35"/>
  <c r="AH307" i="33"/>
  <c r="AH90" i="33"/>
  <c r="S257" i="32"/>
  <c r="AH375" i="32"/>
  <c r="AH51" i="32"/>
  <c r="AH82" i="16"/>
  <c r="S410" i="15"/>
  <c r="AH342" i="15"/>
  <c r="S326" i="15"/>
  <c r="AH56" i="34"/>
  <c r="AH65" i="23"/>
  <c r="AH142" i="15"/>
  <c r="AH113" i="35"/>
  <c r="S33" i="34"/>
  <c r="AH368" i="33"/>
  <c r="S126" i="15"/>
  <c r="S125" i="34"/>
  <c r="S490" i="15"/>
  <c r="S318" i="32"/>
  <c r="S227" i="33"/>
  <c r="S10" i="33"/>
  <c r="AH103" i="32"/>
  <c r="S458" i="15"/>
  <c r="AH10" i="15"/>
  <c r="S51" i="32"/>
  <c r="S67" i="33"/>
  <c r="S58" i="16"/>
  <c r="AH258" i="15"/>
  <c r="S200" i="23"/>
  <c r="S42" i="15"/>
  <c r="AH124" i="23"/>
  <c r="AH210" i="15"/>
  <c r="S526" i="15"/>
  <c r="S29" i="35"/>
  <c r="S288" i="33"/>
  <c r="AH164" i="32"/>
  <c r="AH179" i="23"/>
  <c r="S144" i="32"/>
  <c r="S162" i="23"/>
  <c r="AH178" i="35"/>
  <c r="S102" i="34"/>
  <c r="S375" i="32"/>
  <c r="AH426" i="15"/>
  <c r="S242" i="15"/>
  <c r="AH334" i="32"/>
  <c r="S94" i="35"/>
  <c r="S349" i="33"/>
  <c r="S128" i="33"/>
  <c r="AH221" i="32"/>
  <c r="S87" i="32"/>
  <c r="S452" i="32"/>
  <c r="S374" i="15"/>
  <c r="S103" i="23"/>
  <c r="AH189" i="33"/>
  <c r="G155" i="35"/>
  <c r="G102" i="34"/>
  <c r="G125" i="34"/>
  <c r="G257" i="32"/>
  <c r="G58" i="16"/>
  <c r="G162" i="23"/>
  <c r="G200" i="23"/>
  <c r="G526" i="15"/>
  <c r="G190" i="15"/>
  <c r="G27" i="23"/>
  <c r="G10" i="34"/>
  <c r="G109" i="33"/>
  <c r="G26" i="15"/>
  <c r="G429" i="33"/>
  <c r="G318" i="32"/>
  <c r="G452" i="32"/>
  <c r="G490" i="15"/>
  <c r="G410" i="15"/>
  <c r="G326" i="15"/>
  <c r="G242" i="15"/>
  <c r="G375" i="32"/>
  <c r="G458" i="15"/>
  <c r="G374" i="15"/>
  <c r="G189" i="33"/>
  <c r="G51" i="32"/>
  <c r="G10" i="35"/>
  <c r="G48" i="33"/>
  <c r="G71" i="35"/>
  <c r="G250" i="33"/>
  <c r="G29" i="33"/>
  <c r="G103" i="32"/>
  <c r="G10" i="23"/>
  <c r="G558" i="15"/>
  <c r="G128" i="32"/>
  <c r="G86" i="23"/>
  <c r="G542" i="15"/>
  <c r="G110" i="15"/>
  <c r="G52" i="35"/>
  <c r="G307" i="33"/>
  <c r="G90" i="33"/>
  <c r="G467" i="33"/>
  <c r="G164" i="32"/>
  <c r="G411" i="32"/>
  <c r="G65" i="23"/>
  <c r="G74" i="15"/>
  <c r="G10" i="15"/>
  <c r="G269" i="33"/>
  <c r="G113" i="35"/>
  <c r="G56" i="34"/>
  <c r="G368" i="33"/>
  <c r="G221" i="32"/>
  <c r="G10" i="16"/>
  <c r="G124" i="23"/>
  <c r="G142" i="15"/>
  <c r="G58" i="15"/>
  <c r="G330" i="33"/>
  <c r="G178" i="35"/>
  <c r="G220" i="35"/>
  <c r="G282" i="32"/>
  <c r="G82" i="16"/>
  <c r="G179" i="23"/>
  <c r="G290" i="15"/>
  <c r="G210" i="15"/>
  <c r="G180" i="32"/>
  <c r="G217" i="23"/>
  <c r="G334" i="32"/>
  <c r="G590" i="15"/>
  <c r="G510" i="15"/>
  <c r="G426" i="15"/>
  <c r="G342" i="15"/>
  <c r="G258" i="15"/>
  <c r="G147" i="33"/>
  <c r="G410" i="33"/>
  <c r="G10" i="32"/>
  <c r="G474" i="15"/>
  <c r="G208" i="33"/>
  <c r="G67" i="32"/>
  <c r="G106" i="16"/>
  <c r="G574" i="15"/>
  <c r="G358" i="15"/>
  <c r="G144" i="32"/>
  <c r="G158" i="15"/>
  <c r="G42" i="15"/>
  <c r="G448" i="33"/>
  <c r="G48" i="23"/>
  <c r="G128" i="33"/>
  <c r="G87" i="32"/>
  <c r="G136" i="35"/>
  <c r="G387" i="33"/>
  <c r="G34" i="16"/>
  <c r="G126" i="15"/>
  <c r="G239" i="35"/>
  <c r="G205" i="32"/>
  <c r="G141" i="23"/>
  <c r="G226" i="15"/>
  <c r="G94" i="35"/>
  <c r="G197" i="35"/>
  <c r="G395" i="32"/>
  <c r="G310" i="15"/>
  <c r="G130" i="16"/>
  <c r="G274" i="15"/>
  <c r="G436" i="32"/>
  <c r="G390" i="15"/>
  <c r="G227" i="33"/>
  <c r="G10" i="33"/>
  <c r="G170" i="33"/>
  <c r="G90" i="15"/>
  <c r="G241" i="32"/>
  <c r="G33" i="34"/>
  <c r="G298" i="32"/>
  <c r="G349" i="33"/>
  <c r="G103" i="23"/>
  <c r="G442" i="15"/>
  <c r="G29" i="35"/>
  <c r="G288" i="33"/>
  <c r="G67" i="33"/>
  <c r="G79" i="34"/>
  <c r="G359" i="32"/>
  <c r="G26" i="32"/>
  <c r="C7" i="30"/>
  <c r="C13" i="30"/>
  <c r="T52" i="35" l="1"/>
  <c r="T307" i="33"/>
  <c r="AI208" i="33"/>
  <c r="T90" i="33"/>
  <c r="T467" i="33"/>
  <c r="T164" i="32"/>
  <c r="AI67" i="32"/>
  <c r="T411" i="32"/>
  <c r="T65" i="23"/>
  <c r="T74" i="15"/>
  <c r="T10" i="15"/>
  <c r="T574" i="15"/>
  <c r="T227" i="33"/>
  <c r="T395" i="32"/>
  <c r="T113" i="35"/>
  <c r="AI10" i="35"/>
  <c r="T56" i="34"/>
  <c r="T368" i="33"/>
  <c r="AI269" i="33"/>
  <c r="AI48" i="33"/>
  <c r="T221" i="32"/>
  <c r="AI128" i="32"/>
  <c r="T10" i="16"/>
  <c r="T124" i="23"/>
  <c r="AI27" i="23"/>
  <c r="T142" i="15"/>
  <c r="T58" i="15"/>
  <c r="T26" i="32"/>
  <c r="T10" i="33"/>
  <c r="T178" i="35"/>
  <c r="AI71" i="35"/>
  <c r="T220" i="35"/>
  <c r="AI10" i="34"/>
  <c r="AI330" i="33"/>
  <c r="AI109" i="33"/>
  <c r="T282" i="32"/>
  <c r="AI180" i="32"/>
  <c r="T82" i="16"/>
  <c r="T179" i="23"/>
  <c r="AI86" i="23"/>
  <c r="T290" i="15"/>
  <c r="T210" i="15"/>
  <c r="AI110" i="15"/>
  <c r="AI26" i="15"/>
  <c r="AI136" i="35"/>
  <c r="AI79" i="34"/>
  <c r="AI387" i="33"/>
  <c r="T334" i="32"/>
  <c r="AI241" i="32"/>
  <c r="AI34" i="16"/>
  <c r="AI141" i="23"/>
  <c r="T590" i="15"/>
  <c r="T510" i="15"/>
  <c r="T426" i="15"/>
  <c r="T342" i="15"/>
  <c r="T258" i="15"/>
  <c r="AI158" i="15"/>
  <c r="AI242" i="15"/>
  <c r="AI197" i="35"/>
  <c r="T147" i="33"/>
  <c r="T410" i="33"/>
  <c r="AI298" i="32"/>
  <c r="T10" i="32"/>
  <c r="AI106" i="16"/>
  <c r="T474" i="15"/>
  <c r="AI390" i="15"/>
  <c r="AI310" i="15"/>
  <c r="AI226" i="15"/>
  <c r="AI490" i="15"/>
  <c r="AI410" i="15"/>
  <c r="AI326" i="15"/>
  <c r="T208" i="33"/>
  <c r="AI359" i="32"/>
  <c r="T67" i="32"/>
  <c r="AI442" i="15"/>
  <c r="AI358" i="15"/>
  <c r="T10" i="35"/>
  <c r="T269" i="33"/>
  <c r="AI170" i="33"/>
  <c r="T48" i="33"/>
  <c r="T128" i="32"/>
  <c r="AI26" i="32"/>
  <c r="T27" i="23"/>
  <c r="T71" i="35"/>
  <c r="T10" i="34"/>
  <c r="T330" i="33"/>
  <c r="AI227" i="33"/>
  <c r="T109" i="33"/>
  <c r="AI10" i="33"/>
  <c r="T180" i="32"/>
  <c r="AI87" i="32"/>
  <c r="T86" i="23"/>
  <c r="T217" i="23"/>
  <c r="T542" i="15"/>
  <c r="T110" i="15"/>
  <c r="T26" i="15"/>
  <c r="AI375" i="32"/>
  <c r="T87" i="32"/>
  <c r="T136" i="35"/>
  <c r="AI29" i="35"/>
  <c r="T79" i="34"/>
  <c r="T387" i="33"/>
  <c r="AI288" i="33"/>
  <c r="AI67" i="33"/>
  <c r="T448" i="33"/>
  <c r="T241" i="32"/>
  <c r="AI144" i="32"/>
  <c r="T436" i="32"/>
  <c r="T34" i="16"/>
  <c r="T141" i="23"/>
  <c r="AI48" i="23"/>
  <c r="T158" i="15"/>
  <c r="T90" i="15"/>
  <c r="T197" i="35"/>
  <c r="AI94" i="35"/>
  <c r="AI33" i="34"/>
  <c r="AI349" i="33"/>
  <c r="AI128" i="33"/>
  <c r="T298" i="32"/>
  <c r="AI205" i="32"/>
  <c r="T106" i="16"/>
  <c r="T130" i="16"/>
  <c r="AI103" i="23"/>
  <c r="T390" i="15"/>
  <c r="T310" i="15"/>
  <c r="T226" i="15"/>
  <c r="AI126" i="15"/>
  <c r="AI42" i="15"/>
  <c r="AI155" i="35"/>
  <c r="AI102" i="34"/>
  <c r="T359" i="32"/>
  <c r="AI257" i="32"/>
  <c r="AI58" i="16"/>
  <c r="AI162" i="23"/>
  <c r="T442" i="15"/>
  <c r="T358" i="15"/>
  <c r="T274" i="15"/>
  <c r="AI190" i="15"/>
  <c r="T170" i="33"/>
  <c r="AI318" i="32"/>
  <c r="AI458" i="15"/>
  <c r="AI10" i="16"/>
  <c r="AI290" i="15"/>
  <c r="T189" i="33"/>
  <c r="AI10" i="23"/>
  <c r="AI90" i="15"/>
  <c r="T558" i="15"/>
  <c r="T410" i="15"/>
  <c r="AI342" i="15"/>
  <c r="T48" i="23"/>
  <c r="T42" i="15"/>
  <c r="T239" i="35"/>
  <c r="T429" i="33"/>
  <c r="AI52" i="35"/>
  <c r="AI307" i="33"/>
  <c r="AI90" i="33"/>
  <c r="T257" i="32"/>
  <c r="T10" i="23"/>
  <c r="T458" i="15"/>
  <c r="T103" i="32"/>
  <c r="T200" i="23"/>
  <c r="T128" i="33"/>
  <c r="AI51" i="32"/>
  <c r="AI82" i="16"/>
  <c r="T250" i="33"/>
  <c r="T29" i="33"/>
  <c r="AI65" i="23"/>
  <c r="AI142" i="15"/>
  <c r="T162" i="23"/>
  <c r="T490" i="15"/>
  <c r="AI113" i="35"/>
  <c r="T33" i="34"/>
  <c r="AI368" i="33"/>
  <c r="T318" i="32"/>
  <c r="AI103" i="32"/>
  <c r="AI221" i="32"/>
  <c r="AI10" i="32"/>
  <c r="AI124" i="23"/>
  <c r="AI210" i="15"/>
  <c r="AI179" i="23"/>
  <c r="AI147" i="33"/>
  <c r="T126" i="15"/>
  <c r="AI189" i="33"/>
  <c r="AI178" i="35"/>
  <c r="T102" i="34"/>
  <c r="T375" i="32"/>
  <c r="T51" i="32"/>
  <c r="T526" i="15"/>
  <c r="AI10" i="15"/>
  <c r="T58" i="16"/>
  <c r="AI258" i="15"/>
  <c r="AI58" i="15"/>
  <c r="T94" i="35"/>
  <c r="T144" i="32"/>
  <c r="AI56" i="34"/>
  <c r="AI334" i="32"/>
  <c r="AI29" i="33"/>
  <c r="T29" i="35"/>
  <c r="T288" i="33"/>
  <c r="T67" i="33"/>
  <c r="AI164" i="32"/>
  <c r="T326" i="15"/>
  <c r="T349" i="33"/>
  <c r="AI426" i="15"/>
  <c r="T242" i="15"/>
  <c r="AI250" i="33"/>
  <c r="T205" i="32"/>
  <c r="T452" i="32"/>
  <c r="T374" i="15"/>
  <c r="T103" i="23"/>
  <c r="T190" i="15"/>
  <c r="T155" i="35"/>
  <c r="T125" i="34"/>
  <c r="AI282" i="32"/>
  <c r="F94" i="35"/>
  <c r="F239" i="35"/>
  <c r="F33" i="34"/>
  <c r="F349" i="33"/>
  <c r="F128" i="33"/>
  <c r="F205" i="32"/>
  <c r="F103" i="23"/>
  <c r="F126" i="15"/>
  <c r="F42" i="15"/>
  <c r="F155" i="35"/>
  <c r="F102" i="34"/>
  <c r="F125" i="34"/>
  <c r="F257" i="32"/>
  <c r="F58" i="16"/>
  <c r="F162" i="23"/>
  <c r="F200" i="23"/>
  <c r="F526" i="15"/>
  <c r="F190" i="15"/>
  <c r="F429" i="33"/>
  <c r="F318" i="32"/>
  <c r="F452" i="32"/>
  <c r="F490" i="15"/>
  <c r="F410" i="15"/>
  <c r="F326" i="15"/>
  <c r="F242" i="15"/>
  <c r="F375" i="32"/>
  <c r="F458" i="15"/>
  <c r="F374" i="15"/>
  <c r="F189" i="33"/>
  <c r="F51" i="32"/>
  <c r="F250" i="33"/>
  <c r="F29" i="33"/>
  <c r="F103" i="32"/>
  <c r="F10" i="23"/>
  <c r="F558" i="15"/>
  <c r="F52" i="35"/>
  <c r="F307" i="33"/>
  <c r="F90" i="33"/>
  <c r="F467" i="33"/>
  <c r="F164" i="32"/>
  <c r="F411" i="32"/>
  <c r="F65" i="23"/>
  <c r="F74" i="15"/>
  <c r="F10" i="15"/>
  <c r="F113" i="35"/>
  <c r="F56" i="34"/>
  <c r="F368" i="33"/>
  <c r="F221" i="32"/>
  <c r="F10" i="16"/>
  <c r="F124" i="23"/>
  <c r="F142" i="15"/>
  <c r="F58" i="15"/>
  <c r="F269" i="33"/>
  <c r="F48" i="33"/>
  <c r="F128" i="32"/>
  <c r="F27" i="23"/>
  <c r="F178" i="35"/>
  <c r="F220" i="35"/>
  <c r="F282" i="32"/>
  <c r="F82" i="16"/>
  <c r="F179" i="23"/>
  <c r="F290" i="15"/>
  <c r="F210" i="15"/>
  <c r="F10" i="35"/>
  <c r="F334" i="32"/>
  <c r="F590" i="15"/>
  <c r="F510" i="15"/>
  <c r="F426" i="15"/>
  <c r="F342" i="15"/>
  <c r="F258" i="15"/>
  <c r="F147" i="33"/>
  <c r="F410" i="33"/>
  <c r="F10" i="32"/>
  <c r="F474" i="15"/>
  <c r="F208" i="33"/>
  <c r="F67" i="32"/>
  <c r="F71" i="35"/>
  <c r="F330" i="33"/>
  <c r="F109" i="33"/>
  <c r="F106" i="16"/>
  <c r="F574" i="15"/>
  <c r="F358" i="15"/>
  <c r="F542" i="15"/>
  <c r="F10" i="33"/>
  <c r="F34" i="16"/>
  <c r="F144" i="32"/>
  <c r="F86" i="23"/>
  <c r="F158" i="15"/>
  <c r="F26" i="15"/>
  <c r="F48" i="23"/>
  <c r="F136" i="35"/>
  <c r="F387" i="33"/>
  <c r="F141" i="23"/>
  <c r="F226" i="15"/>
  <c r="F197" i="35"/>
  <c r="F395" i="32"/>
  <c r="F180" i="32"/>
  <c r="F90" i="15"/>
  <c r="F241" i="32"/>
  <c r="F227" i="33"/>
  <c r="F110" i="15"/>
  <c r="F130" i="16"/>
  <c r="F274" i="15"/>
  <c r="F217" i="23"/>
  <c r="F436" i="32"/>
  <c r="F79" i="34"/>
  <c r="F359" i="32"/>
  <c r="F310" i="15"/>
  <c r="F170" i="33"/>
  <c r="F390" i="15"/>
  <c r="F26" i="32"/>
  <c r="F448" i="33"/>
  <c r="F87" i="32"/>
  <c r="F10" i="34"/>
  <c r="F298" i="32"/>
  <c r="F442" i="15"/>
  <c r="F29" i="35"/>
  <c r="F288" i="33"/>
  <c r="F67" i="33"/>
  <c r="C14" i="30"/>
  <c r="U113" i="35" l="1"/>
  <c r="AJ10" i="35"/>
  <c r="U56" i="34"/>
  <c r="U368" i="33"/>
  <c r="AJ269" i="33"/>
  <c r="AJ48" i="33"/>
  <c r="U221" i="32"/>
  <c r="AJ128" i="32"/>
  <c r="U10" i="16"/>
  <c r="U124" i="23"/>
  <c r="AJ27" i="23"/>
  <c r="U142" i="15"/>
  <c r="U58" i="15"/>
  <c r="U395" i="32"/>
  <c r="AJ51" i="32"/>
  <c r="U178" i="35"/>
  <c r="AJ71" i="35"/>
  <c r="U220" i="35"/>
  <c r="AJ10" i="34"/>
  <c r="AJ330" i="33"/>
  <c r="AJ109" i="33"/>
  <c r="U282" i="32"/>
  <c r="AJ180" i="32"/>
  <c r="U82" i="16"/>
  <c r="U179" i="23"/>
  <c r="AJ86" i="23"/>
  <c r="U290" i="15"/>
  <c r="U210" i="15"/>
  <c r="AJ110" i="15"/>
  <c r="AJ26" i="15"/>
  <c r="U29" i="35"/>
  <c r="AJ136" i="35"/>
  <c r="AJ79" i="34"/>
  <c r="AJ387" i="33"/>
  <c r="U334" i="32"/>
  <c r="AJ241" i="32"/>
  <c r="AJ34" i="16"/>
  <c r="AJ141" i="23"/>
  <c r="U590" i="15"/>
  <c r="U510" i="15"/>
  <c r="U426" i="15"/>
  <c r="U342" i="15"/>
  <c r="U258" i="15"/>
  <c r="AJ158" i="15"/>
  <c r="U87" i="32"/>
  <c r="U67" i="33"/>
  <c r="AJ197" i="35"/>
  <c r="U147" i="33"/>
  <c r="U410" i="33"/>
  <c r="AJ298" i="32"/>
  <c r="U10" i="32"/>
  <c r="AJ106" i="16"/>
  <c r="U474" i="15"/>
  <c r="AJ390" i="15"/>
  <c r="AJ310" i="15"/>
  <c r="AJ226" i="15"/>
  <c r="U208" i="33"/>
  <c r="AJ359" i="32"/>
  <c r="U67" i="32"/>
  <c r="AJ442" i="15"/>
  <c r="AJ358" i="15"/>
  <c r="U227" i="33"/>
  <c r="AJ458" i="15"/>
  <c r="U10" i="35"/>
  <c r="U269" i="33"/>
  <c r="AJ170" i="33"/>
  <c r="U48" i="33"/>
  <c r="U128" i="32"/>
  <c r="AJ26" i="32"/>
  <c r="U27" i="23"/>
  <c r="U288" i="33"/>
  <c r="U71" i="35"/>
  <c r="U10" i="34"/>
  <c r="U330" i="33"/>
  <c r="AJ227" i="33"/>
  <c r="U109" i="33"/>
  <c r="AJ10" i="33"/>
  <c r="U180" i="32"/>
  <c r="AJ87" i="32"/>
  <c r="U86" i="23"/>
  <c r="U217" i="23"/>
  <c r="U542" i="15"/>
  <c r="U110" i="15"/>
  <c r="U26" i="15"/>
  <c r="AJ375" i="32"/>
  <c r="U136" i="35"/>
  <c r="AJ29" i="35"/>
  <c r="U79" i="34"/>
  <c r="U387" i="33"/>
  <c r="AJ288" i="33"/>
  <c r="AJ67" i="33"/>
  <c r="U448" i="33"/>
  <c r="U241" i="32"/>
  <c r="AJ144" i="32"/>
  <c r="U436" i="32"/>
  <c r="U34" i="16"/>
  <c r="U141" i="23"/>
  <c r="AJ48" i="23"/>
  <c r="U158" i="15"/>
  <c r="U90" i="15"/>
  <c r="AJ189" i="33"/>
  <c r="U144" i="32"/>
  <c r="U48" i="23"/>
  <c r="U197" i="35"/>
  <c r="AJ94" i="35"/>
  <c r="AJ33" i="34"/>
  <c r="AJ349" i="33"/>
  <c r="AJ128" i="33"/>
  <c r="U298" i="32"/>
  <c r="AJ205" i="32"/>
  <c r="U106" i="16"/>
  <c r="U130" i="16"/>
  <c r="AJ103" i="23"/>
  <c r="U390" i="15"/>
  <c r="U310" i="15"/>
  <c r="U226" i="15"/>
  <c r="AJ126" i="15"/>
  <c r="AJ42" i="15"/>
  <c r="AJ155" i="35"/>
  <c r="AJ102" i="34"/>
  <c r="U359" i="32"/>
  <c r="AJ257" i="32"/>
  <c r="AJ58" i="16"/>
  <c r="AJ162" i="23"/>
  <c r="U442" i="15"/>
  <c r="U358" i="15"/>
  <c r="U274" i="15"/>
  <c r="AJ190" i="15"/>
  <c r="U170" i="33"/>
  <c r="AJ318" i="32"/>
  <c r="U26" i="32"/>
  <c r="U574" i="15"/>
  <c r="AJ490" i="15"/>
  <c r="AJ410" i="15"/>
  <c r="AJ326" i="15"/>
  <c r="AJ242" i="15"/>
  <c r="U10" i="33"/>
  <c r="U189" i="33"/>
  <c r="AJ67" i="32"/>
  <c r="AJ10" i="23"/>
  <c r="AJ90" i="15"/>
  <c r="AJ52" i="35"/>
  <c r="AJ307" i="33"/>
  <c r="AJ90" i="33"/>
  <c r="U257" i="32"/>
  <c r="AJ142" i="15"/>
  <c r="U374" i="15"/>
  <c r="AJ82" i="16"/>
  <c r="U558" i="15"/>
  <c r="U410" i="15"/>
  <c r="AJ342" i="15"/>
  <c r="AJ210" i="15"/>
  <c r="U452" i="32"/>
  <c r="U10" i="15"/>
  <c r="AJ10" i="32"/>
  <c r="U42" i="15"/>
  <c r="U205" i="32"/>
  <c r="U250" i="33"/>
  <c r="U29" i="33"/>
  <c r="AJ65" i="23"/>
  <c r="AJ113" i="35"/>
  <c r="U33" i="34"/>
  <c r="AJ368" i="33"/>
  <c r="U318" i="32"/>
  <c r="AJ250" i="33"/>
  <c r="AJ290" i="15"/>
  <c r="AJ103" i="32"/>
  <c r="U10" i="23"/>
  <c r="U458" i="15"/>
  <c r="U74" i="15"/>
  <c r="U52" i="35"/>
  <c r="U307" i="33"/>
  <c r="U90" i="33"/>
  <c r="AJ124" i="23"/>
  <c r="U128" i="33"/>
  <c r="U490" i="15"/>
  <c r="U429" i="33"/>
  <c r="AJ178" i="35"/>
  <c r="U102" i="34"/>
  <c r="U375" i="32"/>
  <c r="U51" i="32"/>
  <c r="U411" i="32"/>
  <c r="U526" i="15"/>
  <c r="U103" i="32"/>
  <c r="U200" i="23"/>
  <c r="AJ58" i="15"/>
  <c r="U94" i="35"/>
  <c r="AJ56" i="34"/>
  <c r="AJ334" i="32"/>
  <c r="AJ164" i="32"/>
  <c r="U65" i="23"/>
  <c r="AJ179" i="23"/>
  <c r="AJ258" i="15"/>
  <c r="AJ10" i="15"/>
  <c r="U126" i="15"/>
  <c r="U349" i="33"/>
  <c r="AJ221" i="32"/>
  <c r="U162" i="23"/>
  <c r="U242" i="15"/>
  <c r="U58" i="16"/>
  <c r="U326" i="15"/>
  <c r="AJ147" i="33"/>
  <c r="U239" i="35"/>
  <c r="AJ29" i="33"/>
  <c r="AJ10" i="16"/>
  <c r="AJ208" i="33"/>
  <c r="U467" i="33"/>
  <c r="U164" i="32"/>
  <c r="U103" i="23"/>
  <c r="U190" i="15"/>
  <c r="U155" i="35"/>
  <c r="U125" i="34"/>
  <c r="AJ282" i="32"/>
  <c r="AJ426" i="15"/>
  <c r="D32" i="18"/>
  <c r="D35" i="18" l="1"/>
  <c r="D36" i="18" s="1"/>
  <c r="D25" i="18"/>
  <c r="D33" i="18"/>
  <c r="D42" i="18"/>
  <c r="E24" i="18"/>
  <c r="I24" i="18"/>
  <c r="I32" i="18" s="1"/>
  <c r="I35" i="18" s="1"/>
  <c r="H24" i="18"/>
  <c r="H32" i="18" s="1"/>
  <c r="H35" i="18" s="1"/>
  <c r="F24" i="18"/>
  <c r="J24" i="18"/>
  <c r="G24" i="18"/>
  <c r="K24" i="18"/>
  <c r="K32" i="18" s="1"/>
  <c r="K35" i="18" s="1"/>
  <c r="E25" i="18" l="1"/>
  <c r="E32" i="18"/>
  <c r="D45" i="18"/>
  <c r="G32" i="18"/>
  <c r="J25" i="18"/>
  <c r="J32" i="18"/>
  <c r="J35" i="18" s="1"/>
  <c r="F25" i="18"/>
  <c r="F32" i="18"/>
  <c r="F35" i="18" s="1"/>
  <c r="I25" i="18"/>
  <c r="G25" i="18"/>
  <c r="H25" i="18"/>
  <c r="H42" i="18"/>
  <c r="H33" i="18"/>
  <c r="I42" i="18"/>
  <c r="I33" i="18"/>
  <c r="K42" i="18"/>
  <c r="K33" i="18"/>
  <c r="K25" i="18"/>
  <c r="G33" i="18" l="1"/>
  <c r="G35" i="18"/>
  <c r="E35" i="18"/>
  <c r="E36" i="18" s="1"/>
  <c r="F36" i="18" s="1"/>
  <c r="D44" i="18"/>
  <c r="D46" i="18" s="1"/>
  <c r="D48" i="18" a="1"/>
  <c r="D48" i="18" s="1"/>
  <c r="G42" i="18"/>
  <c r="F42" i="18"/>
  <c r="F33" i="18"/>
  <c r="J33" i="18"/>
  <c r="J42" i="18"/>
  <c r="E33" i="18"/>
  <c r="E42" i="18"/>
  <c r="G36" i="18" l="1"/>
  <c r="H36" i="18" s="1"/>
  <c r="I36" i="18" s="1"/>
  <c r="J36" i="18" s="1"/>
  <c r="K36" i="1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<sst xmlns="http://schemas.openxmlformats.org/spreadsheetml/2006/main" count="8494" uniqueCount="388">
  <si>
    <t>(000s)</t>
  </si>
  <si>
    <t>Q1</t>
  </si>
  <si>
    <t>Q2</t>
  </si>
  <si>
    <t>Q3</t>
  </si>
  <si>
    <t>Q4</t>
  </si>
  <si>
    <t>Net Sales</t>
  </si>
  <si>
    <t>Direct Margin</t>
  </si>
  <si>
    <t>Direct Margin %</t>
  </si>
  <si>
    <t>Variances</t>
  </si>
  <si>
    <t>OHCOGS</t>
  </si>
  <si>
    <t>Gross Profit</t>
  </si>
  <si>
    <t>Gross Profit %</t>
  </si>
  <si>
    <t>R&amp;D</t>
  </si>
  <si>
    <t>S&amp;M</t>
  </si>
  <si>
    <t>G&amp;A</t>
  </si>
  <si>
    <t>All Other Period Expenses</t>
  </si>
  <si>
    <t>Restructuring</t>
  </si>
  <si>
    <t>Total Period Expenses</t>
  </si>
  <si>
    <t>Operating Profit</t>
  </si>
  <si>
    <t>OP%</t>
  </si>
  <si>
    <t>Non-Operating Expenses (Income)</t>
  </si>
  <si>
    <t>Taxes</t>
  </si>
  <si>
    <t>Net Income</t>
  </si>
  <si>
    <t>Total Net Sales</t>
  </si>
  <si>
    <t>Direct Margin at Standard</t>
  </si>
  <si>
    <t>Commerical assumptions 000s</t>
  </si>
  <si>
    <t>Direct Margin at Standard %</t>
  </si>
  <si>
    <t>Total</t>
  </si>
  <si>
    <t>Capital Expenditures</t>
  </si>
  <si>
    <t>All other Period Expenses</t>
  </si>
  <si>
    <t>$</t>
  </si>
  <si>
    <t>Accounts Payable</t>
  </si>
  <si>
    <t>Depreciation</t>
  </si>
  <si>
    <t>Change in Working Capital</t>
  </si>
  <si>
    <t>Cash</t>
  </si>
  <si>
    <t>Fixed Mfg</t>
  </si>
  <si>
    <t>Finance</t>
  </si>
  <si>
    <t>IT</t>
  </si>
  <si>
    <t>HR</t>
  </si>
  <si>
    <t>Global IT</t>
  </si>
  <si>
    <t>Actual</t>
  </si>
  <si>
    <t>Allowance for Doubtful Accounts</t>
  </si>
  <si>
    <t>Net Inventory</t>
  </si>
  <si>
    <t>Trade Accounts Payable</t>
  </si>
  <si>
    <t>Intercompany Payables</t>
  </si>
  <si>
    <t>Balance Sheet</t>
  </si>
  <si>
    <t>Project Description:</t>
  </si>
  <si>
    <t>Project Name:</t>
  </si>
  <si>
    <t>Model Currency:</t>
  </si>
  <si>
    <t>Weighted Avg Cost of Capital (WACC):</t>
  </si>
  <si>
    <t>USD</t>
  </si>
  <si>
    <t>Material Costs (Variable)</t>
  </si>
  <si>
    <t>Direct Labor (Variable)</t>
  </si>
  <si>
    <t>Variable Overheads</t>
  </si>
  <si>
    <t>Scenario Name</t>
  </si>
  <si>
    <t>Scenario Description</t>
  </si>
  <si>
    <t>Scenario 1</t>
  </si>
  <si>
    <t>Scenario 2</t>
  </si>
  <si>
    <t>Scenario 3</t>
  </si>
  <si>
    <t>Scenario 4</t>
  </si>
  <si>
    <t>Scenario 5</t>
  </si>
  <si>
    <t>Actuals</t>
  </si>
  <si>
    <t>Key In expected Dollar amounts in 000s</t>
  </si>
  <si>
    <t>(000)</t>
  </si>
  <si>
    <t>%</t>
  </si>
  <si>
    <t>Key in actuals for prior years and uploaded forecast for outer years - Pull from Internal System</t>
  </si>
  <si>
    <t>Key In expected DM%, this will shift Direct Margin Dollars in section directly above</t>
  </si>
  <si>
    <t>Product Line 1</t>
  </si>
  <si>
    <t>Product Line 2</t>
  </si>
  <si>
    <t>Product Line 3</t>
  </si>
  <si>
    <t>Product Line 4</t>
  </si>
  <si>
    <t>Product Line 5</t>
  </si>
  <si>
    <t>Product Line 6</t>
  </si>
  <si>
    <t>Product Line 7</t>
  </si>
  <si>
    <t>Commerical assumptions %</t>
  </si>
  <si>
    <t>Exchange Gain/Loss</t>
  </si>
  <si>
    <t>Overhead COGS</t>
  </si>
  <si>
    <t>blank</t>
  </si>
  <si>
    <t>Marketing</t>
  </si>
  <si>
    <t>Sales</t>
  </si>
  <si>
    <t>Blank</t>
  </si>
  <si>
    <t>Operating Expenses</t>
  </si>
  <si>
    <t>Investments Required</t>
  </si>
  <si>
    <t>Capital Expenditure 1</t>
  </si>
  <si>
    <t>Capital Expenditure 2</t>
  </si>
  <si>
    <t>Capital Expenditure 3</t>
  </si>
  <si>
    <t>Capital Expenditure 4</t>
  </si>
  <si>
    <t>Capital Expenditure 5</t>
  </si>
  <si>
    <t>All Other</t>
  </si>
  <si>
    <t>Depreciation Expense 1</t>
  </si>
  <si>
    <t>Depreciation Expense 2</t>
  </si>
  <si>
    <t>Depreciation Expense 3</t>
  </si>
  <si>
    <t>Depreciation Expense 4</t>
  </si>
  <si>
    <t>Depreciation Expense 5</t>
  </si>
  <si>
    <t>Asset Sale 1</t>
  </si>
  <si>
    <t>Asset Sale 2</t>
  </si>
  <si>
    <t>Asset Sale 3</t>
  </si>
  <si>
    <t>Asset Sale 4</t>
  </si>
  <si>
    <t>Asset Sale 5</t>
  </si>
  <si>
    <t>Other non-cash items</t>
  </si>
  <si>
    <t>E&amp;O Impact</t>
  </si>
  <si>
    <t>Asset Sale (Show As negative)</t>
  </si>
  <si>
    <t>3rd Party Expenses 1</t>
  </si>
  <si>
    <t>3rd Party Expenses 2</t>
  </si>
  <si>
    <t>3rd Party Expenses 3</t>
  </si>
  <si>
    <t>Restructuring Costs</t>
  </si>
  <si>
    <t>Fixed Asset Write offs</t>
  </si>
  <si>
    <t>Employee Severances</t>
  </si>
  <si>
    <t>3rd Party Expenses 4</t>
  </si>
  <si>
    <t>Short Term Deferred Revenue</t>
  </si>
  <si>
    <t>Finished Goods</t>
  </si>
  <si>
    <t>Raw Materials</t>
  </si>
  <si>
    <t>Capitalized Variances</t>
  </si>
  <si>
    <t>Capitalized Overhead</t>
  </si>
  <si>
    <t>E&amp;O Reserves</t>
  </si>
  <si>
    <t>Other Inventory Reserves</t>
  </si>
  <si>
    <t>Inventory (Gross Inventory + Inventory Reserves)</t>
  </si>
  <si>
    <t>Work in Progress (WIP)</t>
  </si>
  <si>
    <t>Book to Physical Reserve</t>
  </si>
  <si>
    <t>LIFO Reserves</t>
  </si>
  <si>
    <t>Trade Account Receivable</t>
  </si>
  <si>
    <t>Unbilled AR and Other Receivables</t>
  </si>
  <si>
    <t>Notes Receivable</t>
  </si>
  <si>
    <t>Sales Lease Receivable</t>
  </si>
  <si>
    <t>Interco Receivables</t>
  </si>
  <si>
    <t>Net Accounts Receivable</t>
  </si>
  <si>
    <t>Trade Payables Subledger</t>
  </si>
  <si>
    <t>Trade Payables GRNI</t>
  </si>
  <si>
    <t>Accounts Payable (Trade Accts Payable + Current Notes Payable + Intercompany Payables)</t>
  </si>
  <si>
    <t>Unearned Revenue and Customer Deposits</t>
  </si>
  <si>
    <t>Net Short Term Deferred Revenue</t>
  </si>
  <si>
    <t>Net Accounts Payable</t>
  </si>
  <si>
    <t>Retention &amp; Severances</t>
  </si>
  <si>
    <t>Accounts Receivable (Gross Trade Receivables + Allowance for Doubtful Accounts + Intercompany Recievables)</t>
  </si>
  <si>
    <t>Key In expected Ending Balance in 000s</t>
  </si>
  <si>
    <t>Actual Balances</t>
  </si>
  <si>
    <t>Key in balances for prior years and uploaded forecast for outer years - Pull from Internal System</t>
  </si>
  <si>
    <t>Tax Impact</t>
  </si>
  <si>
    <t>Corp Tax on EBT</t>
  </si>
  <si>
    <t>Tax Credits Available</t>
  </si>
  <si>
    <t>Other Tax Impact</t>
  </si>
  <si>
    <t>Investment Expenses</t>
  </si>
  <si>
    <t>Cash Flow Periodic</t>
  </si>
  <si>
    <t>Cash Flow Cumulative</t>
  </si>
  <si>
    <t>Working Capital Balance</t>
  </si>
  <si>
    <t>Total Investment</t>
  </si>
  <si>
    <t>ROIC (after-tax)</t>
  </si>
  <si>
    <t>Net Present Value</t>
  </si>
  <si>
    <t>Terminal Value</t>
  </si>
  <si>
    <t>Total EV</t>
  </si>
  <si>
    <t>Payback Period</t>
  </si>
  <si>
    <t>yrs</t>
  </si>
  <si>
    <t>pct.</t>
  </si>
  <si>
    <t>Current Year (CY):</t>
  </si>
  <si>
    <t>CY+1:</t>
  </si>
  <si>
    <t>CY+2:</t>
  </si>
  <si>
    <t>CY+3:</t>
  </si>
  <si>
    <t>CY+4:</t>
  </si>
  <si>
    <t>PY-1</t>
  </si>
  <si>
    <t>PY-2</t>
  </si>
  <si>
    <t>Prior Year (PY):</t>
  </si>
  <si>
    <t>Terminal Value (TV) Growth Rate:</t>
  </si>
  <si>
    <t>Non-Operating Expenses</t>
  </si>
  <si>
    <t>Interest Expense</t>
  </si>
  <si>
    <t>Losses on debt refinancing</t>
  </si>
  <si>
    <t>Unrealized/Realized Losses on Investments</t>
  </si>
  <si>
    <t>FX Losses</t>
  </si>
  <si>
    <t>Impairments of non-operating assets</t>
  </si>
  <si>
    <t>Legal charges/settlements</t>
  </si>
  <si>
    <t>Other non-opex</t>
  </si>
  <si>
    <t>Non-Operating Income</t>
  </si>
  <si>
    <t>Interest Income</t>
  </si>
  <si>
    <t>Investment Income</t>
  </si>
  <si>
    <t>Gains on Sale of Investments</t>
  </si>
  <si>
    <t>Gains on sale of  long-lived assets</t>
  </si>
  <si>
    <t>Foreign Exchange</t>
  </si>
  <si>
    <t>One-time legal settlements</t>
  </si>
  <si>
    <t>Key in dollar amounts for prior years and uploaded forecast for outer years - Pull from Internal System</t>
  </si>
  <si>
    <t>Other non-opex income</t>
  </si>
  <si>
    <t>Non-Operating Income (Show as negative)</t>
  </si>
  <si>
    <t>Select&gt;&gt;</t>
  </si>
  <si>
    <t>Variance</t>
  </si>
  <si>
    <t>Current State</t>
  </si>
  <si>
    <t>No Change - Only pulling actuals</t>
  </si>
  <si>
    <t>Select Scenario</t>
  </si>
  <si>
    <t>Inputs</t>
  </si>
  <si>
    <t>Key in ending balances for prior years and uploaded forecast for outer years - Pull from Internal System</t>
  </si>
  <si>
    <t>Glossary of Items: Simplification Projects</t>
  </si>
  <si>
    <t>Item</t>
  </si>
  <si>
    <t>Status</t>
  </si>
  <si>
    <t>Assumptions</t>
  </si>
  <si>
    <t>Page</t>
  </si>
  <si>
    <t>Name of the variable that is changing</t>
  </si>
  <si>
    <t>Comments and notes -- further detail should be added on individual worksheets</t>
  </si>
  <si>
    <t>find back up</t>
  </si>
  <si>
    <t>l</t>
  </si>
  <si>
    <t>VARIABLE</t>
  </si>
  <si>
    <t>Revenue</t>
  </si>
  <si>
    <t>Price</t>
  </si>
  <si>
    <t>Directly attributable cost associated with the product itself
Vaiances to standard cost driven by productivity</t>
  </si>
  <si>
    <t>Material cost of part</t>
  </si>
  <si>
    <t>Need</t>
  </si>
  <si>
    <t>Direct Labour</t>
  </si>
  <si>
    <t>Inbound Freight</t>
  </si>
  <si>
    <t>Outbound Freight</t>
  </si>
  <si>
    <t>Duties and Import taxes</t>
  </si>
  <si>
    <t>Overtime / Labour Variance</t>
  </si>
  <si>
    <t>PPV</t>
  </si>
  <si>
    <t>E&amp;O</t>
  </si>
  <si>
    <t>Scrap</t>
  </si>
  <si>
    <t>Warranty</t>
  </si>
  <si>
    <t>Fixed OHCOGS</t>
  </si>
  <si>
    <t>Quality</t>
  </si>
  <si>
    <t>VBS</t>
  </si>
  <si>
    <t>Customer Service</t>
  </si>
  <si>
    <t>Operations Supervisors</t>
  </si>
  <si>
    <t>Purchasing</t>
  </si>
  <si>
    <t>Factory consumables (paint, PPE, oil, testing)</t>
  </si>
  <si>
    <t>Contract services - maintenance, security, leasing, general consulting</t>
  </si>
  <si>
    <t>Property Taxes</t>
  </si>
  <si>
    <t>Insurance</t>
  </si>
  <si>
    <t>Environmental costs - including reserves</t>
  </si>
  <si>
    <t>Factory Maintenance</t>
  </si>
  <si>
    <t>Shared Services (canteen, cleaning …)</t>
  </si>
  <si>
    <t>Utilities (water, electricity, gas)</t>
  </si>
  <si>
    <t>OPEX</t>
  </si>
  <si>
    <t>Sustaining Engineering</t>
  </si>
  <si>
    <t>3rd party services - IT, Engineering, Marketing, general consulting, payroll</t>
  </si>
  <si>
    <t>Investment</t>
  </si>
  <si>
    <t>Restructuring expense</t>
  </si>
  <si>
    <t>3rd party expenses</t>
  </si>
  <si>
    <t>Fixed asset write off</t>
  </si>
  <si>
    <t>E&amp;O/Write off of inventory impact</t>
  </si>
  <si>
    <t>Asset sale</t>
  </si>
  <si>
    <t>Inventory</t>
  </si>
  <si>
    <t>Accounts Receivable</t>
  </si>
  <si>
    <t>Other Intangibles</t>
  </si>
  <si>
    <t>A</t>
  </si>
  <si>
    <t xml:space="preserve">Productiivity </t>
  </si>
  <si>
    <t>B</t>
  </si>
  <si>
    <t>Floor space</t>
  </si>
  <si>
    <t>C</t>
  </si>
  <si>
    <t>Project Accumulation</t>
  </si>
  <si>
    <t>Overall Purpose</t>
  </si>
  <si>
    <t>This model is designed to be used to help financially evaluate a range of programs and projects.  Specifically it should help to;</t>
  </si>
  <si>
    <t>R</t>
  </si>
  <si>
    <t>Identify the wide range of variables that should be considered when evaluating a project</t>
  </si>
  <si>
    <t>Help identify possible costs and savings that may otherwise be missed</t>
  </si>
  <si>
    <t>Provide guidance on how those costs and savings should be identified and measured</t>
  </si>
  <si>
    <t>Be a simple spreadsheet to calculate the savings and the financial metrics</t>
  </si>
  <si>
    <t>Provide a consistent Mgt summary with the key financial data  so that go/no-go decisions can be made quickly</t>
  </si>
  <si>
    <t>Help evaluate &amp; compare projects in a similar manner such that capital allocation priority callscan be made</t>
  </si>
  <si>
    <t>Methodology</t>
  </si>
  <si>
    <t></t>
  </si>
  <si>
    <t>Cash Flow</t>
  </si>
  <si>
    <t>Net Present Value (NPV)</t>
  </si>
  <si>
    <t>Sales (growth)</t>
  </si>
  <si>
    <t>Costs (investments, cost saves, expenses, capital expense)</t>
  </si>
  <si>
    <t>Profit</t>
  </si>
  <si>
    <t>Payback (time)</t>
  </si>
  <si>
    <t>Return on Capital Invested (ROIC)</t>
  </si>
  <si>
    <t>Of these the primary method for evalution is Cash Flow and NPV.</t>
  </si>
  <si>
    <t>How To Use the model</t>
  </si>
  <si>
    <t>Try to to complete the moedl in the following order;</t>
  </si>
  <si>
    <t>The Model</t>
  </si>
  <si>
    <t xml:space="preserve">    </t>
  </si>
  <si>
    <t>Please ensure you are using the latest veriosn of the model &amp; reach out to the owner of the model of any questions, suggested modifications, found errors etc.</t>
  </si>
  <si>
    <t>The current owner of this model is:</t>
  </si>
  <si>
    <r>
      <t xml:space="preserve">This model provides an </t>
    </r>
    <r>
      <rPr>
        <b/>
        <sz val="11"/>
        <color theme="1"/>
        <rFont val="Arial"/>
        <family val="2"/>
      </rPr>
      <t>incremental</t>
    </r>
    <r>
      <rPr>
        <sz val="11"/>
        <color theme="1"/>
        <rFont val="Arial"/>
        <family val="2"/>
      </rPr>
      <t xml:space="preserve"> assessment on the impact of a course of action.  It requires the user to understand all applicable scenarios how they impact following the changing of the variables.  The model can then assess the financial impact of the project, and describe that in the following ways;</t>
    </r>
  </si>
  <si>
    <t>1. Inputs Tab</t>
  </si>
  <si>
    <r>
      <t xml:space="preserve">Use the Checklist to help identify all the variables that might be impacted by your project and begin to pull together the details to complete the workbook.  Use the filter on left hand side to selct the type of porject you are evaluating, and this will list the variables most likely to be impacted.  Use the </t>
    </r>
    <r>
      <rPr>
        <b/>
        <sz val="9.35"/>
        <color theme="1"/>
        <rFont val="Arial"/>
        <family val="2"/>
      </rPr>
      <t>Glossary</t>
    </r>
    <r>
      <rPr>
        <sz val="11"/>
        <color theme="1"/>
        <rFont val="Arial"/>
        <family val="2"/>
      </rPr>
      <t xml:space="preserve"> to help undestand how to measure your varaibles.</t>
    </r>
  </si>
  <si>
    <t>Establish your Scenarios, and complete in each tab of the model.  You only need to focus on the subset of varibales that are relevant to the project.</t>
  </si>
  <si>
    <t>Establish your Scenarios, and complete in each tab of the model.  You only need to focus on the subset of varibales that are relevant to the project, and thereby ensure that the comparison to the Current State is a fair one.</t>
  </si>
  <si>
    <t>5. Scenarios</t>
  </si>
  <si>
    <t>Summary of all scenarios</t>
  </si>
  <si>
    <t>6. Compare</t>
  </si>
  <si>
    <t>Select which scenarios you want to compare and asses the variance, NPV, payback period, etc.</t>
  </si>
  <si>
    <t>2. Checklist</t>
  </si>
  <si>
    <t>3. Model (1-7): Current State</t>
  </si>
  <si>
    <t>4. Model (1-7): Future State</t>
  </si>
  <si>
    <t>Current Version of the model is:</t>
  </si>
  <si>
    <t>Welcome to the Project Financial Model</t>
  </si>
  <si>
    <t>First you should brainstorm all the ways that the project might change the supply chain.  The main areas where PPV might be able to be achieved is if you are increasing volumes to a particular supplier, either through part consolidation, or increased throughput or other means.  You should then work with the supply chain team to identify a tarageted price reduction based on those chnages that we thinkwe can ask the supplier for.</t>
  </si>
  <si>
    <t>How should I calculate potential future PPV savings?</t>
  </si>
  <si>
    <t>By speaking to operations or your finance business partner you should isolate the total COGS associated with the product or part that you are assessing, and simply divide by the total number of units.  It is usually helpful to think of averages instead of working our every permitation, but be careful to assess like for like.  If in doubt then work with your finance business poartner.</t>
  </si>
  <si>
    <t>How should I calculate the average COGS?</t>
  </si>
  <si>
    <t>No - this model can be used by any project team member.  However it is quite comprehensive and so feel free to reach out to your finance business partner for support and guidance. For all large projects, dedicated finance support should be identified and made available in order to help assess the inputs and manage the financial impacts.</t>
  </si>
  <si>
    <t>Do I need a financial analyst to help fill this in?</t>
  </si>
  <si>
    <t>The current state should be the "do nothing" scenario and ideally that would equal the latest financial forecast.  If not then talk to your local finance rep to find out why not and if the financial foreacst should be updated.
Nevertheless when assessing current adn future states you only need to appraise the elements of the financials that are relvant to the project you are appraising. For example, if you are looking at a project related to Encore Pumper volumes, then you should only include the volumes associated to Encore Pumpers in the before and after states, and not all Encore units.</t>
  </si>
  <si>
    <t>Should the current state equal the latest financial forecast?</t>
  </si>
  <si>
    <t>Tax is something that impacts cashflow and should be included therefore in any NPV and ROIC calculations.
Tax is usually applied to any incremental profits made in a project, using the country's local Corp tax rate which can be found out by asking the Corp Tax team.  If the project involves moving profits from one country to another then there may be a difference in Corp tax rates in those countries and the difference should be counted in the project using the tax worksheet.  If moving country profits you should also ask the tax team to identify if there are any unused tax credits that can be utilised and these should be dedcuted from the taxable gain. If in doubt ask your finance partner.</t>
  </si>
  <si>
    <t>How should I evaluate tax?</t>
  </si>
  <si>
    <t>Any change to product schedules, or cycles times, should be included if it has an impact on production efficiency.  Try to assess the impact (positive or negative) in terms of labour hours, and then this can be translated into a financial metric in terms of cost.  Speak to your finance business parnter to agree the right cost metric to use.</t>
  </si>
  <si>
    <t>Should I count to cost of changing production schedules?</t>
  </si>
  <si>
    <t>Eliminating sidetracks primarily enables increased productivity (less waiting) and also lower inventory (increases cashflow) and is definitely worth measuring within the project!
In order to financially measure the increased productivity you should try and estimate the number of hours that are saved by eliminating the sidetracks.  Measure the cycle time at current state, and then compare to the cycle time with the sidetracks (or other productivity impacts) eliminated --&gt; the difference should be measured as a unit of time.  Next step would be to then turn the saved time into a financial metric (usually done by using the average labour cost expressed per day/hour).
And don't forget to include the Inventory reductions included in the model -- these are valuable since they mean we have less cash tied up in inventory.</t>
  </si>
  <si>
    <t>How do I evaluate the cost save of reducing sidetracks?</t>
  </si>
  <si>
    <t>Net Present Value (NPV) is one of the most widely used measures for evaluating whether to proceed with a project or not. NPV is calculated by subtracting the present value of a project's cash outflows from the present value of its cash inflows. If the resulting NPV is positive, the project is expected to generate a return greater than the cost of capital, and therefore may be worth pursuing.
The advantages of using NPV as a measure for project evaluation are:
- It accounts for the time value of money: NPV adjusts future cash flows to their present values, taking into consideration the opportunity cost of investing money today versus in the future.
- It considers all cash flows: NPV includes both the initial investment and all future cash flows associated with the project, providing a more comprehensive view of the project's profitability.
- It provides a clear measure of profitability: NPV is expressed in monetary terms, making it easy to compare different projects and determine which one generates the highest return.
However, there are also some limitations to using NPV as the sole measure for project evaluation. For example, it assumes that cash flows are known with certainty, which may not always be the case. NPV also doesn't consider non-financial factors such as environmental or social impacts, which may be important for some projects.
Therefore, while NPV is a useful tool for evaluating projects, it should be used in conjunction with other measures and with consideration of other important factors to make informed decisions.</t>
  </si>
  <si>
    <t>What is NPV and why do we use that?</t>
  </si>
  <si>
    <t>Cash generation is often considered the best measure for evaluating a business project because it directly reflects the amount of cash a project generates over a specific period. This is important because cash is what ultimately funds a business's operations and investments, and it's also what allows a company to pay off its debts, distribute dividends to shareholders, and reinvest in the business.
In contrast, other financial measures like profits or revenues can be manipulated by accounting practices or timing differences, and may not accurately reflect the actual cash flow of a business. For example, a company may report high profits but still have trouble paying its bills if those profits are tied up in inventory.</t>
  </si>
  <si>
    <t>Why do we focus on cash generation to evaluate a project and not just profit?</t>
  </si>
  <si>
    <t>FAQ</t>
  </si>
  <si>
    <t>Project Type(s)</t>
  </si>
  <si>
    <t>Measure</t>
  </si>
  <si>
    <t>Comments</t>
  </si>
  <si>
    <t>Owner</t>
  </si>
  <si>
    <t>Cash Model</t>
  </si>
  <si>
    <t>HFM</t>
  </si>
  <si>
    <t>they types of project this variable might change</t>
  </si>
  <si>
    <t>Describtion on how to measure the change</t>
  </si>
  <si>
    <t>Things to consider</t>
  </si>
  <si>
    <t>Which department owns the assumption detail</t>
  </si>
  <si>
    <t>where in the cost model would it imapct</t>
  </si>
  <si>
    <t>HFM codes that it would impact</t>
  </si>
  <si>
    <t>Latest average net revenue, after discounts etc.</t>
  </si>
  <si>
    <t>Validate project will drive incremental sales - have data</t>
  </si>
  <si>
    <t>Commercial</t>
  </si>
  <si>
    <t>Price changes by unit</t>
  </si>
  <si>
    <t>If cost reduction to achieve a lower market price, ensure higher sales volume will full offset margin impact</t>
  </si>
  <si>
    <t xml:space="preserve">  * Directly attributable cost associated with the product itself 
  * Variances to standard cost driven by productivity</t>
  </si>
  <si>
    <t>Latest standard cost</t>
  </si>
  <si>
    <t> </t>
  </si>
  <si>
    <t>Engineering / Supply Chain</t>
  </si>
  <si>
    <t>Latest standard labour hours per product / item / action; fully costed per person per day</t>
  </si>
  <si>
    <t>Convert labor hours to headcount; ensure overall headcount commitment is achieved</t>
  </si>
  <si>
    <t>Operations</t>
  </si>
  <si>
    <t>- Factory Inbound %  of total material
- Specific assumptions</t>
  </si>
  <si>
    <t xml:space="preserve">Consider changes in both rates &amp; distance </t>
  </si>
  <si>
    <t>Average outbound freight costs / revenues</t>
  </si>
  <si>
    <t>Consider changes to import markets and obtain duty/tax status for importing country</t>
  </si>
  <si>
    <t>Estimated impact of change to labour productivity [see Labour Productivity section]</t>
  </si>
  <si>
    <t>Can include lower OT or direct/indirect hours.  Plant who pay monthly rates will only see improvement with lower headcount</t>
  </si>
  <si>
    <t>Increase in purchase volume %
SKU reduction</t>
  </si>
  <si>
    <t>Changes in non-standard material costs.  Adjust up/down with volume changes proportionately</t>
  </si>
  <si>
    <t>Supply Chain</t>
  </si>
  <si>
    <t>% Inventory change by site</t>
  </si>
  <si>
    <t>Adjust as a % of total inventory</t>
  </si>
  <si>
    <t>% reduction in # units</t>
  </si>
  <si>
    <t>Adjust as a % of total material cost and/or parts produced</t>
  </si>
  <si>
    <t>- Impact on warranty reserve
- Applicable warranty metrics</t>
  </si>
  <si>
    <t>Apply if known quality metrics will change as a result of the project</t>
  </si>
  <si>
    <t>Calculate as a factor of volume - then validate change quantity in labor hours/headcount that can be committed to</t>
  </si>
  <si>
    <t>% orders change</t>
  </si>
  <si>
    <t>% unique parts decreased;  % unique supplier realtionships decreased</t>
  </si>
  <si>
    <t>Calculate as a factor of part numbers and/or no. of suppliers - then validate quantity of labor hours/headcount that can be committed to</t>
  </si>
  <si>
    <t>Average cost oer unit</t>
  </si>
  <si>
    <t>Calculate as a factor of volume and adjust accordingly</t>
  </si>
  <si>
    <t>Calculate as a factor of volume - then validate change in invoiced amounts that can be committed to</t>
  </si>
  <si>
    <t>% reduction in # units | change in asset value | floor space usage</t>
  </si>
  <si>
    <t>Applicable when physical sq footage of facility is and/or site locations change</t>
  </si>
  <si>
    <t>Applicable when asset valuations and/or site locations change</t>
  </si>
  <si>
    <t>environmental costs - including reserves</t>
  </si>
  <si>
    <t>Applicable when site footprints change and/or site locations change</t>
  </si>
  <si>
    <t>% reduction of # employees</t>
  </si>
  <si>
    <t>Calculate as a factor of volume and adjust direct utilities accordingly.  Facility utilities only applicable when site footprints and/or locations change</t>
  </si>
  <si>
    <t>Efforts based analysis  |  FPP segmentation work  | % sales change</t>
  </si>
  <si>
    <t>Consider % of employee change as a factor - then validate change in quantity of headcount that can be committed to</t>
  </si>
  <si>
    <t>Analyze work impact - then validate change in quantity of headcount that can be committed to</t>
  </si>
  <si>
    <t>Efforts based analysis | # SKU reductions</t>
  </si>
  <si>
    <t>% Sales change</t>
  </si>
  <si>
    <t>3rd party services - IT, Engineering, Marketing, general consulting, payroll, benefits management</t>
  </si>
  <si>
    <t>As per above baed on cost type</t>
  </si>
  <si>
    <t>Analyze work impact - then validate change in invoiced amounts that can be committed to</t>
  </si>
  <si>
    <t>Employee severence</t>
  </si>
  <si>
    <t>One-time separation costs, retention bonuses, 'stay pay', any additional guaranteed compensation not part of prior/normal operations</t>
  </si>
  <si>
    <t>Expenses required to achieve the project</t>
  </si>
  <si>
    <t>One-time incremental expenses including certification costs, testing, travel, 3rd party resources, etc.</t>
  </si>
  <si>
    <t>Net book value write off</t>
  </si>
  <si>
    <t>Parts that become E&amp;O</t>
  </si>
  <si>
    <t xml:space="preserve">Reserve for EOL and deemed excess inventory.  Don't reserve for material already reserved for </t>
  </si>
  <si>
    <t>Proceeds from the sale of assets</t>
  </si>
  <si>
    <t>Quantify impact on inventory values - can be driven by volume changes and/or part value changes</t>
  </si>
  <si>
    <t>Quantify impact on A/R balances - can be driven by volume changes, price changes, and/or customer changes (ability to collect timely)</t>
  </si>
  <si>
    <t>Quantify impact on A/P values - can be driven by volume changes, part value changes, and/or supplier terms</t>
  </si>
  <si>
    <t>Reducing complexity should drive an increase in labour productivity.  Consider these areas:
- Number of sidetracks -- how to measure/quantify?</t>
  </si>
  <si>
    <t>Only applicable when cash flow changes can be defined E.g. lower labor hours needed resulting into lower hours worked/lower headcount, etc.</t>
  </si>
  <si>
    <t>can you delete external warehouse // can you utilise floor space for another product which would have had to go elsewhere</t>
  </si>
  <si>
    <t>Only applicable when cash flow changes can en defined.  E.g. external warehouse/strorage costs can be reduced, enables repurposing of space that drives incremental sales and/or cost reductions, capital investment in facility can be avoided, etc.</t>
  </si>
  <si>
    <t>Should this project be considered alongside other projects to push for greater savings?</t>
  </si>
  <si>
    <t>Evaluate if individual projects have enough connection points that they should be presented as one to fully present optimal results</t>
  </si>
  <si>
    <t>Risk Assessment</t>
  </si>
  <si>
    <t>Red/Yellow/Green</t>
  </si>
  <si>
    <t>Local Salaried work</t>
  </si>
  <si>
    <t>Sidetracks</t>
  </si>
  <si>
    <t>Product line SKUs</t>
  </si>
  <si>
    <t>Part SKUs</t>
  </si>
  <si>
    <t>Project Information and descriptions. Take your time here as the inputs feed the modeling sheets.</t>
  </si>
  <si>
    <t>v1.4</t>
  </si>
  <si>
    <t>P&amp;L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</si>
</sst>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7" formatCode="0.0%"/>
    <numFmt numFmtId="168" formatCode="_(* #,##0_);_(* \(#,##0\);_(* &quot;-&quot;??_);_(@_)"/>
    <numFmt numFmtId="169" formatCode="#,##0."/>
  </numFmts>
  <fonts count="42" x14ac:knownFonts="1">
    <font>
      <sz val="11"/>
      <color theme="1"/>
      <name val="Calibri"/>
      <family val="2"/>
      <scheme val="minor"/>
    </font>
    <font>
      <sz val="11"/>
      <name val="Calibri"/>
      <family val="2"/>
      <scheme val="minor"/>
    </font>
    <font>
      <b/>
      <sz val="11"/>
      <color theme="0"/>
      <name val="Calibri"/>
      <family val="2"/>
      <scheme val="minor"/>
    </font>
    <font>
      <sz val="11"/>
      <color theme="0"/>
      <name val="Calibri"/>
      <family val="2"/>
      <scheme val="minor"/>
    </font>
    <font>
      <sz val="8"/>
      <name val="Calibri"/>
      <family val="2"/>
      <scheme val="minor"/>
    </font>
    <font>
      <sz val="11"/>
      <color theme="1"/>
      <name val="Calibri"/>
      <family val="2"/>
      <scheme val="minor"/>
    </font>
    <font>
      <b/>
      <sz val="11"/>
      <color theme="1"/>
      <name val="Calibri"/>
      <family val="2"/>
      <scheme val="minor"/>
    </font>
    <font>
      <sz val="11"/>
      <color theme="1" tint="0.249977111117893"/>
      <name val="Calibri"/>
      <family val="2"/>
      <scheme val="minor"/>
    </font>
    <font>
      <sz val="10"/>
      <color theme="1"/>
      <name val="Calibri"/>
      <family val="2"/>
      <scheme val="minor"/>
    </font>
    <font>
      <i/>
      <sz val="11"/>
      <color theme="1" tint="0.34998626667073579"/>
      <name val="Calibri"/>
      <family val="2"/>
      <scheme val="minor"/>
    </font>
    <font>
      <i/>
      <sz val="11"/>
      <color theme="8" tint="-0.499984740745262"/>
      <name val="Calibri"/>
      <family val="2"/>
      <scheme val="minor"/>
    </font>
    <font>
      <i/>
      <sz val="11"/>
      <color theme="1"/>
      <name val="Calibri"/>
      <family val="2"/>
      <scheme val="minor"/>
    </font>
    <font>
      <i/>
      <sz val="8"/>
      <color theme="1"/>
      <name val="Calibri"/>
      <family val="2"/>
      <scheme val="minor"/>
    </font>
    <font>
      <sz val="11"/>
      <color theme="4"/>
      <name val="Calibri"/>
      <family val="2"/>
      <scheme val="minor"/>
    </font>
    <font>
      <b/>
      <sz val="14"/>
      <color theme="0"/>
      <name val="Calibri"/>
      <family val="2"/>
      <scheme val="minor"/>
    </font>
    <font>
      <sz val="11"/>
      <color theme="3"/>
      <name val="Calibri"/>
      <family val="2"/>
      <scheme val="minor"/>
    </font>
    <font>
      <i/>
      <sz val="11"/>
      <color theme="4"/>
      <name val="Calibri"/>
      <family val="2"/>
      <scheme val="minor"/>
    </font>
    <font>
      <i/>
      <sz val="10"/>
      <color theme="1" tint="0.14999847407452621"/>
      <name val="Calibri"/>
      <family val="2"/>
      <scheme val="minor"/>
    </font>
    <font>
      <i/>
      <sz val="11"/>
      <color rgb="FFC00000"/>
      <name val="Calibri"/>
      <family val="2"/>
      <scheme val="minor"/>
    </font>
    <font>
      <b/>
      <sz val="11"/>
      <color rgb="FFC00000"/>
      <name val="Calibri"/>
      <family val="2"/>
      <scheme val="minor"/>
    </font>
    <font>
      <sz val="11"/>
      <color theme="0" tint="-0.14999847407452621"/>
      <name val="Calibri"/>
      <family val="2"/>
      <scheme val="minor"/>
    </font>
    <font>
      <b/>
      <sz val="11"/>
      <color theme="0" tint="-0.14999847407452621"/>
      <name val="Calibri"/>
      <family val="2"/>
      <scheme val="minor"/>
    </font>
    <font>
      <i/>
      <sz val="11"/>
      <color theme="0" tint="-0.14999847407452621"/>
      <name val="Calibri"/>
      <family val="2"/>
      <scheme val="minor"/>
    </font>
    <font>
      <sz val="10"/>
      <color theme="0" tint="-0.14999847407452621"/>
      <name val="Calibri"/>
      <family val="2"/>
      <scheme val="minor"/>
    </font>
    <font>
      <b/>
      <i/>
      <sz val="11"/>
      <color theme="0" tint="-0.14999847407452621"/>
      <name val="Calibri"/>
      <family val="2"/>
      <scheme val="minor"/>
    </font>
    <font>
      <sz val="10"/>
      <color theme="0"/>
      <name val="Calibri"/>
      <family val="2"/>
      <scheme val="minor"/>
    </font>
    <font>
      <b/>
      <sz val="12"/>
      <color rgb="FFC00000"/>
      <name val="Calibri"/>
      <family val="2"/>
      <scheme val="minor"/>
    </font>
    <font>
      <b/>
      <sz val="18"/>
      <color theme="0"/>
      <name val="Calibri"/>
      <family val="2"/>
      <scheme val="minor"/>
    </font>
    <font>
      <sz val="8"/>
      <color theme="1"/>
      <name val="Wingdings"/>
      <charset val="2"/>
    </font>
    <font>
      <sz val="11"/>
      <color rgb="FFFF0000"/>
      <name val="Calibri"/>
      <family val="2"/>
      <scheme val="minor"/>
    </font>
    <font>
      <sz val="11"/>
      <color theme="1"/>
      <name val="Calibri"/>
      <family val="2"/>
    </font>
    <font>
      <u/>
      <sz val="11"/>
      <color theme="10"/>
      <name val="Calibri"/>
      <family val="2"/>
      <scheme val="minor"/>
    </font>
    <font>
      <b/>
      <sz val="28"/>
      <color theme="1"/>
      <name val="Arial"/>
      <family val="2"/>
    </font>
    <font>
      <sz val="11"/>
      <color theme="1"/>
      <name val="Arial"/>
      <family val="2"/>
    </font>
    <font>
      <b/>
      <sz val="16"/>
      <color theme="0"/>
      <name val="Arial"/>
      <family val="2"/>
    </font>
    <font>
      <sz val="14"/>
      <color theme="1"/>
      <name val="Wingdings 2"/>
      <family val="1"/>
      <charset val="2"/>
    </font>
    <font>
      <b/>
      <sz val="11"/>
      <color theme="1"/>
      <name val="Arial"/>
      <family val="2"/>
    </font>
    <font>
      <sz val="12"/>
      <color theme="1"/>
      <name val="Wingdings 2"/>
      <family val="1"/>
      <charset val="2"/>
    </font>
    <font>
      <b/>
      <sz val="9.35"/>
      <color theme="1"/>
      <name val="Arial"/>
      <family val="2"/>
    </font>
    <font>
      <b/>
      <sz val="14"/>
      <color theme="1"/>
      <name val="Calibri"/>
      <family val="2"/>
      <scheme val="minor"/>
    </font>
    <font>
      <sz val="11"/>
      <color rgb="FF000000"/>
      <name val="Calibri"/>
      <family val="2"/>
    </font>
    <font>
      <sz val="9"/>
      <color theme="0" tint="-0.249977111117893"/>
      <name val="Wingdings"/>
      <charset val="2"/>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8" tint="0.7999816888943144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3"/>
        <bgColor indexed="64"/>
      </patternFill>
    </fill>
    <fill>
      <patternFill patternType="solid">
        <fgColor theme="3" tint="0.79998168889431442"/>
        <bgColor indexed="64"/>
      </patternFill>
    </fill>
    <fill>
      <patternFill patternType="solid">
        <fgColor theme="4"/>
        <bgColor indexed="64"/>
      </patternFill>
    </fill>
    <fill>
      <patternFill patternType="solid">
        <fgColor theme="4" tint="0.79998168889431442"/>
        <bgColor indexed="64"/>
      </patternFill>
    </fill>
    <fill>
      <patternFill patternType="solid">
        <fgColor rgb="FFFFFFCC"/>
        <bgColor indexed="64"/>
      </patternFill>
    </fill>
    <fill>
      <patternFill patternType="solid">
        <fgColor theme="1" tint="0.34998626667073579"/>
        <bgColor indexed="64"/>
      </patternFill>
    </fill>
    <fill>
      <patternFill patternType="solid">
        <fgColor rgb="FF008080"/>
        <bgColor indexed="64"/>
      </patternFill>
    </fill>
    <fill>
      <patternFill patternType="solid">
        <fgColor theme="6" tint="0.79998168889431442"/>
        <bgColor indexed="64"/>
      </patternFill>
    </fill>
    <fill>
      <patternFill patternType="solid">
        <fgColor theme="1"/>
        <bgColor indexed="64"/>
      </patternFill>
    </fill>
    <fill>
      <patternFill patternType="solid">
        <fgColor rgb="FFFFFFFF"/>
        <bgColor rgb="FF000000"/>
      </patternFill>
    </fill>
  </fills>
  <borders count="49">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auto="1"/>
      </left>
      <right style="thin">
        <color auto="1"/>
      </right>
      <top/>
      <bottom/>
      <diagonal/>
    </border>
    <border>
      <left style="dashed">
        <color auto="1"/>
      </left>
      <right style="dashed">
        <color auto="1"/>
      </right>
      <top style="dashed">
        <color auto="1"/>
      </top>
      <bottom style="dashed">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style="dotted">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dotted">
        <color indexed="64"/>
      </bottom>
      <diagonal/>
    </border>
    <border>
      <left style="medium">
        <color indexed="64"/>
      </left>
      <right style="thin">
        <color indexed="64"/>
      </right>
      <top/>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style="thin">
        <color indexed="64"/>
      </left>
      <right/>
      <top/>
      <bottom style="medium">
        <color indexed="64"/>
      </bottom>
      <diagonal/>
    </border>
    <border>
      <left/>
      <right/>
      <top style="dotted">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dotted">
        <color indexed="64"/>
      </top>
      <bottom style="medium">
        <color indexed="64"/>
      </bottom>
      <diagonal/>
    </border>
    <border>
      <left/>
      <right/>
      <top style="dotted">
        <color indexed="64"/>
      </top>
      <bottom/>
      <diagonal/>
    </border>
    <border>
      <left/>
      <right style="medium">
        <color indexed="64"/>
      </right>
      <top style="dotted">
        <color indexed="64"/>
      </top>
      <bottom/>
      <diagonal/>
    </border>
    <border>
      <left style="dotted">
        <color auto="1"/>
      </left>
      <right style="dotted">
        <color auto="1"/>
      </right>
      <top style="dotted">
        <color auto="1"/>
      </top>
      <bottom style="dotted">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top/>
      <bottom style="dotted">
        <color indexed="64"/>
      </bottom>
      <diagonal/>
    </border>
    <border>
      <left/>
      <right style="thin">
        <color indexed="64"/>
      </right>
      <top style="dotted">
        <color indexed="64"/>
      </top>
      <bottom style="dotted">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style="thin">
        <color indexed="64"/>
      </right>
      <top style="dotted">
        <color indexed="64"/>
      </top>
      <bottom/>
      <diagonal/>
    </border>
  </borders>
  <cellStyleXfs count="4">
    <xf numFmtId="0" fontId="0" fillId="0" borderId="0"/>
    <xf numFmtId="43" fontId="5" fillId="0" borderId="0" applyFont="0" applyFill="0" applyBorder="0" applyAlignment="0" applyProtection="0"/>
    <xf numFmtId="9" fontId="5" fillId="0" borderId="0" applyFont="0" applyFill="0" applyBorder="0" applyAlignment="0" applyProtection="0"/>
    <xf numFmtId="0" fontId="31" fillId="0" borderId="0" applyNumberFormat="0" applyFill="0" applyBorder="0" applyAlignment="0" applyProtection="0"/>
  </cellStyleXfs>
  <cellXfs count="230">
    <xf numFmtId="0" fontId="0" fillId="0" borderId="0" xfId="0"/>
    <xf numFmtId="0" fontId="0" fillId="2" borderId="0" xfId="0" applyFill="1"/>
    <xf numFmtId="0" fontId="0" fillId="2" borderId="0" xfId="0" applyFill="1" applyAlignment="1">
      <alignment horizontal="center"/>
    </xf>
    <xf numFmtId="38" fontId="0" fillId="0" borderId="0" xfId="0" applyNumberFormat="1"/>
    <xf numFmtId="0" fontId="6" fillId="0" borderId="0" xfId="0" applyFont="1"/>
    <xf numFmtId="0" fontId="0" fillId="0" borderId="0" xfId="0" applyAlignment="1">
      <alignment horizontal="right"/>
    </xf>
    <xf numFmtId="0" fontId="7" fillId="0" borderId="0" xfId="0" applyFont="1"/>
    <xf numFmtId="0" fontId="8" fillId="0" borderId="0" xfId="0" applyFont="1"/>
    <xf numFmtId="0" fontId="6" fillId="0" borderId="5" xfId="0" applyFont="1" applyBorder="1" applyAlignment="1">
      <alignment horizontal="right"/>
    </xf>
    <xf numFmtId="168" fontId="6" fillId="3" borderId="5" xfId="1" applyNumberFormat="1" applyFont="1" applyFill="1" applyBorder="1" applyAlignment="1">
      <alignment horizontal="right" vertical="center"/>
    </xf>
    <xf numFmtId="38" fontId="0" fillId="0" borderId="0" xfId="0" applyNumberFormat="1" applyAlignment="1">
      <alignment horizontal="right" vertical="center"/>
    </xf>
    <xf numFmtId="38" fontId="6" fillId="0" borderId="5" xfId="0" applyNumberFormat="1" applyFont="1" applyBorder="1" applyAlignment="1">
      <alignment horizontal="right" vertical="center"/>
    </xf>
    <xf numFmtId="0" fontId="2" fillId="6" borderId="0" xfId="0" applyFont="1" applyFill="1" applyAlignment="1">
      <alignment horizontal="right"/>
    </xf>
    <xf numFmtId="0" fontId="2" fillId="4" borderId="0" xfId="0" applyFont="1" applyFill="1" applyAlignment="1">
      <alignment horizontal="right" vertical="center"/>
    </xf>
    <xf numFmtId="0" fontId="2" fillId="10" borderId="0" xfId="0" applyFont="1" applyFill="1" applyAlignment="1">
      <alignment horizontal="right" vertical="center"/>
    </xf>
    <xf numFmtId="0" fontId="2" fillId="10" borderId="0" xfId="0" applyFont="1" applyFill="1" applyAlignment="1">
      <alignment horizontal="right"/>
    </xf>
    <xf numFmtId="0" fontId="2" fillId="8" borderId="0" xfId="0" applyFont="1" applyFill="1" applyAlignment="1">
      <alignment horizontal="right"/>
    </xf>
    <xf numFmtId="38" fontId="6" fillId="5" borderId="0" xfId="0" applyNumberFormat="1" applyFont="1" applyFill="1" applyAlignment="1">
      <alignment horizontal="right" vertical="center"/>
    </xf>
    <xf numFmtId="38" fontId="6" fillId="5" borderId="5" xfId="0" applyNumberFormat="1" applyFont="1" applyFill="1" applyBorder="1" applyAlignment="1">
      <alignment horizontal="right" vertical="center"/>
    </xf>
    <xf numFmtId="38" fontId="6" fillId="11" borderId="5" xfId="0" applyNumberFormat="1" applyFont="1" applyFill="1" applyBorder="1" applyAlignment="1">
      <alignment horizontal="right"/>
    </xf>
    <xf numFmtId="38" fontId="6" fillId="9" borderId="5" xfId="0" applyNumberFormat="1" applyFont="1" applyFill="1" applyBorder="1" applyAlignment="1">
      <alignment horizontal="right"/>
    </xf>
    <xf numFmtId="38" fontId="6" fillId="3" borderId="0" xfId="0" applyNumberFormat="1" applyFont="1" applyFill="1" applyAlignment="1">
      <alignment horizontal="right" vertical="center"/>
    </xf>
    <xf numFmtId="38" fontId="6" fillId="11" borderId="0" xfId="1" applyNumberFormat="1" applyFont="1" applyFill="1" applyAlignment="1">
      <alignment horizontal="right"/>
    </xf>
    <xf numFmtId="38" fontId="6" fillId="9" borderId="0" xfId="1" applyNumberFormat="1" applyFont="1" applyFill="1" applyAlignment="1">
      <alignment horizontal="right"/>
    </xf>
    <xf numFmtId="167" fontId="9" fillId="0" borderId="0" xfId="2" applyNumberFormat="1" applyFont="1" applyFill="1" applyAlignment="1">
      <alignment horizontal="right" vertical="center"/>
    </xf>
    <xf numFmtId="167" fontId="9" fillId="0" borderId="0" xfId="2" applyNumberFormat="1" applyFont="1" applyAlignment="1">
      <alignment horizontal="right" vertical="center"/>
    </xf>
    <xf numFmtId="167" fontId="6" fillId="3" borderId="0" xfId="2" applyNumberFormat="1" applyFont="1" applyFill="1" applyAlignment="1">
      <alignment horizontal="right" vertical="center"/>
    </xf>
    <xf numFmtId="167" fontId="0" fillId="0" borderId="0" xfId="2" applyNumberFormat="1" applyFont="1" applyAlignment="1">
      <alignment horizontal="right" vertical="center"/>
    </xf>
    <xf numFmtId="167" fontId="6" fillId="5" borderId="0" xfId="2" applyNumberFormat="1" applyFont="1" applyFill="1" applyAlignment="1">
      <alignment horizontal="right" vertical="center"/>
    </xf>
    <xf numFmtId="167" fontId="6" fillId="11" borderId="0" xfId="2" applyNumberFormat="1" applyFont="1" applyFill="1" applyAlignment="1">
      <alignment horizontal="right"/>
    </xf>
    <xf numFmtId="167" fontId="6" fillId="9" borderId="0" xfId="2" applyNumberFormat="1" applyFont="1" applyFill="1" applyAlignment="1">
      <alignment horizontal="right"/>
    </xf>
    <xf numFmtId="167" fontId="6" fillId="3" borderId="5" xfId="2" applyNumberFormat="1" applyFont="1" applyFill="1" applyBorder="1" applyAlignment="1">
      <alignment horizontal="right" vertical="center"/>
    </xf>
    <xf numFmtId="167" fontId="6" fillId="0" borderId="5" xfId="2" applyNumberFormat="1" applyFont="1" applyBorder="1" applyAlignment="1">
      <alignment horizontal="right" vertical="center"/>
    </xf>
    <xf numFmtId="167" fontId="6" fillId="5" borderId="5" xfId="2" applyNumberFormat="1" applyFont="1" applyFill="1" applyBorder="1" applyAlignment="1">
      <alignment horizontal="right" vertical="center"/>
    </xf>
    <xf numFmtId="167" fontId="6" fillId="11" borderId="5" xfId="2" applyNumberFormat="1" applyFont="1" applyFill="1" applyBorder="1" applyAlignment="1">
      <alignment horizontal="right"/>
    </xf>
    <xf numFmtId="167" fontId="6" fillId="9" borderId="5" xfId="2" applyNumberFormat="1" applyFont="1" applyFill="1" applyBorder="1" applyAlignment="1">
      <alignment horizontal="right"/>
    </xf>
    <xf numFmtId="0" fontId="10" fillId="0" borderId="0" xfId="0" applyFont="1" applyAlignment="1">
      <alignment horizontal="left"/>
    </xf>
    <xf numFmtId="9" fontId="10" fillId="0" borderId="0" xfId="0" applyNumberFormat="1" applyFont="1"/>
    <xf numFmtId="0" fontId="0" fillId="0" borderId="0" xfId="0" applyAlignment="1">
      <alignment horizontal="left"/>
    </xf>
    <xf numFmtId="0" fontId="11" fillId="0" borderId="0" xfId="0" applyFont="1"/>
    <xf numFmtId="167" fontId="10" fillId="0" borderId="0" xfId="0" applyNumberFormat="1" applyFont="1"/>
    <xf numFmtId="38" fontId="6" fillId="9" borderId="0" xfId="1" applyNumberFormat="1" applyFont="1" applyFill="1" applyBorder="1" applyAlignment="1">
      <alignment horizontal="right"/>
    </xf>
    <xf numFmtId="38" fontId="6" fillId="11" borderId="0" xfId="0" applyNumberFormat="1" applyFont="1" applyFill="1" applyAlignment="1">
      <alignment horizontal="right" vertical="center"/>
    </xf>
    <xf numFmtId="38" fontId="6" fillId="3" borderId="5" xfId="0" applyNumberFormat="1" applyFont="1" applyFill="1" applyBorder="1" applyAlignment="1">
      <alignment horizontal="right" vertical="center"/>
    </xf>
    <xf numFmtId="38" fontId="6" fillId="11" borderId="5" xfId="0" applyNumberFormat="1" applyFont="1" applyFill="1" applyBorder="1" applyAlignment="1">
      <alignment horizontal="right" vertical="center"/>
    </xf>
    <xf numFmtId="38" fontId="6" fillId="5" borderId="0" xfId="1" applyNumberFormat="1" applyFont="1" applyFill="1" applyBorder="1" applyAlignment="1">
      <alignment horizontal="right"/>
    </xf>
    <xf numFmtId="38" fontId="6" fillId="5" borderId="5" xfId="1" applyNumberFormat="1" applyFont="1" applyFill="1" applyBorder="1" applyAlignment="1">
      <alignment horizontal="right"/>
    </xf>
    <xf numFmtId="38" fontId="6" fillId="9" borderId="5" xfId="1" applyNumberFormat="1" applyFont="1" applyFill="1" applyBorder="1" applyAlignment="1">
      <alignment horizontal="right"/>
    </xf>
    <xf numFmtId="0" fontId="6" fillId="0" borderId="0" xfId="0" applyFont="1" applyFill="1" applyAlignment="1">
      <alignment horizontal="left"/>
    </xf>
    <xf numFmtId="0" fontId="3" fillId="4" borderId="0" xfId="0" applyFont="1" applyFill="1"/>
    <xf numFmtId="0" fontId="2" fillId="4" borderId="0" xfId="0" applyFont="1" applyFill="1"/>
    <xf numFmtId="0" fontId="2" fillId="0" borderId="0" xfId="0" applyFont="1" applyFill="1"/>
    <xf numFmtId="0" fontId="13" fillId="0" borderId="0" xfId="0" applyFont="1"/>
    <xf numFmtId="0" fontId="14" fillId="4" borderId="0" xfId="0" applyFont="1" applyFill="1"/>
    <xf numFmtId="0" fontId="0" fillId="0" borderId="0" xfId="0" applyFont="1"/>
    <xf numFmtId="0" fontId="6" fillId="0" borderId="0" xfId="0" applyFont="1" applyAlignment="1">
      <alignment horizontal="right"/>
    </xf>
    <xf numFmtId="0" fontId="15" fillId="12" borderId="10" xfId="0" applyFont="1" applyFill="1" applyBorder="1" applyAlignment="1">
      <alignment horizontal="right"/>
    </xf>
    <xf numFmtId="0" fontId="15" fillId="12" borderId="10" xfId="0" applyFont="1" applyFill="1" applyBorder="1"/>
    <xf numFmtId="0" fontId="0" fillId="12" borderId="10" xfId="0" applyFill="1" applyBorder="1" applyAlignment="1">
      <alignment horizontal="left"/>
    </xf>
    <xf numFmtId="167" fontId="0" fillId="12" borderId="10" xfId="0" applyNumberFormat="1" applyFill="1" applyBorder="1" applyAlignment="1">
      <alignment horizontal="left"/>
    </xf>
    <xf numFmtId="0" fontId="0" fillId="0" borderId="0" xfId="0" applyFill="1"/>
    <xf numFmtId="0" fontId="16" fillId="0" borderId="0" xfId="0" applyFont="1"/>
    <xf numFmtId="0" fontId="16" fillId="0" borderId="0" xfId="0" quotePrefix="1" applyFont="1" applyFill="1" applyAlignment="1">
      <alignment horizontal="right"/>
    </xf>
    <xf numFmtId="0" fontId="16" fillId="0" borderId="0" xfId="0" quotePrefix="1" applyFont="1" applyFill="1" applyAlignment="1">
      <alignment horizontal="center"/>
    </xf>
    <xf numFmtId="0" fontId="0" fillId="12" borderId="0" xfId="0" applyFill="1" applyAlignment="1">
      <alignment horizontal="right"/>
    </xf>
    <xf numFmtId="38" fontId="6" fillId="7" borderId="0" xfId="0" applyNumberFormat="1" applyFont="1" applyFill="1" applyAlignment="1">
      <alignment horizontal="right" vertical="center"/>
    </xf>
    <xf numFmtId="38" fontId="6" fillId="7" borderId="0" xfId="1" applyNumberFormat="1" applyFont="1" applyFill="1" applyAlignment="1">
      <alignment horizontal="right"/>
    </xf>
    <xf numFmtId="168" fontId="6" fillId="7" borderId="5" xfId="1" applyNumberFormat="1" applyFont="1" applyFill="1" applyBorder="1" applyAlignment="1">
      <alignment horizontal="right" vertical="center"/>
    </xf>
    <xf numFmtId="38" fontId="6" fillId="7" borderId="5" xfId="0" applyNumberFormat="1" applyFont="1" applyFill="1" applyBorder="1" applyAlignment="1">
      <alignment horizontal="right" vertical="center"/>
    </xf>
    <xf numFmtId="38" fontId="6" fillId="7" borderId="5" xfId="0" applyNumberFormat="1" applyFont="1" applyFill="1" applyBorder="1" applyAlignment="1">
      <alignment horizontal="right"/>
    </xf>
    <xf numFmtId="0" fontId="14" fillId="13" borderId="0" xfId="0" applyFont="1" applyFill="1"/>
    <xf numFmtId="0" fontId="17" fillId="0" borderId="3" xfId="0" quotePrefix="1" applyFont="1" applyFill="1" applyBorder="1" applyAlignment="1">
      <alignment horizontal="right"/>
    </xf>
    <xf numFmtId="38" fontId="0" fillId="3" borderId="0" xfId="0" applyNumberFormat="1" applyFont="1" applyFill="1" applyAlignment="1">
      <alignment horizontal="right" vertical="center"/>
    </xf>
    <xf numFmtId="167" fontId="6" fillId="7" borderId="0" xfId="2" applyNumberFormat="1" applyFont="1" applyFill="1" applyAlignment="1">
      <alignment horizontal="right" vertical="center"/>
    </xf>
    <xf numFmtId="167" fontId="6" fillId="7" borderId="0" xfId="2" applyNumberFormat="1" applyFont="1" applyFill="1" applyAlignment="1">
      <alignment horizontal="right"/>
    </xf>
    <xf numFmtId="167" fontId="6" fillId="7" borderId="5" xfId="2" applyNumberFormat="1" applyFont="1" applyFill="1" applyBorder="1" applyAlignment="1">
      <alignment horizontal="right" vertical="center"/>
    </xf>
    <xf numFmtId="167" fontId="6" fillId="7" borderId="5" xfId="2" applyNumberFormat="1" applyFont="1" applyFill="1" applyBorder="1" applyAlignment="1">
      <alignment horizontal="right"/>
    </xf>
    <xf numFmtId="167" fontId="0" fillId="3" borderId="0" xfId="2" applyNumberFormat="1" applyFont="1" applyFill="1" applyAlignment="1">
      <alignment horizontal="right" vertical="center"/>
    </xf>
    <xf numFmtId="0" fontId="18" fillId="0" borderId="0" xfId="0" applyFont="1" applyAlignment="1">
      <alignment horizontal="right"/>
    </xf>
    <xf numFmtId="0" fontId="18" fillId="0" borderId="0" xfId="0" applyFont="1"/>
    <xf numFmtId="0" fontId="0" fillId="0" borderId="0" xfId="0" applyFill="1" applyAlignment="1">
      <alignment horizontal="right"/>
    </xf>
    <xf numFmtId="38" fontId="6" fillId="0" borderId="0" xfId="0" applyNumberFormat="1" applyFont="1" applyFill="1" applyAlignment="1">
      <alignment horizontal="right" vertical="center"/>
    </xf>
    <xf numFmtId="38" fontId="0" fillId="0" borderId="0" xfId="0" applyNumberFormat="1" applyFill="1" applyAlignment="1">
      <alignment horizontal="right" vertical="center"/>
    </xf>
    <xf numFmtId="38" fontId="6" fillId="0" borderId="0" xfId="1" applyNumberFormat="1" applyFont="1" applyFill="1" applyAlignment="1">
      <alignment horizontal="right"/>
    </xf>
    <xf numFmtId="38" fontId="0" fillId="3" borderId="0" xfId="0" applyNumberFormat="1" applyFill="1" applyAlignment="1">
      <alignment horizontal="right" vertical="center"/>
    </xf>
    <xf numFmtId="38" fontId="0" fillId="0" borderId="0" xfId="0" applyNumberFormat="1" applyFont="1" applyFill="1" applyAlignment="1">
      <alignment horizontal="right" vertical="center"/>
    </xf>
    <xf numFmtId="38" fontId="6" fillId="0" borderId="5" xfId="0" applyNumberFormat="1" applyFont="1" applyFill="1" applyBorder="1" applyAlignment="1">
      <alignment horizontal="right" vertical="center"/>
    </xf>
    <xf numFmtId="0" fontId="19" fillId="0" borderId="0" xfId="0" applyFont="1"/>
    <xf numFmtId="9" fontId="0" fillId="0" borderId="0" xfId="2" applyNumberFormat="1" applyFont="1"/>
    <xf numFmtId="0" fontId="0" fillId="3" borderId="10" xfId="0" applyFont="1" applyFill="1" applyBorder="1" applyAlignment="1">
      <alignment horizontal="left"/>
    </xf>
    <xf numFmtId="0" fontId="0" fillId="12" borderId="10" xfId="0" applyFont="1" applyFill="1" applyBorder="1" applyAlignment="1">
      <alignment horizontal="left"/>
    </xf>
    <xf numFmtId="0" fontId="20" fillId="0" borderId="0" xfId="0" applyFont="1"/>
    <xf numFmtId="0" fontId="21" fillId="0" borderId="0" xfId="0" applyFont="1"/>
    <xf numFmtId="0" fontId="22" fillId="0" borderId="0" xfId="0" applyFont="1"/>
    <xf numFmtId="0" fontId="22" fillId="0" borderId="0" xfId="0" quotePrefix="1" applyFont="1" applyAlignment="1">
      <alignment horizontal="center"/>
    </xf>
    <xf numFmtId="0" fontId="22" fillId="0" borderId="0" xfId="0" applyFont="1" applyAlignment="1">
      <alignment horizontal="left"/>
    </xf>
    <xf numFmtId="0" fontId="23" fillId="0" borderId="0" xfId="0" applyFont="1"/>
    <xf numFmtId="0" fontId="24" fillId="0" borderId="0" xfId="0" quotePrefix="1" applyFont="1" applyAlignment="1">
      <alignment horizontal="center"/>
    </xf>
    <xf numFmtId="0" fontId="20" fillId="0" borderId="0" xfId="0" applyFont="1" applyAlignment="1">
      <alignment horizontal="center"/>
    </xf>
    <xf numFmtId="0" fontId="21" fillId="0" borderId="0" xfId="0" applyFont="1" applyAlignment="1">
      <alignment horizontal="center"/>
    </xf>
    <xf numFmtId="167" fontId="10" fillId="0" borderId="0" xfId="2" applyNumberFormat="1" applyFont="1"/>
    <xf numFmtId="38" fontId="0" fillId="0" borderId="0" xfId="0" applyNumberFormat="1" applyFont="1"/>
    <xf numFmtId="38" fontId="6" fillId="0" borderId="0" xfId="0" applyNumberFormat="1" applyFont="1"/>
    <xf numFmtId="38" fontId="0" fillId="0" borderId="5" xfId="0" applyNumberFormat="1" applyFont="1" applyBorder="1"/>
    <xf numFmtId="0" fontId="0" fillId="12" borderId="10" xfId="0" applyFill="1" applyBorder="1"/>
    <xf numFmtId="0" fontId="3" fillId="0" borderId="0" xfId="0" applyFont="1"/>
    <xf numFmtId="0" fontId="25" fillId="0" borderId="0" xfId="0" applyFont="1"/>
    <xf numFmtId="0" fontId="26" fillId="0" borderId="0" xfId="0" applyFont="1"/>
    <xf numFmtId="0" fontId="0" fillId="2" borderId="0" xfId="0" applyFill="1" applyAlignment="1">
      <alignment wrapText="1"/>
    </xf>
    <xf numFmtId="0" fontId="0" fillId="2" borderId="0" xfId="0" applyFill="1" applyAlignment="1">
      <alignment horizontal="right"/>
    </xf>
    <xf numFmtId="0" fontId="0" fillId="15" borderId="19" xfId="0" applyFill="1" applyBorder="1"/>
    <xf numFmtId="0" fontId="0" fillId="15" borderId="19" xfId="0" applyFill="1" applyBorder="1" applyAlignment="1">
      <alignment horizontal="center"/>
    </xf>
    <xf numFmtId="0" fontId="12" fillId="2" borderId="0" xfId="0" applyFont="1" applyFill="1" applyAlignment="1">
      <alignment horizontal="left" vertical="top" wrapText="1"/>
    </xf>
    <xf numFmtId="0" fontId="11" fillId="2" borderId="0" xfId="0" applyFont="1" applyFill="1" applyAlignment="1">
      <alignment horizontal="right" vertical="top" wrapText="1"/>
    </xf>
    <xf numFmtId="0" fontId="12" fillId="15" borderId="20" xfId="0" applyFont="1" applyFill="1" applyBorder="1" applyAlignment="1">
      <alignment horizontal="left" vertical="top" wrapText="1"/>
    </xf>
    <xf numFmtId="0" fontId="12" fillId="15" borderId="21" xfId="0" applyFont="1" applyFill="1" applyBorder="1" applyAlignment="1">
      <alignment horizontal="center" vertical="top" wrapText="1"/>
    </xf>
    <xf numFmtId="0" fontId="12" fillId="15" borderId="21" xfId="0" applyFont="1" applyFill="1" applyBorder="1" applyAlignment="1">
      <alignment horizontal="left" vertical="top" wrapText="1"/>
    </xf>
    <xf numFmtId="0" fontId="12" fillId="15" borderId="22" xfId="0" applyFont="1" applyFill="1" applyBorder="1" applyAlignment="1">
      <alignment horizontal="left" vertical="top" wrapText="1"/>
    </xf>
    <xf numFmtId="0" fontId="28" fillId="2" borderId="4" xfId="0" applyFont="1" applyFill="1" applyBorder="1" applyAlignment="1">
      <alignment horizontal="center" vertical="center"/>
    </xf>
    <xf numFmtId="169" fontId="0" fillId="2" borderId="24" xfId="0" applyNumberFormat="1" applyFill="1" applyBorder="1" applyAlignment="1">
      <alignment horizontal="right" vertical="top" wrapText="1"/>
    </xf>
    <xf numFmtId="0" fontId="0" fillId="2" borderId="25" xfId="0" applyFill="1" applyBorder="1" applyAlignment="1">
      <alignment vertical="top" wrapText="1"/>
    </xf>
    <xf numFmtId="0" fontId="0" fillId="2" borderId="26" xfId="0" applyFill="1" applyBorder="1" applyAlignment="1">
      <alignment horizontal="center" vertical="top" wrapText="1"/>
    </xf>
    <xf numFmtId="0" fontId="0" fillId="2" borderId="27" xfId="0" applyFill="1" applyBorder="1" applyAlignment="1">
      <alignment vertical="top" wrapText="1"/>
    </xf>
    <xf numFmtId="0" fontId="0" fillId="2" borderId="0" xfId="0" applyFill="1" applyAlignment="1">
      <alignment vertical="top" wrapText="1"/>
    </xf>
    <xf numFmtId="0" fontId="0" fillId="2" borderId="28" xfId="0" applyFill="1" applyBorder="1" applyAlignment="1">
      <alignment wrapText="1"/>
    </xf>
    <xf numFmtId="169" fontId="0" fillId="2" borderId="7" xfId="0" applyNumberFormat="1" applyFill="1" applyBorder="1" applyAlignment="1">
      <alignment horizontal="right" vertical="top" wrapText="1"/>
    </xf>
    <xf numFmtId="0" fontId="0" fillId="2" borderId="29" xfId="0" applyFill="1" applyBorder="1" applyAlignment="1">
      <alignment vertical="top" wrapText="1"/>
    </xf>
    <xf numFmtId="0" fontId="0" fillId="2" borderId="4" xfId="0" applyFill="1" applyBorder="1" applyAlignment="1">
      <alignment horizontal="center" vertical="top" wrapText="1"/>
    </xf>
    <xf numFmtId="0" fontId="0" fillId="2" borderId="30" xfId="0" applyFill="1" applyBorder="1" applyAlignment="1">
      <alignment vertical="top" wrapText="1"/>
    </xf>
    <xf numFmtId="169" fontId="0" fillId="2" borderId="31" xfId="0" applyNumberFormat="1" applyFill="1" applyBorder="1" applyAlignment="1">
      <alignment horizontal="right" vertical="top" wrapText="1"/>
    </xf>
    <xf numFmtId="0" fontId="0" fillId="2" borderId="32" xfId="0" applyFill="1" applyBorder="1" applyAlignment="1">
      <alignment vertical="top" wrapText="1"/>
    </xf>
    <xf numFmtId="0" fontId="0" fillId="2" borderId="33" xfId="0" applyFill="1" applyBorder="1" applyAlignment="1">
      <alignment horizontal="center" vertical="top" wrapText="1"/>
    </xf>
    <xf numFmtId="0" fontId="0" fillId="2" borderId="34" xfId="0" applyFill="1" applyBorder="1" applyAlignment="1">
      <alignment vertical="top" wrapText="1"/>
    </xf>
    <xf numFmtId="169" fontId="0" fillId="2" borderId="12" xfId="0" applyNumberFormat="1" applyFill="1" applyBorder="1" applyAlignment="1">
      <alignment horizontal="right" vertical="top" wrapText="1"/>
    </xf>
    <xf numFmtId="169" fontId="0" fillId="2" borderId="0" xfId="0" applyNumberFormat="1" applyFill="1" applyAlignment="1">
      <alignment horizontal="right" vertical="top" wrapText="1"/>
    </xf>
    <xf numFmtId="0" fontId="0" fillId="2" borderId="20" xfId="0" applyFill="1" applyBorder="1" applyAlignment="1">
      <alignment wrapText="1"/>
    </xf>
    <xf numFmtId="169" fontId="0" fillId="2" borderId="17" xfId="0" applyNumberFormat="1" applyFill="1" applyBorder="1" applyAlignment="1">
      <alignment horizontal="right" vertical="top" wrapText="1"/>
    </xf>
    <xf numFmtId="0" fontId="0" fillId="2" borderId="26" xfId="0" applyFill="1" applyBorder="1" applyAlignment="1">
      <alignment horizontal="center"/>
    </xf>
    <xf numFmtId="0" fontId="0" fillId="2" borderId="35" xfId="0" applyFill="1" applyBorder="1" applyAlignment="1">
      <alignment vertical="top" wrapText="1"/>
    </xf>
    <xf numFmtId="0" fontId="0" fillId="2" borderId="4" xfId="0" applyFill="1" applyBorder="1" applyAlignment="1">
      <alignment horizontal="center"/>
    </xf>
    <xf numFmtId="0" fontId="0" fillId="2" borderId="36" xfId="0" applyFill="1" applyBorder="1" applyAlignment="1">
      <alignment vertical="top" wrapText="1"/>
    </xf>
    <xf numFmtId="0" fontId="0" fillId="2" borderId="29" xfId="0" applyFill="1" applyBorder="1"/>
    <xf numFmtId="0" fontId="0" fillId="2" borderId="33" xfId="0" applyFill="1" applyBorder="1" applyAlignment="1">
      <alignment horizontal="center"/>
    </xf>
    <xf numFmtId="0" fontId="0" fillId="2" borderId="25" xfId="0" applyFill="1" applyBorder="1"/>
    <xf numFmtId="0" fontId="0" fillId="2" borderId="32" xfId="0" applyFill="1" applyBorder="1"/>
    <xf numFmtId="0" fontId="0" fillId="2" borderId="12" xfId="0" applyFill="1" applyBorder="1" applyAlignment="1">
      <alignment horizontal="right" vertical="top"/>
    </xf>
    <xf numFmtId="0" fontId="0" fillId="2" borderId="0" xfId="0" applyFill="1" applyAlignment="1">
      <alignment horizontal="right" vertical="top"/>
    </xf>
    <xf numFmtId="0" fontId="0" fillId="2" borderId="17" xfId="0" applyFill="1" applyBorder="1" applyAlignment="1">
      <alignment horizontal="right" vertical="top"/>
    </xf>
    <xf numFmtId="0" fontId="0" fillId="2" borderId="34" xfId="0" applyFill="1" applyBorder="1"/>
    <xf numFmtId="0" fontId="0" fillId="2" borderId="28" xfId="0" applyFill="1" applyBorder="1" applyAlignment="1">
      <alignment horizontal="left" vertical="top" wrapText="1"/>
    </xf>
    <xf numFmtId="0" fontId="0" fillId="2" borderId="20" xfId="0" applyFill="1" applyBorder="1" applyAlignment="1">
      <alignment horizontal="left" vertical="top" wrapText="1"/>
    </xf>
    <xf numFmtId="0" fontId="32" fillId="2" borderId="0" xfId="0" applyFont="1" applyFill="1"/>
    <xf numFmtId="0" fontId="32" fillId="2" borderId="0" xfId="0" applyFont="1" applyFill="1" applyAlignment="1">
      <alignment wrapText="1"/>
    </xf>
    <xf numFmtId="0" fontId="33" fillId="2" borderId="0" xfId="0" applyFont="1" applyFill="1"/>
    <xf numFmtId="0" fontId="35" fillId="2" borderId="0" xfId="0" applyFont="1" applyFill="1"/>
    <xf numFmtId="0" fontId="33" fillId="2" borderId="0" xfId="0" applyFont="1" applyFill="1" applyAlignment="1">
      <alignment horizontal="left" vertical="top" wrapText="1"/>
    </xf>
    <xf numFmtId="0" fontId="33" fillId="2" borderId="0" xfId="0" applyFont="1" applyFill="1" applyAlignment="1">
      <alignment wrapText="1"/>
    </xf>
    <xf numFmtId="0" fontId="37" fillId="2" borderId="0" xfId="0" applyFont="1" applyFill="1" applyAlignment="1">
      <alignment horizontal="left" vertical="center"/>
    </xf>
    <xf numFmtId="0" fontId="33" fillId="2" borderId="0" xfId="0" applyFont="1" applyFill="1" applyAlignment="1">
      <alignment vertical="top"/>
    </xf>
    <xf numFmtId="0" fontId="33" fillId="2" borderId="0" xfId="0" applyFont="1" applyFill="1" applyAlignment="1">
      <alignment horizontal="left" vertical="top"/>
    </xf>
    <xf numFmtId="0" fontId="34" fillId="4" borderId="0" xfId="0" applyFont="1" applyFill="1"/>
    <xf numFmtId="0" fontId="34" fillId="4" borderId="0" xfId="0" applyFont="1" applyFill="1" applyAlignment="1">
      <alignment wrapText="1"/>
    </xf>
    <xf numFmtId="0" fontId="1" fillId="2" borderId="37" xfId="3" applyFont="1" applyFill="1" applyBorder="1" applyAlignment="1">
      <alignment horizontal="left"/>
    </xf>
    <xf numFmtId="0" fontId="31" fillId="2" borderId="37" xfId="3" applyFill="1" applyBorder="1" applyAlignment="1">
      <alignment horizontal="left"/>
    </xf>
    <xf numFmtId="0" fontId="0" fillId="2" borderId="0" xfId="0" applyFill="1" applyAlignment="1">
      <alignment vertical="top"/>
    </xf>
    <xf numFmtId="0" fontId="39" fillId="2" borderId="0" xfId="0" applyFont="1" applyFill="1" applyAlignment="1">
      <alignment vertical="top"/>
    </xf>
    <xf numFmtId="0" fontId="30" fillId="2" borderId="38" xfId="0" applyFont="1" applyFill="1" applyBorder="1" applyAlignment="1">
      <alignment vertical="top" wrapText="1"/>
    </xf>
    <xf numFmtId="0" fontId="39" fillId="15" borderId="39" xfId="0" applyFont="1" applyFill="1" applyBorder="1" applyAlignment="1">
      <alignment vertical="top" wrapText="1"/>
    </xf>
    <xf numFmtId="0" fontId="14" fillId="14" borderId="0" xfId="0" applyFont="1" applyFill="1" applyAlignment="1">
      <alignment vertical="top"/>
    </xf>
    <xf numFmtId="0" fontId="11" fillId="2" borderId="0" xfId="0" applyFont="1" applyFill="1" applyAlignment="1">
      <alignment horizontal="left" vertical="top" wrapText="1"/>
    </xf>
    <xf numFmtId="0" fontId="12" fillId="15" borderId="38" xfId="0" applyFont="1" applyFill="1" applyBorder="1" applyAlignment="1">
      <alignment horizontal="left" vertical="top" wrapText="1"/>
    </xf>
    <xf numFmtId="0" fontId="2" fillId="16" borderId="39" xfId="0" applyFont="1" applyFill="1" applyBorder="1" applyAlignment="1">
      <alignment wrapText="1"/>
    </xf>
    <xf numFmtId="169" fontId="0" fillId="2" borderId="6" xfId="0" applyNumberFormat="1" applyFill="1" applyBorder="1" applyAlignment="1">
      <alignment horizontal="left" vertical="top" wrapText="1"/>
    </xf>
    <xf numFmtId="0" fontId="0" fillId="2" borderId="42" xfId="0" applyFill="1" applyBorder="1" applyAlignment="1">
      <alignment vertical="center" wrapText="1"/>
    </xf>
    <xf numFmtId="0" fontId="40" fillId="17" borderId="42" xfId="0" applyFont="1" applyFill="1" applyBorder="1" applyAlignment="1">
      <alignment vertical="center" wrapText="1"/>
    </xf>
    <xf numFmtId="0" fontId="0" fillId="2" borderId="43" xfId="0" applyFill="1" applyBorder="1" applyAlignment="1">
      <alignment vertical="center" wrapText="1"/>
    </xf>
    <xf numFmtId="0" fontId="0" fillId="2" borderId="9" xfId="0" applyFill="1" applyBorder="1" applyAlignment="1">
      <alignment wrapText="1"/>
    </xf>
    <xf numFmtId="169" fontId="0" fillId="2" borderId="7" xfId="0" applyNumberFormat="1" applyFill="1" applyBorder="1" applyAlignment="1">
      <alignment horizontal="left" vertical="top" wrapText="1"/>
    </xf>
    <xf numFmtId="0" fontId="40" fillId="17" borderId="44" xfId="0" applyFont="1" applyFill="1" applyBorder="1" applyAlignment="1">
      <alignment wrapText="1"/>
    </xf>
    <xf numFmtId="0" fontId="0" fillId="2" borderId="45" xfId="0" applyFill="1" applyBorder="1" applyAlignment="1">
      <alignment vertical="top" wrapText="1"/>
    </xf>
    <xf numFmtId="0" fontId="0" fillId="2" borderId="9" xfId="0" applyFill="1" applyBorder="1" applyAlignment="1">
      <alignment horizontal="left" vertical="top" wrapText="1"/>
    </xf>
    <xf numFmtId="0" fontId="0" fillId="2" borderId="29" xfId="0" quotePrefix="1" applyFill="1" applyBorder="1" applyAlignment="1">
      <alignment vertical="top" wrapText="1"/>
    </xf>
    <xf numFmtId="0" fontId="40" fillId="17" borderId="0" xfId="0" applyFont="1" applyFill="1" applyAlignment="1">
      <alignment wrapText="1"/>
    </xf>
    <xf numFmtId="0" fontId="11" fillId="2" borderId="8" xfId="0" applyFont="1" applyFill="1" applyBorder="1" applyAlignment="1">
      <alignment horizontal="left" vertical="top" wrapText="1"/>
    </xf>
    <xf numFmtId="0" fontId="0" fillId="2" borderId="46" xfId="0" applyFill="1" applyBorder="1" applyAlignment="1">
      <alignment vertical="top" wrapText="1"/>
    </xf>
    <xf numFmtId="0" fontId="40" fillId="17" borderId="46" xfId="0" applyFont="1" applyFill="1" applyBorder="1" applyAlignment="1">
      <alignment wrapText="1"/>
    </xf>
    <xf numFmtId="0" fontId="0" fillId="2" borderId="47" xfId="0" applyFill="1" applyBorder="1" applyAlignment="1">
      <alignment vertical="top" wrapText="1"/>
    </xf>
    <xf numFmtId="169" fontId="0" fillId="2" borderId="1" xfId="0" applyNumberFormat="1" applyFill="1" applyBorder="1" applyAlignment="1">
      <alignment horizontal="left" vertical="top" wrapText="1"/>
    </xf>
    <xf numFmtId="0" fontId="0" fillId="2" borderId="42" xfId="0" applyFill="1" applyBorder="1" applyAlignment="1">
      <alignment vertical="top" wrapText="1"/>
    </xf>
    <xf numFmtId="0" fontId="40" fillId="17" borderId="42" xfId="0" applyFont="1" applyFill="1" applyBorder="1" applyAlignment="1">
      <alignment wrapText="1"/>
    </xf>
    <xf numFmtId="0" fontId="0" fillId="2" borderId="43" xfId="0" applyFill="1" applyBorder="1" applyAlignment="1">
      <alignment vertical="top" wrapText="1"/>
    </xf>
    <xf numFmtId="169" fontId="0" fillId="2" borderId="0" xfId="0" applyNumberFormat="1" applyFill="1" applyAlignment="1">
      <alignment horizontal="left" vertical="top" wrapText="1"/>
    </xf>
    <xf numFmtId="0" fontId="0" fillId="2" borderId="38" xfId="0" applyFill="1" applyBorder="1" applyAlignment="1">
      <alignment wrapText="1"/>
    </xf>
    <xf numFmtId="169" fontId="0" fillId="2" borderId="2" xfId="0" applyNumberFormat="1" applyFill="1" applyBorder="1" applyAlignment="1">
      <alignment horizontal="left" vertical="top" wrapText="1"/>
    </xf>
    <xf numFmtId="0" fontId="40" fillId="17" borderId="3" xfId="0" applyFont="1" applyFill="1" applyBorder="1" applyAlignment="1">
      <alignment wrapText="1"/>
    </xf>
    <xf numFmtId="0" fontId="2" fillId="16" borderId="39" xfId="0" applyFont="1" applyFill="1" applyBorder="1" applyAlignment="1">
      <alignment vertical="top" wrapText="1"/>
    </xf>
    <xf numFmtId="0" fontId="0" fillId="2" borderId="42" xfId="0" applyFill="1" applyBorder="1"/>
    <xf numFmtId="0" fontId="0" fillId="2" borderId="42" xfId="0" applyFill="1" applyBorder="1" applyAlignment="1">
      <alignment wrapText="1"/>
    </xf>
    <xf numFmtId="0" fontId="0" fillId="2" borderId="35" xfId="0" applyFill="1" applyBorder="1"/>
    <xf numFmtId="0" fontId="0" fillId="2" borderId="35" xfId="0" applyFill="1" applyBorder="1" applyAlignment="1">
      <alignment wrapText="1"/>
    </xf>
    <xf numFmtId="0" fontId="0" fillId="2" borderId="48" xfId="0" applyFill="1" applyBorder="1" applyAlignment="1">
      <alignment vertical="top" wrapText="1"/>
    </xf>
    <xf numFmtId="0" fontId="0" fillId="2" borderId="29" xfId="0" applyFill="1" applyBorder="1" applyAlignment="1">
      <alignment wrapText="1"/>
    </xf>
    <xf numFmtId="0" fontId="0" fillId="2" borderId="46" xfId="0" applyFill="1" applyBorder="1"/>
    <xf numFmtId="0" fontId="0" fillId="2" borderId="1" xfId="0" applyFill="1" applyBorder="1" applyAlignment="1">
      <alignment vertical="top"/>
    </xf>
    <xf numFmtId="0" fontId="0" fillId="2" borderId="2" xfId="0" applyFill="1" applyBorder="1" applyAlignment="1">
      <alignment vertical="top"/>
    </xf>
    <xf numFmtId="0" fontId="0" fillId="2" borderId="47" xfId="0" applyFill="1" applyBorder="1"/>
    <xf numFmtId="0" fontId="29" fillId="2" borderId="0" xfId="0" applyFont="1" applyFill="1"/>
    <xf numFmtId="0" fontId="27" fillId="4" borderId="40" xfId="0" applyFont="1" applyFill="1" applyBorder="1"/>
    <xf numFmtId="0" fontId="27" fillId="4" borderId="3" xfId="0" applyFont="1" applyFill="1" applyBorder="1"/>
    <xf numFmtId="0" fontId="27" fillId="4" borderId="41" xfId="0" applyFont="1" applyFill="1" applyBorder="1"/>
    <xf numFmtId="0" fontId="27" fillId="4" borderId="11" xfId="0" applyFont="1" applyFill="1" applyBorder="1"/>
    <xf numFmtId="0" fontId="27" fillId="4" borderId="12" xfId="0" applyFont="1" applyFill="1" applyBorder="1" applyAlignment="1">
      <alignment horizontal="right"/>
    </xf>
    <xf numFmtId="0" fontId="27" fillId="4" borderId="12" xfId="0" applyFont="1" applyFill="1" applyBorder="1"/>
    <xf numFmtId="0" fontId="27" fillId="4" borderId="12" xfId="0" applyFont="1" applyFill="1" applyBorder="1" applyAlignment="1">
      <alignment horizontal="center"/>
    </xf>
    <xf numFmtId="0" fontId="27" fillId="4" borderId="13" xfId="0" applyFont="1" applyFill="1" applyBorder="1"/>
    <xf numFmtId="0" fontId="0" fillId="4" borderId="14" xfId="0" applyFill="1" applyBorder="1" applyAlignment="1">
      <alignment wrapText="1"/>
    </xf>
    <xf numFmtId="0" fontId="0" fillId="4" borderId="0" xfId="0" applyFill="1" applyAlignment="1">
      <alignment horizontal="right"/>
    </xf>
    <xf numFmtId="0" fontId="0" fillId="4" borderId="0" xfId="0" applyFill="1"/>
    <xf numFmtId="0" fontId="0" fillId="4" borderId="0" xfId="0" applyFill="1" applyAlignment="1">
      <alignment horizontal="center"/>
    </xf>
    <xf numFmtId="0" fontId="0" fillId="4" borderId="15" xfId="0" applyFill="1" applyBorder="1"/>
    <xf numFmtId="0" fontId="0" fillId="4" borderId="14" xfId="0" applyFill="1" applyBorder="1"/>
    <xf numFmtId="0" fontId="0" fillId="4" borderId="16" xfId="0" applyFill="1" applyBorder="1" applyAlignment="1">
      <alignment wrapText="1"/>
    </xf>
    <xf numFmtId="0" fontId="0" fillId="4" borderId="17" xfId="0" applyFill="1" applyBorder="1" applyAlignment="1">
      <alignment horizontal="right"/>
    </xf>
    <xf numFmtId="0" fontId="0" fillId="4" borderId="17" xfId="0" applyFill="1" applyBorder="1"/>
    <xf numFmtId="0" fontId="0" fillId="4" borderId="17" xfId="0" applyFill="1" applyBorder="1" applyAlignment="1">
      <alignment horizontal="center"/>
    </xf>
    <xf numFmtId="0" fontId="0" fillId="4" borderId="18" xfId="0" applyFill="1" applyBorder="1"/>
    <xf numFmtId="0" fontId="2" fillId="4" borderId="4" xfId="0" applyFont="1" applyFill="1" applyBorder="1" applyAlignment="1">
      <alignment horizontal="center" vertical="center"/>
    </xf>
    <xf numFmtId="0" fontId="2" fillId="4" borderId="23" xfId="0" applyFont="1" applyFill="1" applyBorder="1" applyAlignment="1">
      <alignment wrapText="1"/>
    </xf>
    <xf numFmtId="0" fontId="2" fillId="4" borderId="23" xfId="0" applyFont="1" applyFill="1" applyBorder="1" applyAlignment="1">
      <alignment vertical="top" wrapText="1"/>
    </xf>
    <xf numFmtId="0" fontId="41" fillId="2" borderId="0" xfId="0" applyFont="1" applyFill="1" applyAlignment="1">
      <alignment horizontal="center"/>
    </xf>
  </cellXfs>
  <cellStyles count="4">
    <cellStyle name="Comma" xfId="1" builtinId="3"/>
    <cellStyle name="Hyperlink" xfId="3" builtinId="8"/>
    <cellStyle name="Normal" xfId="0" builtinId="0"/>
    <cellStyle name="Percent" xfId="2" builtinId="5"/>
  </cellStyles>
  <dxfs count="9">
    <dxf>
      <font>
        <color rgb="FF9C0006"/>
      </font>
    </dxf>
    <dxf>
      <font>
        <color rgb="FF9C0006"/>
      </font>
    </dxf>
    <dxf>
      <font>
        <color rgb="FF9C0006"/>
      </font>
    </dxf>
    <dxf>
      <font>
        <color rgb="FF9C0006"/>
      </font>
    </dxf>
    <dxf>
      <font>
        <color rgb="FF9C0006"/>
      </font>
    </dxf>
    <dxf>
      <font>
        <color rgb="FF9C0006"/>
      </font>
    </dxf>
    <dxf>
      <fill>
        <patternFill>
          <bgColor theme="0"/>
        </patternFill>
      </fill>
    </dxf>
    <dxf>
      <fill>
        <patternFill>
          <bgColor theme="9" tint="0.79998168889431442"/>
        </patternFill>
      </fill>
    </dxf>
    <dxf>
      <fill>
        <patternFill>
          <bgColor theme="7" tint="0.79998168889431442"/>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228601</xdr:colOff>
      <xdr:row>0</xdr:row>
      <xdr:rowOff>161925</xdr:rowOff>
    </xdr:from>
    <xdr:to>
      <xdr:col>8</xdr:col>
      <xdr:colOff>19050</xdr:colOff>
      <xdr:row>6</xdr:row>
      <xdr:rowOff>76200</xdr:rowOff>
    </xdr:to>
    <xdr:sp macro="" textlink="">
      <xdr:nvSpPr>
        <xdr:cNvPr id="2" name="TextBox 1">
          <a:extLst>
            <a:ext uri="{FF2B5EF4-FFF2-40B4-BE49-F238E27FC236}">
              <a16:creationId xmlns:a16="http://schemas.microsoft.com/office/drawing/2014/main" id="{2B9D7197-E218-4FA0-9B38-CC3027306C17}"/>
            </a:ext>
          </a:extLst>
        </xdr:cNvPr>
        <xdr:cNvSpPr txBox="1"/>
      </xdr:nvSpPr>
      <xdr:spPr>
        <a:xfrm>
          <a:off x="228601" y="161925"/>
          <a:ext cx="1924049" cy="1181100"/>
        </a:xfrm>
        <a:prstGeom prst="rect">
          <a:avLst/>
        </a:prstGeom>
        <a:solidFill>
          <a:schemeClr val="lt1"/>
        </a:solidFill>
        <a:ln w="25400"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1 - EOL Platform / Model</a:t>
          </a:r>
        </a:p>
        <a:p>
          <a:r>
            <a:rPr lang="en-GB" sz="1000"/>
            <a:t>2 - Component Standisation</a:t>
          </a:r>
        </a:p>
        <a:p>
          <a:r>
            <a:rPr lang="en-GB" sz="1000"/>
            <a:t>3 - Localisation</a:t>
          </a:r>
        </a:p>
        <a:p>
          <a:r>
            <a:rPr lang="en-GB" sz="1000"/>
            <a:t>4</a:t>
          </a:r>
          <a:r>
            <a:rPr lang="en-GB" sz="1000" baseline="0"/>
            <a:t> - VAVE</a:t>
          </a:r>
        </a:p>
        <a:p>
          <a:r>
            <a:rPr lang="en-GB" sz="1000" b="0" baseline="0"/>
            <a:t>5 - Factory Consolidation</a:t>
          </a:r>
        </a:p>
        <a:p>
          <a:r>
            <a:rPr lang="en-GB" sz="1000" baseline="0"/>
            <a:t>6 - Capex only</a:t>
          </a:r>
        </a:p>
        <a:p>
          <a:r>
            <a:rPr lang="en-GB" sz="1000" baseline="0"/>
            <a:t>7 - NPD</a:t>
          </a:r>
          <a:endParaRPr lang="en-GB" sz="10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vontier-my.sharepoint.com/personal/davis_womble_veeder_com/Documents/Shared%20Folders/Project%20Zeta/Project%20Zeta%20Finance/Project%20Zeta%20Finance%20model.xlsm" TargetMode="External"/><Relationship Id="rId1" Type="http://schemas.openxmlformats.org/officeDocument/2006/relationships/externalLinkPath" Target="https://vontier-my.sharepoint.com/personal/davis_womble_veeder_com/Documents/Shared%20Folders/Project%20Zeta/Project%20Zeta%20Finance/Project%20Zeta%20Finance%20model.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Natalia.Blount\Downloads\Project%20Zeta%20Finance%20model_4-27-2026.xlsm" TargetMode="External"/><Relationship Id="rId1" Type="http://schemas.openxmlformats.org/officeDocument/2006/relationships/externalLinkPath" Target="file:///C:\Users\Natalia.Blount\Downloads\Project%20Zeta%20Finance%20model_4-27-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W TO"/>
      <sheetName val="FAQ"/>
      <sheetName val="FAQ_list"/>
      <sheetName val="A. Cover"/>
      <sheetName val="B. Checklist"/>
      <sheetName val="Questions"/>
      <sheetName val="C1. Variance"/>
      <sheetName val="C2. Current State (JOP)"/>
      <sheetName val="C3. Future State"/>
      <sheetName val="1. Margins"/>
      <sheetName val="2. OHCOGS"/>
      <sheetName val="3. Opex"/>
      <sheetName val="4. Investment"/>
      <sheetName val="5. BalanceSheet"/>
      <sheetName val="6. Tax"/>
      <sheetName val="vol impact"/>
      <sheetName val="BackUp1"/>
      <sheetName val="BackUp2"/>
      <sheetName val="Lists"/>
      <sheetName val="Glossary"/>
    </sheetNames>
    <sheetDataSet>
      <sheetData sheetId="0"/>
      <sheetData sheetId="1"/>
      <sheetData sheetId="2"/>
      <sheetData sheetId="3">
        <row r="9">
          <cell r="D9">
            <v>2025</v>
          </cell>
        </row>
        <row r="12">
          <cell r="D12">
            <v>0.1</v>
          </cell>
        </row>
        <row r="13">
          <cell r="D13">
            <v>0.03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7">
          <cell r="B7" t="str">
            <v>USD</v>
          </cell>
          <cell r="C7" t="str">
            <v>US Dollar</v>
          </cell>
          <cell r="E7">
            <v>1</v>
          </cell>
          <cell r="F7">
            <v>1</v>
          </cell>
          <cell r="H7" t="str">
            <v>Need</v>
          </cell>
          <cell r="J7">
            <v>2022</v>
          </cell>
        </row>
        <row r="8">
          <cell r="B8" t="str">
            <v>EUR</v>
          </cell>
          <cell r="C8" t="str">
            <v>Euro</v>
          </cell>
          <cell r="D8" t="e">
            <v>#VALUE!</v>
          </cell>
          <cell r="E8">
            <v>0.85370000000000001</v>
          </cell>
          <cell r="F8">
            <v>1.1713716762328688</v>
          </cell>
          <cell r="H8" t="str">
            <v>Done</v>
          </cell>
          <cell r="J8">
            <v>2023</v>
          </cell>
        </row>
        <row r="9">
          <cell r="B9" t="str">
            <v>AED</v>
          </cell>
          <cell r="C9" t="str">
            <v>UAE Dirham</v>
          </cell>
          <cell r="D9" t="e">
            <v>#VALUE!</v>
          </cell>
          <cell r="E9">
            <v>3.6728999999999998</v>
          </cell>
          <cell r="F9">
            <v>0.27226442320781946</v>
          </cell>
          <cell r="H9" t="str">
            <v>N/A</v>
          </cell>
          <cell r="J9">
            <v>2024</v>
          </cell>
        </row>
        <row r="10">
          <cell r="B10" t="str">
            <v>ARS</v>
          </cell>
          <cell r="C10" t="str">
            <v>Argentine Peso</v>
          </cell>
          <cell r="D10" t="e">
            <v>#VALUE!</v>
          </cell>
          <cell r="E10">
            <v>1404.5</v>
          </cell>
          <cell r="F10">
            <v>7.1199715201139199E-4</v>
          </cell>
          <cell r="J10">
            <v>2025</v>
          </cell>
        </row>
        <row r="11">
          <cell r="B11" t="str">
            <v>AUD</v>
          </cell>
          <cell r="C11" t="str">
            <v>Australian Dollar</v>
          </cell>
          <cell r="D11" t="e">
            <v>#VALUE!</v>
          </cell>
          <cell r="E11">
            <v>1.3922000000000001</v>
          </cell>
          <cell r="F11">
            <v>0.71828760235598332</v>
          </cell>
          <cell r="J11">
            <v>2026</v>
          </cell>
        </row>
        <row r="12">
          <cell r="B12" t="str">
            <v>BRL</v>
          </cell>
          <cell r="C12" t="str">
            <v>Brazilian Real</v>
          </cell>
          <cell r="D12" t="e">
            <v>#VALUE!</v>
          </cell>
          <cell r="E12">
            <v>4.9739000000000004</v>
          </cell>
          <cell r="F12">
            <v>0.20104947827660385</v>
          </cell>
          <cell r="J12">
            <v>2027</v>
          </cell>
        </row>
        <row r="13">
          <cell r="B13" t="str">
            <v>CAD</v>
          </cell>
          <cell r="C13" t="str">
            <v>Canadian Dollar</v>
          </cell>
          <cell r="D13" t="e">
            <v>#VALUE!</v>
          </cell>
          <cell r="E13">
            <v>1.3683000000000001</v>
          </cell>
          <cell r="F13">
            <v>0.73083388145874439</v>
          </cell>
        </row>
        <row r="14">
          <cell r="B14" t="str">
            <v>CHF</v>
          </cell>
          <cell r="C14" t="str">
            <v>Swiss Franc</v>
          </cell>
          <cell r="D14" t="e">
            <v>#VALUE!</v>
          </cell>
          <cell r="E14">
            <v>0.78910000000000002</v>
          </cell>
          <cell r="F14">
            <v>1.2672665061462425</v>
          </cell>
        </row>
        <row r="15">
          <cell r="B15" t="str">
            <v>COP</v>
          </cell>
          <cell r="C15" t="str">
            <v>Colombian Peso</v>
          </cell>
          <cell r="D15" t="e">
            <v>#VALUE!</v>
          </cell>
          <cell r="E15">
            <v>3601.5</v>
          </cell>
          <cell r="F15">
            <v>2.7766208524226016E-4</v>
          </cell>
        </row>
        <row r="16">
          <cell r="B16" t="str">
            <v>DKK</v>
          </cell>
          <cell r="C16" t="str">
            <v>Danish Krone</v>
          </cell>
          <cell r="D16" t="e">
            <v>#VALUE!</v>
          </cell>
          <cell r="E16">
            <v>6.3795000000000002</v>
          </cell>
          <cell r="F16">
            <v>0.15675209655929148</v>
          </cell>
        </row>
        <row r="17">
          <cell r="B17" t="str">
            <v>EGP</v>
          </cell>
          <cell r="C17" t="str">
            <v>Egyptian Pound</v>
          </cell>
          <cell r="D17" t="e">
            <v>#VALUE!</v>
          </cell>
          <cell r="E17">
            <v>52.78</v>
          </cell>
          <cell r="F17">
            <v>1.8946570670708603E-2</v>
          </cell>
        </row>
        <row r="18">
          <cell r="B18" t="str">
            <v>GBP</v>
          </cell>
          <cell r="C18" t="str">
            <v>Pound Sterling</v>
          </cell>
          <cell r="D18" t="e">
            <v>#VALUE!</v>
          </cell>
          <cell r="E18">
            <v>0.73970000000000002</v>
          </cell>
          <cell r="F18">
            <v>1.35189941868325</v>
          </cell>
        </row>
        <row r="19">
          <cell r="B19" t="str">
            <v>HKD</v>
          </cell>
          <cell r="C19" t="str">
            <v>Hong Kong Dollar</v>
          </cell>
          <cell r="D19" t="e">
            <v>#VALUE!</v>
          </cell>
          <cell r="E19">
            <v>7.8357000000000001</v>
          </cell>
          <cell r="F19">
            <v>0.12762101662901845</v>
          </cell>
        </row>
        <row r="20">
          <cell r="B20" t="str">
            <v>INR</v>
          </cell>
          <cell r="C20" t="str">
            <v>Indian Rupee</v>
          </cell>
          <cell r="D20" t="e">
            <v>#VALUE!</v>
          </cell>
          <cell r="E20">
            <v>94.54</v>
          </cell>
          <cell r="F20">
            <v>1.0577533319229955E-2</v>
          </cell>
        </row>
        <row r="21">
          <cell r="B21" t="str">
            <v>MXN</v>
          </cell>
          <cell r="C21" t="str">
            <v>Mexican Peso</v>
          </cell>
          <cell r="D21" t="e">
            <v>#VALUE!</v>
          </cell>
          <cell r="E21">
            <v>17.376000000000001</v>
          </cell>
          <cell r="F21">
            <v>5.7550644567219152E-2</v>
          </cell>
        </row>
        <row r="22">
          <cell r="B22" t="str">
            <v>NOK</v>
          </cell>
          <cell r="C22" t="str">
            <v>Norwegian Krone</v>
          </cell>
          <cell r="D22" t="e">
            <v>#VALUE!</v>
          </cell>
          <cell r="E22">
            <v>9.3047000000000004</v>
          </cell>
          <cell r="F22">
            <v>0.10747256762711317</v>
          </cell>
        </row>
        <row r="23">
          <cell r="B23" t="str">
            <v>NZD</v>
          </cell>
          <cell r="C23" t="str">
            <v>New Zealand Dollar</v>
          </cell>
          <cell r="D23" t="e">
            <v>#VALUE!</v>
          </cell>
          <cell r="E23">
            <v>1.6989000000000001</v>
          </cell>
          <cell r="F23">
            <v>0.5886161633998469</v>
          </cell>
        </row>
        <row r="24">
          <cell r="B24" t="str">
            <v>PHP</v>
          </cell>
          <cell r="C24" t="str">
            <v>Philippine Peso</v>
          </cell>
          <cell r="D24" t="e">
            <v>#VALUE!</v>
          </cell>
          <cell r="E24">
            <v>61.055</v>
          </cell>
          <cell r="F24">
            <v>1.6378674965195315E-2</v>
          </cell>
        </row>
        <row r="25">
          <cell r="B25" t="str">
            <v>PKR</v>
          </cell>
          <cell r="C25" t="str">
            <v>Pakistan Rupee</v>
          </cell>
          <cell r="D25" t="e">
            <v>#VALUE!</v>
          </cell>
          <cell r="E25">
            <v>278.5</v>
          </cell>
          <cell r="F25">
            <v>3.5906642728904849E-3</v>
          </cell>
        </row>
        <row r="26">
          <cell r="B26" t="str">
            <v>PLN</v>
          </cell>
          <cell r="C26" t="str">
            <v>Zloty</v>
          </cell>
          <cell r="D26" t="e">
            <v>#VALUE!</v>
          </cell>
          <cell r="E26">
            <v>3.6240999999999999</v>
          </cell>
          <cell r="F26">
            <v>0.27593057586711184</v>
          </cell>
        </row>
        <row r="27">
          <cell r="B27" t="str">
            <v>RSD</v>
          </cell>
          <cell r="C27" t="str">
            <v>Serbian Dinar</v>
          </cell>
          <cell r="D27" t="e">
            <v>#VALUE!</v>
          </cell>
          <cell r="E27">
            <v>100.15</v>
          </cell>
          <cell r="F27">
            <v>9.9850224663005482E-3</v>
          </cell>
        </row>
        <row r="28">
          <cell r="B28" t="str">
            <v>RUB</v>
          </cell>
          <cell r="C28" t="str">
            <v>Russian Ruble</v>
          </cell>
          <cell r="D28" t="e">
            <v>#VALUE!</v>
          </cell>
          <cell r="E28">
            <v>75.150000000000006</v>
          </cell>
          <cell r="F28">
            <v>1.330671989354624E-2</v>
          </cell>
        </row>
        <row r="29">
          <cell r="B29" t="str">
            <v>SAR</v>
          </cell>
          <cell r="C29" t="str">
            <v>Saudi Riyal</v>
          </cell>
          <cell r="D29" t="e">
            <v>#VALUE!</v>
          </cell>
          <cell r="E29">
            <v>3.7505999999999999</v>
          </cell>
          <cell r="F29">
            <v>0.26662400682557458</v>
          </cell>
        </row>
        <row r="30">
          <cell r="B30" t="str">
            <v>SEK</v>
          </cell>
          <cell r="C30" t="str">
            <v>Swedish Krona</v>
          </cell>
          <cell r="D30" t="e">
            <v>#VALUE!</v>
          </cell>
          <cell r="E30">
            <v>9.2645999999999997</v>
          </cell>
          <cell r="F30">
            <v>0.10793774151069663</v>
          </cell>
        </row>
        <row r="31">
          <cell r="B31" t="str">
            <v>SGD</v>
          </cell>
          <cell r="C31" t="str">
            <v>Singapore Dollar</v>
          </cell>
          <cell r="D31" t="e">
            <v>#VALUE!</v>
          </cell>
          <cell r="E31">
            <v>1.2765</v>
          </cell>
          <cell r="F31">
            <v>0.78339208773991387</v>
          </cell>
        </row>
        <row r="32">
          <cell r="B32" t="str">
            <v>TRY</v>
          </cell>
          <cell r="C32" t="str">
            <v>Turkish Lira</v>
          </cell>
          <cell r="D32" t="e">
            <v>#VALUE!</v>
          </cell>
          <cell r="E32">
            <v>45.047800000000002</v>
          </cell>
          <cell r="F32">
            <v>2.2198642331035034E-2</v>
          </cell>
        </row>
      </sheetData>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W TO"/>
      <sheetName val="FAQ"/>
      <sheetName val="FAQ_list"/>
      <sheetName val="A. Cover"/>
      <sheetName val="B. Checklist"/>
      <sheetName val="Questions"/>
      <sheetName val="C1. Variance"/>
      <sheetName val="C2. Current State (JOP)"/>
      <sheetName val="C3. Future State"/>
      <sheetName val="1. Margins"/>
      <sheetName val="2. OHCOGS"/>
      <sheetName val="3. Opex"/>
      <sheetName val="4. Investment"/>
      <sheetName val="5. BalanceSheet"/>
      <sheetName val="6. Tax"/>
      <sheetName val="vol impact"/>
      <sheetName val="BackUp1"/>
      <sheetName val="BackUp2"/>
      <sheetName val="Lists"/>
      <sheetName val="Glossary"/>
    </sheetNames>
    <sheetDataSet>
      <sheetData sheetId="0"/>
      <sheetData sheetId="1"/>
      <sheetData sheetId="2"/>
      <sheetData sheetId="3">
        <row r="9">
          <cell r="D9">
            <v>2025</v>
          </cell>
        </row>
        <row r="12">
          <cell r="D12">
            <v>0.1</v>
          </cell>
        </row>
        <row r="13">
          <cell r="D13">
            <v>0.03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7">
          <cell r="B7" t="str">
            <v>USD</v>
          </cell>
          <cell r="C7" t="str">
            <v>US Dollar</v>
          </cell>
          <cell r="E7">
            <v>1</v>
          </cell>
          <cell r="F7">
            <v>1</v>
          </cell>
          <cell r="H7" t="str">
            <v>Need</v>
          </cell>
          <cell r="J7">
            <v>2022</v>
          </cell>
        </row>
        <row r="8">
          <cell r="B8" t="str">
            <v>EUR</v>
          </cell>
          <cell r="C8" t="str">
            <v>Euro</v>
          </cell>
          <cell r="D8" t="e">
            <v>#VALUE!</v>
          </cell>
          <cell r="E8">
            <v>0.85109999999999997</v>
          </cell>
          <cell r="F8">
            <v>1.1749500646222537</v>
          </cell>
          <cell r="H8" t="str">
            <v>Done</v>
          </cell>
          <cell r="J8">
            <v>2023</v>
          </cell>
        </row>
        <row r="9">
          <cell r="B9" t="str">
            <v>AED</v>
          </cell>
          <cell r="C9" t="str">
            <v>UAE Dirham</v>
          </cell>
          <cell r="D9" t="e">
            <v>#VALUE!</v>
          </cell>
          <cell r="E9">
            <v>3.673</v>
          </cell>
          <cell r="F9">
            <v>0.27225701061802343</v>
          </cell>
          <cell r="H9" t="str">
            <v>N/A</v>
          </cell>
          <cell r="J9">
            <v>2024</v>
          </cell>
        </row>
        <row r="10">
          <cell r="B10" t="str">
            <v>ARS</v>
          </cell>
          <cell r="C10" t="str">
            <v>Argentine Peso</v>
          </cell>
          <cell r="D10" t="e">
            <v>#VALUE!</v>
          </cell>
          <cell r="E10">
            <v>1387.5</v>
          </cell>
          <cell r="F10">
            <v>7.2072072072072073E-4</v>
          </cell>
          <cell r="J10">
            <v>2025</v>
          </cell>
        </row>
        <row r="11">
          <cell r="B11" t="str">
            <v>AUD</v>
          </cell>
          <cell r="C11" t="str">
            <v>Australian Dollar</v>
          </cell>
          <cell r="D11" t="e">
            <v>#VALUE!</v>
          </cell>
          <cell r="E11">
            <v>1.3815999999999999</v>
          </cell>
          <cell r="F11">
            <v>0.72379849449913147</v>
          </cell>
          <cell r="J11">
            <v>2026</v>
          </cell>
        </row>
        <row r="12">
          <cell r="B12" t="str">
            <v>BRL</v>
          </cell>
          <cell r="C12" t="str">
            <v>Brazilian Real</v>
          </cell>
          <cell r="D12" t="e">
            <v>#VALUE!</v>
          </cell>
          <cell r="E12">
            <v>4.9233000000000002</v>
          </cell>
          <cell r="F12">
            <v>0.20311579631547944</v>
          </cell>
          <cell r="J12">
            <v>2027</v>
          </cell>
        </row>
        <row r="13">
          <cell r="B13" t="str">
            <v>CAD</v>
          </cell>
          <cell r="C13" t="str">
            <v>Canadian Dollar</v>
          </cell>
          <cell r="D13" t="e">
            <v>#VALUE!</v>
          </cell>
          <cell r="E13">
            <v>1.3632</v>
          </cell>
          <cell r="F13">
            <v>0.73356807511737088</v>
          </cell>
        </row>
        <row r="14">
          <cell r="B14" t="str">
            <v>CHF</v>
          </cell>
          <cell r="C14" t="str">
            <v>Swiss Franc</v>
          </cell>
          <cell r="D14" t="e">
            <v>#VALUE!</v>
          </cell>
          <cell r="E14">
            <v>0.77869999999999995</v>
          </cell>
          <cell r="F14">
            <v>1.284191601386927</v>
          </cell>
        </row>
        <row r="15">
          <cell r="B15" t="str">
            <v>COP</v>
          </cell>
          <cell r="C15" t="str">
            <v>Colombian Peso</v>
          </cell>
          <cell r="D15" t="e">
            <v>#VALUE!</v>
          </cell>
          <cell r="E15">
            <v>3702.61</v>
          </cell>
          <cell r="F15">
            <v>2.7007975455151903E-4</v>
          </cell>
        </row>
        <row r="16">
          <cell r="B16" t="str">
            <v>DKK</v>
          </cell>
          <cell r="C16" t="str">
            <v>Danish Krone</v>
          </cell>
          <cell r="D16" t="e">
            <v>#VALUE!</v>
          </cell>
          <cell r="E16">
            <v>6.3597000000000001</v>
          </cell>
          <cell r="F16">
            <v>0.15724012138937371</v>
          </cell>
        </row>
        <row r="17">
          <cell r="B17" t="str">
            <v>EGP</v>
          </cell>
          <cell r="C17" t="str">
            <v>Egyptian Pound</v>
          </cell>
          <cell r="D17" t="e">
            <v>#VALUE!</v>
          </cell>
          <cell r="E17">
            <v>52.67</v>
          </cell>
          <cell r="F17">
            <v>1.898614011771407E-2</v>
          </cell>
        </row>
        <row r="18">
          <cell r="B18" t="str">
            <v>GBP</v>
          </cell>
          <cell r="C18" t="str">
            <v>Pound Sterling</v>
          </cell>
          <cell r="D18" t="e">
            <v>#VALUE!</v>
          </cell>
          <cell r="E18">
            <v>0.73560000000000003</v>
          </cell>
          <cell r="F18">
            <v>1.3594344752582925</v>
          </cell>
        </row>
        <row r="19">
          <cell r="B19" t="str">
            <v>HKD</v>
          </cell>
          <cell r="C19" t="str">
            <v>Hong Kong Dollar</v>
          </cell>
          <cell r="D19" t="e">
            <v>#VALUE!</v>
          </cell>
          <cell r="E19">
            <v>7.8353999999999999</v>
          </cell>
          <cell r="F19">
            <v>0.1276259029532634</v>
          </cell>
        </row>
        <row r="20">
          <cell r="B20" t="str">
            <v>INR</v>
          </cell>
          <cell r="C20" t="str">
            <v>Indian Rupee</v>
          </cell>
          <cell r="D20" t="e">
            <v>#VALUE!</v>
          </cell>
          <cell r="E20">
            <v>94.61</v>
          </cell>
          <cell r="F20">
            <v>1.0569707219110032E-2</v>
          </cell>
        </row>
        <row r="21">
          <cell r="B21" t="str">
            <v>MXN</v>
          </cell>
          <cell r="C21" t="str">
            <v>Mexican Peso</v>
          </cell>
          <cell r="D21" t="e">
            <v>#VALUE!</v>
          </cell>
          <cell r="E21">
            <v>17.260999999999999</v>
          </cell>
          <cell r="F21">
            <v>5.7934071027171082E-2</v>
          </cell>
        </row>
        <row r="22">
          <cell r="B22" t="str">
            <v>NOK</v>
          </cell>
          <cell r="C22" t="str">
            <v>Norwegian Krone</v>
          </cell>
          <cell r="D22" t="e">
            <v>#VALUE!</v>
          </cell>
          <cell r="E22">
            <v>9.2966999999999995</v>
          </cell>
          <cell r="F22">
            <v>0.10756504996396571</v>
          </cell>
        </row>
        <row r="23">
          <cell r="B23" t="str">
            <v>NZD</v>
          </cell>
          <cell r="C23" t="str">
            <v>New Zealand Dollar</v>
          </cell>
          <cell r="D23" t="e">
            <v>#VALUE!</v>
          </cell>
          <cell r="E23">
            <v>1.679</v>
          </cell>
          <cell r="F23">
            <v>0.59559261465157831</v>
          </cell>
        </row>
        <row r="24">
          <cell r="B24" t="str">
            <v>PHP</v>
          </cell>
          <cell r="C24" t="str">
            <v>Philippine Peso</v>
          </cell>
          <cell r="D24" t="e">
            <v>#VALUE!</v>
          </cell>
          <cell r="E24">
            <v>60.66</v>
          </cell>
          <cell r="F24">
            <v>1.6485328058028357E-2</v>
          </cell>
        </row>
        <row r="25">
          <cell r="B25" t="str">
            <v>PKR</v>
          </cell>
          <cell r="C25" t="str">
            <v>Pakistan Rupee</v>
          </cell>
          <cell r="D25" t="e">
            <v>#VALUE!</v>
          </cell>
          <cell r="E25">
            <v>278.5</v>
          </cell>
          <cell r="F25">
            <v>3.5906642728904849E-3</v>
          </cell>
        </row>
        <row r="26">
          <cell r="B26" t="str">
            <v>PLN</v>
          </cell>
          <cell r="C26" t="str">
            <v>Zloty</v>
          </cell>
          <cell r="D26" t="e">
            <v>#VALUE!</v>
          </cell>
          <cell r="E26">
            <v>3.6019000000000001</v>
          </cell>
          <cell r="F26">
            <v>0.27763125017351953</v>
          </cell>
        </row>
        <row r="27">
          <cell r="B27" t="str">
            <v>RSD</v>
          </cell>
          <cell r="C27" t="str">
            <v>Serbian Dinar</v>
          </cell>
          <cell r="D27" t="e">
            <v>#VALUE!</v>
          </cell>
          <cell r="E27">
            <v>99.81</v>
          </cell>
          <cell r="F27">
            <v>1.0019036168720569E-2</v>
          </cell>
        </row>
        <row r="28">
          <cell r="B28" t="str">
            <v>RUB</v>
          </cell>
          <cell r="C28" t="str">
            <v>Russian Ruble</v>
          </cell>
          <cell r="D28" t="e">
            <v>#VALUE!</v>
          </cell>
          <cell r="E28">
            <v>74.745500000000007</v>
          </cell>
          <cell r="F28">
            <v>1.3378731830009831E-2</v>
          </cell>
        </row>
        <row r="29">
          <cell r="B29" t="str">
            <v>SAR</v>
          </cell>
          <cell r="C29" t="str">
            <v>Saudi Riyal</v>
          </cell>
          <cell r="D29" t="e">
            <v>#VALUE!</v>
          </cell>
          <cell r="E29">
            <v>3.7513000000000001</v>
          </cell>
          <cell r="F29">
            <v>0.26657425425852371</v>
          </cell>
        </row>
        <row r="30">
          <cell r="B30" t="str">
            <v>SEK</v>
          </cell>
          <cell r="C30" t="str">
            <v>Swedish Krona</v>
          </cell>
          <cell r="D30" t="e">
            <v>#VALUE!</v>
          </cell>
          <cell r="E30">
            <v>9.2325999999999997</v>
          </cell>
          <cell r="F30">
            <v>0.10831185148278925</v>
          </cell>
        </row>
        <row r="31">
          <cell r="B31" t="str">
            <v>SGD</v>
          </cell>
          <cell r="C31" t="str">
            <v>Singapore Dollar</v>
          </cell>
          <cell r="D31" t="e">
            <v>#VALUE!</v>
          </cell>
          <cell r="E31">
            <v>1.2678</v>
          </cell>
          <cell r="F31">
            <v>0.78876794447073673</v>
          </cell>
        </row>
        <row r="32">
          <cell r="B32" t="str">
            <v>TRY</v>
          </cell>
          <cell r="C32" t="str">
            <v>Turkish Lira</v>
          </cell>
          <cell r="D32" t="e">
            <v>#VALUE!</v>
          </cell>
          <cell r="E32">
            <v>45.207099999999997</v>
          </cell>
          <cell r="F32">
            <v>2.2120419137701821E-2</v>
          </cell>
        </row>
      </sheetData>
      <sheetData sheetId="19"/>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64C6A-0D43-4D59-A5FE-67889FEAEB48}">
  <dimension ref="B2:H40"/>
  <sheetViews>
    <sheetView tabSelected="1" zoomScaleNormal="100" workbookViewId="0">
      <selection activeCell="L9" sqref="L9"/>
    </sheetView>
  </sheetViews>
  <sheetFormatPr defaultColWidth="9.140625" defaultRowHeight="14.25" x14ac:dyDescent="0.2"/>
  <cols>
    <col min="1" max="1" width="4.85546875" style="153" customWidth="1"/>
    <col min="2" max="2" width="3.85546875" style="153" customWidth="1"/>
    <col min="3" max="3" width="30.42578125" style="153" customWidth="1"/>
    <col min="4" max="4" width="117" style="156" customWidth="1"/>
    <col min="5" max="5" width="12.7109375" style="153" customWidth="1"/>
    <col min="6" max="7" width="9.140625" style="153"/>
    <col min="8" max="8" width="11.7109375" style="153" customWidth="1"/>
    <col min="9" max="16384" width="9.140625" style="153"/>
  </cols>
  <sheetData>
    <row r="2" spans="2:8" ht="35.25" x14ac:dyDescent="0.5">
      <c r="B2" s="151" t="s">
        <v>281</v>
      </c>
      <c r="C2" s="151"/>
      <c r="D2" s="152"/>
    </row>
    <row r="4" spans="2:8" ht="20.25" x14ac:dyDescent="0.3">
      <c r="B4" s="160" t="s">
        <v>243</v>
      </c>
      <c r="C4" s="160"/>
      <c r="D4" s="161"/>
    </row>
    <row r="5" spans="2:8" x14ac:dyDescent="0.2">
      <c r="B5" s="153" t="s">
        <v>244</v>
      </c>
      <c r="D5" s="153"/>
    </row>
    <row r="6" spans="2:8" ht="18" x14ac:dyDescent="0.25">
      <c r="B6" s="154" t="s">
        <v>245</v>
      </c>
      <c r="C6" s="155" t="s">
        <v>246</v>
      </c>
      <c r="D6" s="155"/>
    </row>
    <row r="7" spans="2:8" ht="18" x14ac:dyDescent="0.25">
      <c r="B7" s="154" t="s">
        <v>245</v>
      </c>
      <c r="C7" s="155" t="s">
        <v>247</v>
      </c>
      <c r="D7" s="155"/>
      <c r="H7" s="156"/>
    </row>
    <row r="8" spans="2:8" ht="18" x14ac:dyDescent="0.25">
      <c r="B8" s="154" t="s">
        <v>245</v>
      </c>
      <c r="C8" s="155" t="s">
        <v>248</v>
      </c>
      <c r="D8" s="155"/>
      <c r="H8" s="156"/>
    </row>
    <row r="9" spans="2:8" ht="18" x14ac:dyDescent="0.25">
      <c r="B9" s="154" t="s">
        <v>245</v>
      </c>
      <c r="C9" s="155" t="s">
        <v>249</v>
      </c>
      <c r="D9" s="155"/>
      <c r="H9" s="156"/>
    </row>
    <row r="10" spans="2:8" ht="18" x14ac:dyDescent="0.25">
      <c r="B10" s="154" t="s">
        <v>245</v>
      </c>
      <c r="C10" s="155" t="s">
        <v>250</v>
      </c>
      <c r="D10" s="155"/>
      <c r="H10" s="156"/>
    </row>
    <row r="11" spans="2:8" ht="18" x14ac:dyDescent="0.25">
      <c r="B11" s="154" t="s">
        <v>245</v>
      </c>
      <c r="C11" s="155" t="s">
        <v>251</v>
      </c>
      <c r="D11" s="155"/>
      <c r="H11" s="156"/>
    </row>
    <row r="12" spans="2:8" x14ac:dyDescent="0.2">
      <c r="H12" s="156"/>
    </row>
    <row r="13" spans="2:8" ht="20.25" x14ac:dyDescent="0.3">
      <c r="B13" s="160" t="s">
        <v>252</v>
      </c>
      <c r="C13" s="160"/>
      <c r="D13" s="161"/>
      <c r="E13" s="156"/>
      <c r="H13" s="156"/>
    </row>
    <row r="14" spans="2:8" ht="38.25" customHeight="1" x14ac:dyDescent="0.2">
      <c r="B14" s="155" t="s">
        <v>268</v>
      </c>
      <c r="C14" s="155"/>
      <c r="D14" s="155"/>
      <c r="E14" s="156"/>
      <c r="H14" s="156"/>
    </row>
    <row r="15" spans="2:8" ht="15" x14ac:dyDescent="0.2">
      <c r="B15" s="157" t="s">
        <v>253</v>
      </c>
      <c r="C15" s="158" t="s">
        <v>254</v>
      </c>
      <c r="E15" s="156"/>
      <c r="H15" s="156"/>
    </row>
    <row r="16" spans="2:8" ht="15" x14ac:dyDescent="0.2">
      <c r="B16" s="157" t="s">
        <v>253</v>
      </c>
      <c r="C16" s="158" t="s">
        <v>255</v>
      </c>
      <c r="E16" s="156"/>
      <c r="H16" s="156"/>
    </row>
    <row r="17" spans="2:8" ht="15" x14ac:dyDescent="0.2">
      <c r="B17" s="157" t="s">
        <v>253</v>
      </c>
      <c r="C17" s="158" t="s">
        <v>256</v>
      </c>
      <c r="E17" s="156"/>
      <c r="H17" s="156"/>
    </row>
    <row r="18" spans="2:8" ht="15" x14ac:dyDescent="0.2">
      <c r="B18" s="157" t="s">
        <v>253</v>
      </c>
      <c r="C18" s="158" t="s">
        <v>257</v>
      </c>
      <c r="E18" s="156"/>
      <c r="H18" s="156"/>
    </row>
    <row r="19" spans="2:8" ht="15" x14ac:dyDescent="0.2">
      <c r="B19" s="157" t="s">
        <v>253</v>
      </c>
      <c r="C19" s="158" t="s">
        <v>258</v>
      </c>
      <c r="H19" s="156"/>
    </row>
    <row r="20" spans="2:8" ht="15" x14ac:dyDescent="0.2">
      <c r="B20" s="157" t="s">
        <v>253</v>
      </c>
      <c r="C20" s="158" t="s">
        <v>259</v>
      </c>
      <c r="H20" s="156"/>
    </row>
    <row r="21" spans="2:8" ht="15" x14ac:dyDescent="0.2">
      <c r="B21" s="157" t="s">
        <v>253</v>
      </c>
      <c r="C21" s="158" t="s">
        <v>260</v>
      </c>
      <c r="H21" s="156"/>
    </row>
    <row r="22" spans="2:8" x14ac:dyDescent="0.2">
      <c r="B22" s="153" t="s">
        <v>261</v>
      </c>
      <c r="D22" s="153"/>
      <c r="H22" s="156"/>
    </row>
    <row r="23" spans="2:8" x14ac:dyDescent="0.2">
      <c r="H23" s="156"/>
    </row>
    <row r="24" spans="2:8" ht="20.25" x14ac:dyDescent="0.3">
      <c r="B24" s="160" t="s">
        <v>262</v>
      </c>
      <c r="C24" s="160"/>
      <c r="D24" s="161"/>
      <c r="H24" s="156"/>
    </row>
    <row r="25" spans="2:8" x14ac:dyDescent="0.2">
      <c r="B25" s="153" t="s">
        <v>263</v>
      </c>
      <c r="H25" s="156"/>
    </row>
    <row r="26" spans="2:8" x14ac:dyDescent="0.2">
      <c r="C26" s="159" t="s">
        <v>269</v>
      </c>
      <c r="D26" s="156" t="s">
        <v>385</v>
      </c>
      <c r="H26" s="156"/>
    </row>
    <row r="27" spans="2:8" ht="42.75" x14ac:dyDescent="0.2">
      <c r="C27" s="159" t="s">
        <v>277</v>
      </c>
      <c r="D27" s="156" t="s">
        <v>270</v>
      </c>
      <c r="H27" s="156"/>
    </row>
    <row r="28" spans="2:8" ht="28.5" x14ac:dyDescent="0.2">
      <c r="C28" s="159" t="s">
        <v>278</v>
      </c>
      <c r="D28" s="156" t="s">
        <v>271</v>
      </c>
      <c r="H28" s="156"/>
    </row>
    <row r="29" spans="2:8" ht="28.5" x14ac:dyDescent="0.2">
      <c r="C29" s="159" t="s">
        <v>279</v>
      </c>
      <c r="D29" s="156" t="s">
        <v>272</v>
      </c>
      <c r="H29" s="156"/>
    </row>
    <row r="30" spans="2:8" x14ac:dyDescent="0.2">
      <c r="C30" s="159" t="s">
        <v>273</v>
      </c>
      <c r="D30" s="156" t="s">
        <v>274</v>
      </c>
      <c r="H30" s="156"/>
    </row>
    <row r="31" spans="2:8" x14ac:dyDescent="0.2">
      <c r="C31" s="159" t="s">
        <v>275</v>
      </c>
      <c r="D31" s="156" t="s">
        <v>276</v>
      </c>
      <c r="H31" s="156"/>
    </row>
    <row r="32" spans="2:8" x14ac:dyDescent="0.2">
      <c r="H32" s="156"/>
    </row>
    <row r="33" spans="2:8" ht="20.25" x14ac:dyDescent="0.3">
      <c r="B33" s="160" t="s">
        <v>264</v>
      </c>
      <c r="C33" s="160"/>
      <c r="D33" s="161"/>
      <c r="H33" s="156" t="s">
        <v>265</v>
      </c>
    </row>
    <row r="34" spans="2:8" x14ac:dyDescent="0.2">
      <c r="B34" s="153" t="s">
        <v>266</v>
      </c>
      <c r="D34" s="153"/>
      <c r="H34" s="156"/>
    </row>
    <row r="35" spans="2:8" x14ac:dyDescent="0.2">
      <c r="D35" s="153"/>
      <c r="H35" s="156"/>
    </row>
    <row r="36" spans="2:8" x14ac:dyDescent="0.2">
      <c r="B36" s="153" t="s">
        <v>267</v>
      </c>
      <c r="H36" s="156"/>
    </row>
    <row r="37" spans="2:8" ht="15" x14ac:dyDescent="0.25">
      <c r="C37" s="163"/>
      <c r="H37" s="156"/>
    </row>
    <row r="38" spans="2:8" x14ac:dyDescent="0.2">
      <c r="H38" s="156"/>
    </row>
    <row r="39" spans="2:8" x14ac:dyDescent="0.2">
      <c r="B39" s="153" t="s">
        <v>280</v>
      </c>
    </row>
    <row r="40" spans="2:8" ht="15" x14ac:dyDescent="0.25">
      <c r="C40" s="162" t="s">
        <v>386</v>
      </c>
    </row>
  </sheetData>
  <mergeCells count="7">
    <mergeCell ref="B14:D14"/>
    <mergeCell ref="C6:D6"/>
    <mergeCell ref="C7:D7"/>
    <mergeCell ref="C8:D8"/>
    <mergeCell ref="C9:D9"/>
    <mergeCell ref="C10:D10"/>
    <mergeCell ref="C11:D11"/>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30090-A10A-44B1-8427-199E74A6F812}">
  <dimension ref="A2:E132"/>
  <sheetViews>
    <sheetView topLeftCell="D1" workbookViewId="0">
      <selection activeCell="E35" sqref="E35"/>
    </sheetView>
  </sheetViews>
  <sheetFormatPr defaultColWidth="9.140625" defaultRowHeight="15" outlineLevelRow="1" outlineLevelCol="1" x14ac:dyDescent="0.25"/>
  <cols>
    <col min="1" max="3" width="3.5703125" style="1" hidden="1" customWidth="1" outlineLevel="1"/>
    <col min="4" max="4" width="9.42578125" style="1" customWidth="1" collapsed="1"/>
    <col min="5" max="5" width="139" style="164" customWidth="1"/>
    <col min="6" max="16384" width="9.140625" style="1"/>
  </cols>
  <sheetData>
    <row r="2" spans="2:5" ht="18.75" x14ac:dyDescent="0.25">
      <c r="E2" s="168" t="s">
        <v>300</v>
      </c>
    </row>
    <row r="3" spans="2:5" x14ac:dyDescent="0.25">
      <c r="E3" s="1"/>
    </row>
    <row r="4" spans="2:5" ht="27" customHeight="1" x14ac:dyDescent="0.25"/>
    <row r="5" spans="2:5" ht="18.75" x14ac:dyDescent="0.25">
      <c r="E5" s="167" t="s">
        <v>299</v>
      </c>
    </row>
    <row r="6" spans="2:5" ht="90" hidden="1" outlineLevel="1" x14ac:dyDescent="0.25">
      <c r="B6" s="1">
        <f>IFERROR(RANK($C6,$C$6:$C$408,1),"")</f>
        <v>1</v>
      </c>
      <c r="C6" s="1">
        <f>IFERROR(SEARCH([2]FAQ!$D$4,$E6)+ROW()/1000,"")</f>
        <v>1.006</v>
      </c>
      <c r="E6" s="166" t="s">
        <v>298</v>
      </c>
    </row>
    <row r="7" spans="2:5" ht="18.75" collapsed="1" x14ac:dyDescent="0.25">
      <c r="E7" s="167" t="s">
        <v>297</v>
      </c>
    </row>
    <row r="8" spans="2:5" ht="255" hidden="1" outlineLevel="1" x14ac:dyDescent="0.25">
      <c r="B8" s="1">
        <f>IFERROR(RANK($C8,$C$6:$C$408,1),"")</f>
        <v>2</v>
      </c>
      <c r="C8" s="1">
        <f>IFERROR(SEARCH([2]FAQ!$D$4,$E8)+ROW()/1000,"")</f>
        <v>1.008</v>
      </c>
      <c r="E8" s="166" t="s">
        <v>296</v>
      </c>
    </row>
    <row r="9" spans="2:5" ht="18.75" collapsed="1" x14ac:dyDescent="0.25">
      <c r="B9" s="1">
        <f>IFERROR(RANK($C9,$C$6:$C$408,1),"")</f>
        <v>3</v>
      </c>
      <c r="C9" s="1">
        <f>IFERROR(SEARCH([2]FAQ!$D$4,$E9)+ROW()/1000,"")</f>
        <v>1.0089999999999999</v>
      </c>
      <c r="E9" s="167" t="s">
        <v>295</v>
      </c>
    </row>
    <row r="10" spans="2:5" ht="120" hidden="1" outlineLevel="1" x14ac:dyDescent="0.25">
      <c r="E10" s="166" t="s">
        <v>294</v>
      </c>
    </row>
    <row r="11" spans="2:5" ht="18.75" collapsed="1" x14ac:dyDescent="0.25">
      <c r="B11" s="1">
        <f>IFERROR(RANK($C11,$C$6:$C$408,1),"")</f>
        <v>4</v>
      </c>
      <c r="C11" s="1">
        <f>IFERROR(SEARCH([2]FAQ!$D$4,$E11)+ROW()/1000,"")</f>
        <v>1.0109999999999999</v>
      </c>
      <c r="E11" s="167" t="s">
        <v>293</v>
      </c>
    </row>
    <row r="12" spans="2:5" ht="45" hidden="1" outlineLevel="1" x14ac:dyDescent="0.25">
      <c r="E12" s="166" t="s">
        <v>292</v>
      </c>
    </row>
    <row r="13" spans="2:5" ht="18.75" collapsed="1" x14ac:dyDescent="0.25">
      <c r="B13" s="1">
        <f>IFERROR(RANK($C13,$C$6:$C$408,1),"")</f>
        <v>5</v>
      </c>
      <c r="C13" s="1">
        <f>IFERROR(SEARCH([2]FAQ!$D$4,$E13)+ROW()/1000,"")</f>
        <v>1.0129999999999999</v>
      </c>
      <c r="E13" s="167" t="s">
        <v>291</v>
      </c>
    </row>
    <row r="14" spans="2:5" ht="75" hidden="1" outlineLevel="1" x14ac:dyDescent="0.25">
      <c r="E14" s="166" t="s">
        <v>290</v>
      </c>
    </row>
    <row r="15" spans="2:5" ht="18.75" collapsed="1" x14ac:dyDescent="0.25">
      <c r="B15" s="1">
        <f>IFERROR(RANK($C15,$C$6:$C$408,1),"")</f>
        <v>6</v>
      </c>
      <c r="C15" s="1">
        <f>IFERROR(SEARCH([2]FAQ!$D$4,$E15)+ROW()/1000,"")</f>
        <v>1.0149999999999999</v>
      </c>
      <c r="E15" s="167" t="s">
        <v>289</v>
      </c>
    </row>
    <row r="16" spans="2:5" ht="75" hidden="1" outlineLevel="1" x14ac:dyDescent="0.25">
      <c r="E16" s="166" t="s">
        <v>288</v>
      </c>
    </row>
    <row r="17" spans="2:5" ht="18.75" collapsed="1" x14ac:dyDescent="0.25">
      <c r="B17" s="1">
        <f>IFERROR(RANK($C17,$C$6:$C$408,1),"")</f>
        <v>7</v>
      </c>
      <c r="C17" s="1">
        <f>IFERROR(SEARCH([2]FAQ!$D$4,$E17)+ROW()/1000,"")</f>
        <v>1.0169999999999999</v>
      </c>
      <c r="E17" s="167" t="s">
        <v>287</v>
      </c>
    </row>
    <row r="18" spans="2:5" ht="45" hidden="1" outlineLevel="1" x14ac:dyDescent="0.25">
      <c r="E18" s="166" t="s">
        <v>286</v>
      </c>
    </row>
    <row r="19" spans="2:5" ht="18.75" collapsed="1" x14ac:dyDescent="0.25">
      <c r="B19" s="1">
        <f>IFERROR(RANK($C19,$C$6:$C$408,1),"")</f>
        <v>8</v>
      </c>
      <c r="C19" s="1">
        <f>IFERROR(SEARCH([2]FAQ!$D$4,$E19)+ROW()/1000,"")</f>
        <v>1.0189999999999999</v>
      </c>
      <c r="E19" s="167" t="s">
        <v>285</v>
      </c>
    </row>
    <row r="20" spans="2:5" ht="45" hidden="1" outlineLevel="1" x14ac:dyDescent="0.25">
      <c r="E20" s="166" t="s">
        <v>284</v>
      </c>
    </row>
    <row r="21" spans="2:5" ht="18.75" collapsed="1" x14ac:dyDescent="0.25">
      <c r="B21" s="1">
        <f>IFERROR(RANK($C21,$C$6:$C$408,1),"")</f>
        <v>9</v>
      </c>
      <c r="C21" s="1">
        <f>IFERROR(SEARCH([2]FAQ!$D$4,$E21)+ROW()/1000,"")</f>
        <v>1.0209999999999999</v>
      </c>
      <c r="E21" s="167" t="s">
        <v>283</v>
      </c>
    </row>
    <row r="22" spans="2:5" ht="45" hidden="1" outlineLevel="1" x14ac:dyDescent="0.25">
      <c r="B22" s="1">
        <f>IFERROR(RANK($C22,$C$6:$C$408,1),"")</f>
        <v>10</v>
      </c>
      <c r="C22" s="1">
        <f>IFERROR(SEARCH([2]FAQ!$D$4,$E22)+ROW()/1000,"")</f>
        <v>1.022</v>
      </c>
      <c r="E22" s="166" t="s">
        <v>282</v>
      </c>
    </row>
    <row r="23" spans="2:5" ht="18.75" collapsed="1" x14ac:dyDescent="0.25">
      <c r="B23" s="1" t="str">
        <f>IFERROR(RANK($C23,$C$6:$C$408,1),"")</f>
        <v/>
      </c>
      <c r="C23" s="1" t="str">
        <f>IFERROR(SEARCH([2]FAQ!$D$4,$E23)+ROW()/1000,"")</f>
        <v/>
      </c>
      <c r="E23" s="167"/>
    </row>
    <row r="24" spans="2:5" x14ac:dyDescent="0.25">
      <c r="B24" s="1" t="str">
        <f>IFERROR(RANK($C24,$C$6:$C$408,1),"")</f>
        <v/>
      </c>
      <c r="C24" s="1" t="str">
        <f>IFERROR(SEARCH([2]FAQ!$D$4,$E24)+ROW()/1000,"")</f>
        <v/>
      </c>
      <c r="E24" s="166"/>
    </row>
    <row r="25" spans="2:5" ht="18.75" x14ac:dyDescent="0.25">
      <c r="B25" s="1" t="str">
        <f>IFERROR(RANK($C25,$C$6:$C$408,1),"")</f>
        <v/>
      </c>
      <c r="C25" s="1" t="str">
        <f>IFERROR(SEARCH([2]FAQ!$D$4,$E25)+ROW()/1000,"")</f>
        <v/>
      </c>
      <c r="E25" s="165"/>
    </row>
    <row r="26" spans="2:5" ht="18.75" x14ac:dyDescent="0.25">
      <c r="B26" s="1" t="str">
        <f>IFERROR(RANK($C26,$C$6:$C$408,1),"")</f>
        <v/>
      </c>
      <c r="C26" s="1" t="str">
        <f>IFERROR(SEARCH([2]FAQ!$D$4,$E26)+ROW()/1000,"")</f>
        <v/>
      </c>
      <c r="E26" s="165"/>
    </row>
    <row r="27" spans="2:5" ht="18.75" x14ac:dyDescent="0.25">
      <c r="B27" s="1" t="str">
        <f>IFERROR(RANK($C27,$C$6:$C$408,1),"")</f>
        <v/>
      </c>
      <c r="C27" s="1" t="str">
        <f>IFERROR(SEARCH([2]FAQ!$D$4,$E27)+ROW()/1000,"")</f>
        <v/>
      </c>
      <c r="E27" s="165"/>
    </row>
    <row r="28" spans="2:5" ht="18.75" x14ac:dyDescent="0.25">
      <c r="B28" s="1" t="str">
        <f>IFERROR(RANK($C28,$C$6:$C$408,1),"")</f>
        <v/>
      </c>
      <c r="C28" s="1" t="str">
        <f>IFERROR(SEARCH([2]FAQ!$D$4,$E28)+ROW()/1000,"")</f>
        <v/>
      </c>
      <c r="E28" s="165"/>
    </row>
    <row r="29" spans="2:5" ht="18.75" x14ac:dyDescent="0.25">
      <c r="B29" s="1" t="str">
        <f>IFERROR(RANK($C29,$C$6:$C$408,1),"")</f>
        <v/>
      </c>
      <c r="C29" s="1" t="str">
        <f>IFERROR(SEARCH([2]FAQ!$D$4,$E29)+ROW()/1000,"")</f>
        <v/>
      </c>
      <c r="E29" s="165"/>
    </row>
    <row r="30" spans="2:5" x14ac:dyDescent="0.25">
      <c r="B30" s="1" t="str">
        <f>IFERROR(RANK($C30,$C$6:$C$408,1),"")</f>
        <v/>
      </c>
      <c r="C30" s="1" t="str">
        <f>IFERROR(SEARCH([2]FAQ!$D$4,$E30)+ROW()/1000,"")</f>
        <v/>
      </c>
    </row>
    <row r="31" spans="2:5" x14ac:dyDescent="0.25">
      <c r="B31" s="1" t="str">
        <f>IFERROR(RANK($C31,$C$6:$C$408,1),"")</f>
        <v/>
      </c>
      <c r="C31" s="1" t="str">
        <f>IFERROR(SEARCH([2]FAQ!$D$4,$E31)+ROW()/1000,"")</f>
        <v/>
      </c>
    </row>
    <row r="32" spans="2:5" x14ac:dyDescent="0.25">
      <c r="C32" s="1" t="str">
        <f>IFERROR(SEARCH([2]FAQ!$D$4,$E32)+ROW()/1000,"")</f>
        <v/>
      </c>
    </row>
    <row r="33" spans="3:3" x14ac:dyDescent="0.25">
      <c r="C33" s="1" t="str">
        <f>IFERROR(SEARCH([2]FAQ!$D$4,$E33)+ROW()/1000,"")</f>
        <v/>
      </c>
    </row>
    <row r="34" spans="3:3" x14ac:dyDescent="0.25">
      <c r="C34" s="1" t="str">
        <f>IFERROR(SEARCH([2]FAQ!$D$4,$E34)+ROW()/1000,"")</f>
        <v/>
      </c>
    </row>
    <row r="35" spans="3:3" x14ac:dyDescent="0.25">
      <c r="C35" s="1" t="str">
        <f>IFERROR(SEARCH([2]FAQ!$D$4,$E35)+ROW()/1000,"")</f>
        <v/>
      </c>
    </row>
    <row r="36" spans="3:3" x14ac:dyDescent="0.25">
      <c r="C36" s="1" t="str">
        <f>IFERROR(SEARCH([2]FAQ!$D$4,$E36)+ROW()/1000,"")</f>
        <v/>
      </c>
    </row>
    <row r="37" spans="3:3" x14ac:dyDescent="0.25">
      <c r="C37" s="1" t="str">
        <f>IFERROR(SEARCH([2]FAQ!$D$4,$E37)+ROW()/1000,"")</f>
        <v/>
      </c>
    </row>
    <row r="38" spans="3:3" x14ac:dyDescent="0.25">
      <c r="C38" s="1" t="str">
        <f>IFERROR(SEARCH([2]FAQ!$D$4,$E38)+ROW()/1000,"")</f>
        <v/>
      </c>
    </row>
    <row r="39" spans="3:3" x14ac:dyDescent="0.25">
      <c r="C39" s="1" t="str">
        <f>IFERROR(SEARCH([2]FAQ!$D$4,$E39)+ROW()/1000,"")</f>
        <v/>
      </c>
    </row>
    <row r="40" spans="3:3" x14ac:dyDescent="0.25">
      <c r="C40" s="1" t="str">
        <f>IFERROR(SEARCH([2]FAQ!$D$4,$E40)+ROW()/1000,"")</f>
        <v/>
      </c>
    </row>
    <row r="41" spans="3:3" x14ac:dyDescent="0.25">
      <c r="C41" s="1" t="str">
        <f>IFERROR(SEARCH([2]FAQ!$D$4,$E41)+ROW()/1000,"")</f>
        <v/>
      </c>
    </row>
    <row r="42" spans="3:3" x14ac:dyDescent="0.25">
      <c r="C42" s="1" t="str">
        <f>IFERROR(SEARCH([2]FAQ!$D$4,$E42)+ROW()/1000,"")</f>
        <v/>
      </c>
    </row>
    <row r="43" spans="3:3" x14ac:dyDescent="0.25">
      <c r="C43" s="1" t="str">
        <f>IFERROR(SEARCH([2]FAQ!$D$4,$E43)+ROW()/1000,"")</f>
        <v/>
      </c>
    </row>
    <row r="44" spans="3:3" x14ac:dyDescent="0.25">
      <c r="C44" s="1" t="str">
        <f>IFERROR(SEARCH([2]FAQ!$D$4,$E44)+ROW()/1000,"")</f>
        <v/>
      </c>
    </row>
    <row r="45" spans="3:3" x14ac:dyDescent="0.25">
      <c r="C45" s="1" t="str">
        <f>IFERROR(SEARCH([2]FAQ!$D$4,$E45)+ROW()/1000,"")</f>
        <v/>
      </c>
    </row>
    <row r="46" spans="3:3" x14ac:dyDescent="0.25">
      <c r="C46" s="1" t="str">
        <f>IFERROR(SEARCH([2]FAQ!$D$4,$E46)+ROW()/1000,"")</f>
        <v/>
      </c>
    </row>
    <row r="47" spans="3:3" x14ac:dyDescent="0.25">
      <c r="C47" s="1" t="str">
        <f>IFERROR(SEARCH([2]FAQ!$D$4,$E47)+ROW()/1000,"")</f>
        <v/>
      </c>
    </row>
    <row r="48" spans="3:3" x14ac:dyDescent="0.25">
      <c r="C48" s="1" t="str">
        <f>IFERROR(SEARCH([2]FAQ!$D$4,$E48)+ROW()/1000,"")</f>
        <v/>
      </c>
    </row>
    <row r="49" spans="3:3" x14ac:dyDescent="0.25">
      <c r="C49" s="1" t="str">
        <f>IFERROR(SEARCH([2]FAQ!$D$4,$E49)+ROW()/1000,"")</f>
        <v/>
      </c>
    </row>
    <row r="50" spans="3:3" x14ac:dyDescent="0.25">
      <c r="C50" s="1" t="str">
        <f>IFERROR(SEARCH([2]FAQ!$D$4,$E50)+ROW()/1000,"")</f>
        <v/>
      </c>
    </row>
    <row r="51" spans="3:3" x14ac:dyDescent="0.25">
      <c r="C51" s="1" t="str">
        <f>IFERROR(SEARCH([2]FAQ!$D$4,$E51)+ROW()/1000,"")</f>
        <v/>
      </c>
    </row>
    <row r="52" spans="3:3" x14ac:dyDescent="0.25">
      <c r="C52" s="1" t="str">
        <f>IFERROR(SEARCH([2]FAQ!$D$4,$E52)+ROW()/1000,"")</f>
        <v/>
      </c>
    </row>
    <row r="53" spans="3:3" x14ac:dyDescent="0.25">
      <c r="C53" s="1" t="str">
        <f>IFERROR(SEARCH([2]FAQ!$D$4,$E53)+ROW()/1000,"")</f>
        <v/>
      </c>
    </row>
    <row r="54" spans="3:3" x14ac:dyDescent="0.25">
      <c r="C54" s="1" t="str">
        <f>IFERROR(SEARCH([2]FAQ!$D$4,$E54)+ROW()/1000,"")</f>
        <v/>
      </c>
    </row>
    <row r="55" spans="3:3" x14ac:dyDescent="0.25">
      <c r="C55" s="1" t="str">
        <f>IFERROR(SEARCH([2]FAQ!$D$4,$E55)+ROW()/1000,"")</f>
        <v/>
      </c>
    </row>
    <row r="56" spans="3:3" x14ac:dyDescent="0.25">
      <c r="C56" s="1" t="str">
        <f>IFERROR(SEARCH([2]FAQ!$D$4,$E56)+ROW()/1000,"")</f>
        <v/>
      </c>
    </row>
    <row r="57" spans="3:3" x14ac:dyDescent="0.25">
      <c r="C57" s="1" t="str">
        <f>IFERROR(SEARCH([2]FAQ!$D$4,$E57)+ROW()/1000,"")</f>
        <v/>
      </c>
    </row>
    <row r="58" spans="3:3" x14ac:dyDescent="0.25">
      <c r="C58" s="1" t="str">
        <f>IFERROR(SEARCH([2]FAQ!$D$4,$E58)+ROW()/1000,"")</f>
        <v/>
      </c>
    </row>
    <row r="59" spans="3:3" x14ac:dyDescent="0.25">
      <c r="C59" s="1" t="str">
        <f>IFERROR(SEARCH([2]FAQ!$D$4,$E59)+ROW()/1000,"")</f>
        <v/>
      </c>
    </row>
    <row r="60" spans="3:3" x14ac:dyDescent="0.25">
      <c r="C60" s="1" t="str">
        <f>IFERROR(SEARCH([2]FAQ!$D$4,$E60)+ROW()/1000,"")</f>
        <v/>
      </c>
    </row>
    <row r="61" spans="3:3" x14ac:dyDescent="0.25">
      <c r="C61" s="1" t="str">
        <f>IFERROR(SEARCH([2]FAQ!$D$4,$E61)+ROW()/1000,"")</f>
        <v/>
      </c>
    </row>
    <row r="62" spans="3:3" x14ac:dyDescent="0.25">
      <c r="C62" s="1" t="str">
        <f>IFERROR(SEARCH([2]FAQ!$D$4,$E62)+ROW()/1000,"")</f>
        <v/>
      </c>
    </row>
    <row r="63" spans="3:3" x14ac:dyDescent="0.25">
      <c r="C63" s="1" t="str">
        <f>IFERROR(SEARCH([2]FAQ!$D$4,$E63)+ROW()/1000,"")</f>
        <v/>
      </c>
    </row>
    <row r="64" spans="3:3" x14ac:dyDescent="0.25">
      <c r="C64" s="1" t="str">
        <f>IFERROR(SEARCH([2]FAQ!$D$4,$E64)+ROW()/1000,"")</f>
        <v/>
      </c>
    </row>
    <row r="65" spans="3:3" x14ac:dyDescent="0.25">
      <c r="C65" s="1" t="str">
        <f>IFERROR(SEARCH([2]FAQ!$D$4,$E65)+ROW()/1000,"")</f>
        <v/>
      </c>
    </row>
    <row r="66" spans="3:3" x14ac:dyDescent="0.25">
      <c r="C66" s="1" t="str">
        <f>IFERROR(SEARCH([2]FAQ!$D$4,$E66)+ROW()/1000,"")</f>
        <v/>
      </c>
    </row>
    <row r="67" spans="3:3" x14ac:dyDescent="0.25">
      <c r="C67" s="1" t="str">
        <f>IFERROR(SEARCH([2]FAQ!$D$4,$E67)+ROW()/1000,"")</f>
        <v/>
      </c>
    </row>
    <row r="68" spans="3:3" x14ac:dyDescent="0.25">
      <c r="C68" s="1" t="str">
        <f>IFERROR(SEARCH([2]FAQ!$D$4,$E68)+ROW()/1000,"")</f>
        <v/>
      </c>
    </row>
    <row r="69" spans="3:3" x14ac:dyDescent="0.25">
      <c r="C69" s="1" t="str">
        <f>IFERROR(SEARCH([2]FAQ!$D$4,$E69)+ROW()/1000,"")</f>
        <v/>
      </c>
    </row>
    <row r="70" spans="3:3" x14ac:dyDescent="0.25">
      <c r="C70" s="1" t="str">
        <f>IFERROR(SEARCH([2]FAQ!$D$4,$E70)+ROW()/1000,"")</f>
        <v/>
      </c>
    </row>
    <row r="71" spans="3:3" x14ac:dyDescent="0.25">
      <c r="C71" s="1" t="str">
        <f>IFERROR(SEARCH([2]FAQ!$D$4,$E71)+ROW()/1000,"")</f>
        <v/>
      </c>
    </row>
    <row r="72" spans="3:3" x14ac:dyDescent="0.25">
      <c r="C72" s="1" t="str">
        <f>IFERROR(SEARCH([2]FAQ!$D$4,$E72)+ROW()/1000,"")</f>
        <v/>
      </c>
    </row>
    <row r="73" spans="3:3" x14ac:dyDescent="0.25">
      <c r="C73" s="1" t="str">
        <f>IFERROR(SEARCH([2]FAQ!$D$4,$E73)+ROW()/1000,"")</f>
        <v/>
      </c>
    </row>
    <row r="74" spans="3:3" x14ac:dyDescent="0.25">
      <c r="C74" s="1" t="str">
        <f>IFERROR(SEARCH([2]FAQ!$D$4,$E74)+ROW()/1000,"")</f>
        <v/>
      </c>
    </row>
    <row r="75" spans="3:3" x14ac:dyDescent="0.25">
      <c r="C75" s="1" t="str">
        <f>IFERROR(SEARCH([2]FAQ!$D$4,$E75)+ROW()/1000,"")</f>
        <v/>
      </c>
    </row>
    <row r="76" spans="3:3" x14ac:dyDescent="0.25">
      <c r="C76" s="1" t="str">
        <f>IFERROR(SEARCH([2]FAQ!$D$4,$E76)+ROW()/1000,"")</f>
        <v/>
      </c>
    </row>
    <row r="77" spans="3:3" x14ac:dyDescent="0.25">
      <c r="C77" s="1" t="str">
        <f>IFERROR(SEARCH([2]FAQ!$D$4,$E77)+ROW()/1000,"")</f>
        <v/>
      </c>
    </row>
    <row r="78" spans="3:3" x14ac:dyDescent="0.25">
      <c r="C78" s="1" t="str">
        <f>IFERROR(SEARCH([2]FAQ!$D$4,$E78)+ROW()/1000,"")</f>
        <v/>
      </c>
    </row>
    <row r="79" spans="3:3" x14ac:dyDescent="0.25">
      <c r="C79" s="1" t="str">
        <f>IFERROR(SEARCH([2]FAQ!$D$4,$E79)+ROW()/1000,"")</f>
        <v/>
      </c>
    </row>
    <row r="80" spans="3:3" x14ac:dyDescent="0.25">
      <c r="C80" s="1" t="str">
        <f>IFERROR(SEARCH([2]FAQ!$D$4,$E80)+ROW()/1000,"")</f>
        <v/>
      </c>
    </row>
    <row r="81" spans="3:3" x14ac:dyDescent="0.25">
      <c r="C81" s="1" t="str">
        <f>IFERROR(SEARCH([2]FAQ!$D$4,$E81)+ROW()/1000,"")</f>
        <v/>
      </c>
    </row>
    <row r="82" spans="3:3" x14ac:dyDescent="0.25">
      <c r="C82" s="1" t="str">
        <f>IFERROR(SEARCH([2]FAQ!$D$4,$E82)+ROW()/1000,"")</f>
        <v/>
      </c>
    </row>
    <row r="83" spans="3:3" x14ac:dyDescent="0.25">
      <c r="C83" s="1" t="str">
        <f>IFERROR(SEARCH([2]FAQ!$D$4,$E83)+ROW()/1000,"")</f>
        <v/>
      </c>
    </row>
    <row r="84" spans="3:3" x14ac:dyDescent="0.25">
      <c r="C84" s="1" t="str">
        <f>IFERROR(SEARCH([2]FAQ!$D$4,$E84)+ROW()/1000,"")</f>
        <v/>
      </c>
    </row>
    <row r="85" spans="3:3" x14ac:dyDescent="0.25">
      <c r="C85" s="1" t="str">
        <f>IFERROR(SEARCH([2]FAQ!$D$4,$E85)+ROW()/1000,"")</f>
        <v/>
      </c>
    </row>
    <row r="86" spans="3:3" x14ac:dyDescent="0.25">
      <c r="C86" s="1" t="str">
        <f>IFERROR(SEARCH([2]FAQ!$D$4,$E86)+ROW()/1000,"")</f>
        <v/>
      </c>
    </row>
    <row r="87" spans="3:3" x14ac:dyDescent="0.25">
      <c r="C87" s="1" t="str">
        <f>IFERROR(SEARCH([2]FAQ!$D$4,$E87)+ROW()/1000,"")</f>
        <v/>
      </c>
    </row>
    <row r="88" spans="3:3" x14ac:dyDescent="0.25">
      <c r="C88" s="1" t="str">
        <f>IFERROR(SEARCH([2]FAQ!$D$4,$E88)+ROW()/1000,"")</f>
        <v/>
      </c>
    </row>
    <row r="89" spans="3:3" x14ac:dyDescent="0.25">
      <c r="C89" s="1" t="str">
        <f>IFERROR(SEARCH([2]FAQ!$D$4,$E89)+ROW()/1000,"")</f>
        <v/>
      </c>
    </row>
    <row r="90" spans="3:3" x14ac:dyDescent="0.25">
      <c r="C90" s="1" t="str">
        <f>IFERROR(SEARCH([2]FAQ!$D$4,$E90)+ROW()/1000,"")</f>
        <v/>
      </c>
    </row>
    <row r="91" spans="3:3" x14ac:dyDescent="0.25">
      <c r="C91" s="1" t="str">
        <f>IFERROR(SEARCH([2]FAQ!$D$4,$E91)+ROW()/1000,"")</f>
        <v/>
      </c>
    </row>
    <row r="92" spans="3:3" x14ac:dyDescent="0.25">
      <c r="C92" s="1" t="str">
        <f>IFERROR(SEARCH([2]FAQ!$D$4,$E92)+ROW()/1000,"")</f>
        <v/>
      </c>
    </row>
    <row r="93" spans="3:3" x14ac:dyDescent="0.25">
      <c r="C93" s="1" t="str">
        <f>IFERROR(SEARCH([2]FAQ!$D$4,$E93)+ROW()/1000,"")</f>
        <v/>
      </c>
    </row>
    <row r="94" spans="3:3" x14ac:dyDescent="0.25">
      <c r="C94" s="1" t="str">
        <f>IFERROR(SEARCH([2]FAQ!$D$4,$E94)+ROW()/1000,"")</f>
        <v/>
      </c>
    </row>
    <row r="95" spans="3:3" x14ac:dyDescent="0.25">
      <c r="C95" s="1" t="str">
        <f>IFERROR(SEARCH([2]FAQ!$D$4,$E95)+ROW()/1000,"")</f>
        <v/>
      </c>
    </row>
    <row r="96" spans="3:3" x14ac:dyDescent="0.25">
      <c r="C96" s="1" t="str">
        <f>IFERROR(SEARCH([2]FAQ!$D$4,$E96)+ROW()/1000,"")</f>
        <v/>
      </c>
    </row>
    <row r="97" spans="3:3" x14ac:dyDescent="0.25">
      <c r="C97" s="1" t="str">
        <f>IFERROR(SEARCH([2]FAQ!$D$4,$E97)+ROW()/1000,"")</f>
        <v/>
      </c>
    </row>
    <row r="98" spans="3:3" x14ac:dyDescent="0.25">
      <c r="C98" s="1" t="str">
        <f>IFERROR(SEARCH([2]FAQ!$D$4,$E98)+ROW()/1000,"")</f>
        <v/>
      </c>
    </row>
    <row r="99" spans="3:3" x14ac:dyDescent="0.25">
      <c r="C99" s="1" t="str">
        <f>IFERROR(SEARCH([2]FAQ!$D$4,$E99)+ROW()/1000,"")</f>
        <v/>
      </c>
    </row>
    <row r="100" spans="3:3" x14ac:dyDescent="0.25">
      <c r="C100" s="1" t="str">
        <f>IFERROR(SEARCH([2]FAQ!$D$4,$E100)+ROW()/1000,"")</f>
        <v/>
      </c>
    </row>
    <row r="101" spans="3:3" x14ac:dyDescent="0.25">
      <c r="C101" s="1" t="str">
        <f>IFERROR(SEARCH([2]FAQ!$D$4,$E101)+ROW()/1000,"")</f>
        <v/>
      </c>
    </row>
    <row r="102" spans="3:3" x14ac:dyDescent="0.25">
      <c r="C102" s="1" t="str">
        <f>IFERROR(SEARCH([2]FAQ!$D$4,$E102)+ROW()/1000,"")</f>
        <v/>
      </c>
    </row>
    <row r="103" spans="3:3" x14ac:dyDescent="0.25">
      <c r="C103" s="1" t="str">
        <f>IFERROR(SEARCH([2]FAQ!$D$4,$E103)+ROW()/1000,"")</f>
        <v/>
      </c>
    </row>
    <row r="104" spans="3:3" x14ac:dyDescent="0.25">
      <c r="C104" s="1" t="str">
        <f>IFERROR(SEARCH([2]FAQ!$D$4,$E104)+ROW()/1000,"")</f>
        <v/>
      </c>
    </row>
    <row r="105" spans="3:3" x14ac:dyDescent="0.25">
      <c r="C105" s="1" t="str">
        <f>IFERROR(SEARCH([2]FAQ!$D$4,$E105)+ROW()/1000,"")</f>
        <v/>
      </c>
    </row>
    <row r="106" spans="3:3" x14ac:dyDescent="0.25">
      <c r="C106" s="1" t="str">
        <f>IFERROR(SEARCH([2]FAQ!$D$4,$E106)+ROW()/1000,"")</f>
        <v/>
      </c>
    </row>
    <row r="107" spans="3:3" x14ac:dyDescent="0.25">
      <c r="C107" s="1" t="str">
        <f>IFERROR(SEARCH([2]FAQ!$D$4,$E107)+ROW()/1000,"")</f>
        <v/>
      </c>
    </row>
    <row r="108" spans="3:3" x14ac:dyDescent="0.25">
      <c r="C108" s="1" t="str">
        <f>IFERROR(SEARCH([2]FAQ!$D$4,$E108)+ROW()/1000,"")</f>
        <v/>
      </c>
    </row>
    <row r="109" spans="3:3" x14ac:dyDescent="0.25">
      <c r="C109" s="1" t="str">
        <f>IFERROR(SEARCH([2]FAQ!$D$4,$E109)+ROW()/1000,"")</f>
        <v/>
      </c>
    </row>
    <row r="110" spans="3:3" x14ac:dyDescent="0.25">
      <c r="C110" s="1" t="str">
        <f>IFERROR(SEARCH([2]FAQ!$D$4,$E110)+ROW()/1000,"")</f>
        <v/>
      </c>
    </row>
    <row r="111" spans="3:3" x14ac:dyDescent="0.25">
      <c r="C111" s="1" t="str">
        <f>IFERROR(SEARCH([2]FAQ!$D$4,$E111)+ROW()/1000,"")</f>
        <v/>
      </c>
    </row>
    <row r="112" spans="3:3" x14ac:dyDescent="0.25">
      <c r="C112" s="1" t="str">
        <f>IFERROR(SEARCH([2]FAQ!$D$4,$E112)+ROW()/1000,"")</f>
        <v/>
      </c>
    </row>
    <row r="113" spans="3:3" x14ac:dyDescent="0.25">
      <c r="C113" s="1" t="str">
        <f>IFERROR(SEARCH([2]FAQ!$D$4,$E113)+ROW()/1000,"")</f>
        <v/>
      </c>
    </row>
    <row r="114" spans="3:3" x14ac:dyDescent="0.25">
      <c r="C114" s="1" t="str">
        <f>IFERROR(SEARCH([2]FAQ!$D$4,$E114)+ROW()/1000,"")</f>
        <v/>
      </c>
    </row>
    <row r="115" spans="3:3" x14ac:dyDescent="0.25">
      <c r="C115" s="1" t="str">
        <f>IFERROR(SEARCH([2]FAQ!$D$4,$E115)+ROW()/1000,"")</f>
        <v/>
      </c>
    </row>
    <row r="116" spans="3:3" x14ac:dyDescent="0.25">
      <c r="C116" s="1" t="str">
        <f>IFERROR(SEARCH([2]FAQ!$D$4,$E116)+ROW()/1000,"")</f>
        <v/>
      </c>
    </row>
    <row r="117" spans="3:3" x14ac:dyDescent="0.25">
      <c r="C117" s="1" t="str">
        <f>IFERROR(SEARCH([2]FAQ!$D$4,$E117)+ROW()/1000,"")</f>
        <v/>
      </c>
    </row>
    <row r="118" spans="3:3" x14ac:dyDescent="0.25">
      <c r="C118" s="1" t="str">
        <f>IFERROR(SEARCH([2]FAQ!$D$4,$E118)+ROW()/1000,"")</f>
        <v/>
      </c>
    </row>
    <row r="119" spans="3:3" x14ac:dyDescent="0.25">
      <c r="C119" s="1" t="str">
        <f>IFERROR(SEARCH([2]FAQ!$D$4,$E119)+ROW()/1000,"")</f>
        <v/>
      </c>
    </row>
    <row r="120" spans="3:3" x14ac:dyDescent="0.25">
      <c r="C120" s="1" t="str">
        <f>IFERROR(SEARCH([2]FAQ!$D$4,$E120)+ROW()/1000,"")</f>
        <v/>
      </c>
    </row>
    <row r="121" spans="3:3" x14ac:dyDescent="0.25">
      <c r="C121" s="1" t="str">
        <f>IFERROR(SEARCH([2]FAQ!$D$4,$E121)+ROW()/1000,"")</f>
        <v/>
      </c>
    </row>
    <row r="122" spans="3:3" x14ac:dyDescent="0.25">
      <c r="C122" s="1" t="str">
        <f>IFERROR(SEARCH([2]FAQ!$D$4,$E122)+ROW()/1000,"")</f>
        <v/>
      </c>
    </row>
    <row r="123" spans="3:3" x14ac:dyDescent="0.25">
      <c r="C123" s="1" t="str">
        <f>IFERROR(SEARCH([2]FAQ!$D$4,$E123)+ROW()/1000,"")</f>
        <v/>
      </c>
    </row>
    <row r="124" spans="3:3" x14ac:dyDescent="0.25">
      <c r="C124" s="1" t="str">
        <f>IFERROR(SEARCH([2]FAQ!$D$4,$E124)+ROW()/1000,"")</f>
        <v/>
      </c>
    </row>
    <row r="125" spans="3:3" x14ac:dyDescent="0.25">
      <c r="C125" s="1" t="str">
        <f>IFERROR(SEARCH([2]FAQ!$D$4,$E125)+ROW()/1000,"")</f>
        <v/>
      </c>
    </row>
    <row r="126" spans="3:3" x14ac:dyDescent="0.25">
      <c r="C126" s="1" t="str">
        <f>IFERROR(SEARCH([2]FAQ!$D$4,$E126)+ROW()/1000,"")</f>
        <v/>
      </c>
    </row>
    <row r="127" spans="3:3" x14ac:dyDescent="0.25">
      <c r="C127" s="1" t="str">
        <f>IFERROR(SEARCH([2]FAQ!$D$4,$E127)+ROW()/1000,"")</f>
        <v/>
      </c>
    </row>
    <row r="128" spans="3:3" x14ac:dyDescent="0.25">
      <c r="C128" s="1" t="str">
        <f>IFERROR(SEARCH([2]FAQ!$D$4,$E128)+ROW()/1000,"")</f>
        <v/>
      </c>
    </row>
    <row r="129" spans="3:3" x14ac:dyDescent="0.25">
      <c r="C129" s="1" t="str">
        <f>IFERROR(SEARCH([2]FAQ!$D$4,$E129)+ROW()/1000,"")</f>
        <v/>
      </c>
    </row>
    <row r="130" spans="3:3" x14ac:dyDescent="0.25">
      <c r="C130" s="1" t="str">
        <f>IFERROR(SEARCH([2]FAQ!$D$4,$E130)+ROW()/1000,"")</f>
        <v/>
      </c>
    </row>
    <row r="131" spans="3:3" x14ac:dyDescent="0.25">
      <c r="C131" s="1" t="str">
        <f>IFERROR(SEARCH([2]FAQ!$D$4,$E131)+ROW()/1000,"")</f>
        <v/>
      </c>
    </row>
    <row r="132" spans="3:3" x14ac:dyDescent="0.25">
      <c r="C132" s="1" t="str">
        <f>IFERROR(SEARCH([2]FAQ!$D$4,$E132)+ROW()/1000,"")</f>
        <v/>
      </c>
    </row>
  </sheetData>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75DF6-4249-46D6-8C25-1956C5F6F333}">
  <sheetPr>
    <tabColor rgb="FFFFFFCC"/>
  </sheetPr>
  <dimension ref="B2:D26"/>
  <sheetViews>
    <sheetView showGridLines="0" zoomScale="130" zoomScaleNormal="130" workbookViewId="0">
      <selection activeCell="C8" sqref="C8"/>
    </sheetView>
  </sheetViews>
  <sheetFormatPr defaultRowHeight="15" x14ac:dyDescent="0.25"/>
  <cols>
    <col min="1" max="1" width="2.140625" customWidth="1"/>
    <col min="2" max="2" width="35.28515625" bestFit="1" customWidth="1"/>
    <col min="3" max="3" width="89.85546875" customWidth="1"/>
  </cols>
  <sheetData>
    <row r="2" spans="2:4" x14ac:dyDescent="0.25">
      <c r="B2" s="50" t="s">
        <v>185</v>
      </c>
      <c r="C2" s="50"/>
      <c r="D2" s="51"/>
    </row>
    <row r="4" spans="2:4" x14ac:dyDescent="0.25">
      <c r="B4" s="55" t="s">
        <v>47</v>
      </c>
      <c r="C4" s="58"/>
    </row>
    <row r="5" spans="2:4" x14ac:dyDescent="0.25">
      <c r="B5" s="55" t="s">
        <v>46</v>
      </c>
      <c r="C5" s="58"/>
    </row>
    <row r="6" spans="2:4" x14ac:dyDescent="0.25">
      <c r="B6" s="5"/>
      <c r="C6" s="38"/>
    </row>
    <row r="7" spans="2:4" x14ac:dyDescent="0.25">
      <c r="B7" s="5" t="s">
        <v>159</v>
      </c>
      <c r="C7" s="89">
        <f>IF(C8="","",C8-1)</f>
        <v>2023</v>
      </c>
    </row>
    <row r="8" spans="2:4" x14ac:dyDescent="0.25">
      <c r="B8" s="5" t="s">
        <v>158</v>
      </c>
      <c r="C8" s="89">
        <f>IF(C9="","",C9-1)</f>
        <v>2024</v>
      </c>
    </row>
    <row r="9" spans="2:4" x14ac:dyDescent="0.25">
      <c r="B9" s="5" t="s">
        <v>160</v>
      </c>
      <c r="C9" s="89">
        <f>IF(C10="","",C10-1)</f>
        <v>2025</v>
      </c>
    </row>
    <row r="10" spans="2:4" x14ac:dyDescent="0.25">
      <c r="B10" s="55" t="s">
        <v>153</v>
      </c>
      <c r="C10" s="90">
        <v>2026</v>
      </c>
    </row>
    <row r="11" spans="2:4" x14ac:dyDescent="0.25">
      <c r="B11" s="5" t="s">
        <v>154</v>
      </c>
      <c r="C11" s="89">
        <f t="shared" ref="C11:C14" si="0">IF(C10="","",C10+1)</f>
        <v>2027</v>
      </c>
    </row>
    <row r="12" spans="2:4" x14ac:dyDescent="0.25">
      <c r="B12" s="5" t="s">
        <v>155</v>
      </c>
      <c r="C12" s="89">
        <f t="shared" si="0"/>
        <v>2028</v>
      </c>
    </row>
    <row r="13" spans="2:4" x14ac:dyDescent="0.25">
      <c r="B13" s="5" t="s">
        <v>156</v>
      </c>
      <c r="C13" s="89">
        <f t="shared" si="0"/>
        <v>2029</v>
      </c>
    </row>
    <row r="14" spans="2:4" x14ac:dyDescent="0.25">
      <c r="B14" s="5" t="s">
        <v>157</v>
      </c>
      <c r="C14" s="89">
        <f t="shared" si="0"/>
        <v>2030</v>
      </c>
    </row>
    <row r="15" spans="2:4" x14ac:dyDescent="0.25">
      <c r="B15" s="5"/>
      <c r="C15" s="38"/>
    </row>
    <row r="16" spans="2:4" x14ac:dyDescent="0.25">
      <c r="B16" s="55" t="s">
        <v>48</v>
      </c>
      <c r="C16" s="58" t="s">
        <v>50</v>
      </c>
    </row>
    <row r="17" spans="2:3" x14ac:dyDescent="0.25">
      <c r="B17" s="5"/>
      <c r="C17" s="38"/>
    </row>
    <row r="18" spans="2:3" x14ac:dyDescent="0.25">
      <c r="B18" s="55" t="s">
        <v>49</v>
      </c>
      <c r="C18" s="59">
        <v>0.1</v>
      </c>
    </row>
    <row r="19" spans="2:3" x14ac:dyDescent="0.25">
      <c r="B19" s="55" t="s">
        <v>161</v>
      </c>
      <c r="C19" s="59">
        <v>0.03</v>
      </c>
    </row>
    <row r="21" spans="2:3" x14ac:dyDescent="0.25">
      <c r="B21" s="55" t="s">
        <v>54</v>
      </c>
      <c r="C21" s="4" t="s">
        <v>55</v>
      </c>
    </row>
    <row r="22" spans="2:3" x14ac:dyDescent="0.25">
      <c r="B22" s="56" t="s">
        <v>56</v>
      </c>
      <c r="C22" s="57" t="str">
        <f>B22&amp;" Description"</f>
        <v>Scenario 1 Description</v>
      </c>
    </row>
    <row r="23" spans="2:3" x14ac:dyDescent="0.25">
      <c r="B23" s="56" t="s">
        <v>57</v>
      </c>
      <c r="C23" s="57" t="str">
        <f t="shared" ref="C23:C26" si="1">B23&amp;" Description"</f>
        <v>Scenario 2 Description</v>
      </c>
    </row>
    <row r="24" spans="2:3" x14ac:dyDescent="0.25">
      <c r="B24" s="56" t="s">
        <v>58</v>
      </c>
      <c r="C24" s="57" t="str">
        <f t="shared" si="1"/>
        <v>Scenario 3 Description</v>
      </c>
    </row>
    <row r="25" spans="2:3" x14ac:dyDescent="0.25">
      <c r="B25" s="56" t="s">
        <v>59</v>
      </c>
      <c r="C25" s="57" t="str">
        <f t="shared" si="1"/>
        <v>Scenario 4 Description</v>
      </c>
    </row>
    <row r="26" spans="2:3" x14ac:dyDescent="0.25">
      <c r="B26" s="56" t="s">
        <v>60</v>
      </c>
      <c r="C26" s="57" t="str">
        <f t="shared" si="1"/>
        <v>Scenario 5 Description</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67C1A-C146-468F-91E4-9EA5050C0940}">
  <sheetPr codeName="Sheet1">
    <tabColor rgb="FFFFFFCC"/>
  </sheetPr>
  <dimension ref="B1:P54"/>
  <sheetViews>
    <sheetView zoomScaleNormal="100" workbookViewId="0">
      <selection activeCell="N17" sqref="N17"/>
    </sheetView>
  </sheetViews>
  <sheetFormatPr defaultColWidth="9.140625" defaultRowHeight="15" x14ac:dyDescent="0.25"/>
  <cols>
    <col min="1" max="8" width="4" style="1" customWidth="1"/>
    <col min="9" max="9" width="2.140625" style="1" customWidth="1"/>
    <col min="10" max="10" width="21" style="108" customWidth="1"/>
    <col min="11" max="11" width="3.5703125" style="109" customWidth="1"/>
    <col min="12" max="12" width="68" style="1" customWidth="1"/>
    <col min="13" max="13" width="8.5703125" style="2" customWidth="1"/>
    <col min="14" max="14" width="75" style="1" customWidth="1"/>
    <col min="15" max="15" width="12" style="1" customWidth="1"/>
    <col min="16" max="16" width="9.140625" style="1"/>
    <col min="17" max="17" width="19.28515625" style="1" bestFit="1" customWidth="1"/>
    <col min="18" max="18" width="26.140625" style="1" bestFit="1" customWidth="1"/>
    <col min="19" max="19" width="11.42578125" style="1" bestFit="1" customWidth="1"/>
    <col min="20" max="20" width="5.85546875" style="1" bestFit="1" customWidth="1"/>
    <col min="21" max="21" width="20.140625" style="1" bestFit="1" customWidth="1"/>
    <col min="22" max="22" width="6.7109375" style="1" bestFit="1" customWidth="1"/>
    <col min="23" max="16384" width="9.140625" style="1"/>
  </cols>
  <sheetData>
    <row r="1" spans="2:16" ht="15.75" thickBot="1" x14ac:dyDescent="0.3"/>
    <row r="2" spans="2:16" ht="23.25" x14ac:dyDescent="0.35">
      <c r="J2" s="210" t="s">
        <v>187</v>
      </c>
      <c r="K2" s="211"/>
      <c r="L2" s="212"/>
      <c r="M2" s="213"/>
      <c r="N2" s="212"/>
      <c r="O2" s="214"/>
    </row>
    <row r="3" spans="2:16" x14ac:dyDescent="0.25">
      <c r="J3" s="215"/>
      <c r="K3" s="216"/>
      <c r="L3" s="217"/>
      <c r="M3" s="218"/>
      <c r="N3" s="217"/>
      <c r="O3" s="219"/>
    </row>
    <row r="4" spans="2:16" x14ac:dyDescent="0.25">
      <c r="J4" s="220"/>
      <c r="K4" s="216"/>
      <c r="L4" s="217"/>
      <c r="M4" s="218"/>
      <c r="N4" s="217"/>
      <c r="O4" s="219"/>
    </row>
    <row r="5" spans="2:16" x14ac:dyDescent="0.25">
      <c r="J5" s="215"/>
      <c r="K5" s="216"/>
      <c r="L5" s="217"/>
      <c r="M5" s="218"/>
      <c r="N5" s="217"/>
      <c r="O5" s="219"/>
    </row>
    <row r="6" spans="2:16" ht="15.75" thickBot="1" x14ac:dyDescent="0.3">
      <c r="J6" s="221"/>
      <c r="K6" s="222"/>
      <c r="L6" s="223"/>
      <c r="M6" s="224"/>
      <c r="N6" s="223"/>
      <c r="O6" s="225"/>
    </row>
    <row r="7" spans="2:16" ht="15.75" thickBot="1" x14ac:dyDescent="0.3"/>
    <row r="8" spans="2:16" ht="15.75" thickBot="1" x14ac:dyDescent="0.3">
      <c r="B8" s="226">
        <v>1</v>
      </c>
      <c r="C8" s="226">
        <v>2</v>
      </c>
      <c r="D8" s="226">
        <v>3</v>
      </c>
      <c r="E8" s="226">
        <v>4</v>
      </c>
      <c r="F8" s="226">
        <v>5</v>
      </c>
      <c r="G8" s="226">
        <v>6</v>
      </c>
      <c r="H8" s="226">
        <v>7</v>
      </c>
      <c r="L8" s="110" t="s">
        <v>188</v>
      </c>
      <c r="M8" s="111" t="s">
        <v>189</v>
      </c>
      <c r="N8" s="110" t="s">
        <v>190</v>
      </c>
      <c r="O8" s="110" t="s">
        <v>191</v>
      </c>
    </row>
    <row r="9" spans="2:16" s="112" customFormat="1" ht="15.75" thickBot="1" x14ac:dyDescent="0.3">
      <c r="K9" s="113"/>
      <c r="L9" s="114" t="s">
        <v>192</v>
      </c>
      <c r="M9" s="115"/>
      <c r="N9" s="116" t="s">
        <v>193</v>
      </c>
      <c r="O9" s="117" t="s">
        <v>194</v>
      </c>
    </row>
    <row r="10" spans="2:16" s="112" customFormat="1" ht="12" thickBot="1" x14ac:dyDescent="0.3"/>
    <row r="11" spans="2:16" x14ac:dyDescent="0.25">
      <c r="B11" s="118" t="s">
        <v>195</v>
      </c>
      <c r="C11" s="118"/>
      <c r="D11" s="118" t="s">
        <v>195</v>
      </c>
      <c r="E11" s="118"/>
      <c r="F11" s="118" t="s">
        <v>195</v>
      </c>
      <c r="G11" s="118" t="s">
        <v>195</v>
      </c>
      <c r="H11" s="118" t="s">
        <v>195</v>
      </c>
      <c r="J11" s="227" t="s">
        <v>196</v>
      </c>
      <c r="K11" s="119">
        <v>1</v>
      </c>
      <c r="L11" s="120" t="s">
        <v>197</v>
      </c>
      <c r="M11" s="121" t="s">
        <v>201</v>
      </c>
      <c r="N11" s="120"/>
      <c r="O11" s="122"/>
      <c r="P11" s="123"/>
    </row>
    <row r="12" spans="2:16" x14ac:dyDescent="0.25">
      <c r="B12" s="118" t="s">
        <v>195</v>
      </c>
      <c r="C12" s="118"/>
      <c r="D12" s="118" t="s">
        <v>195</v>
      </c>
      <c r="E12" s="118"/>
      <c r="F12" s="118" t="s">
        <v>195</v>
      </c>
      <c r="G12" s="118" t="s">
        <v>195</v>
      </c>
      <c r="H12" s="118" t="s">
        <v>195</v>
      </c>
      <c r="J12" s="124"/>
      <c r="K12" s="125">
        <v>2</v>
      </c>
      <c r="L12" s="126" t="s">
        <v>198</v>
      </c>
      <c r="M12" s="127" t="s">
        <v>201</v>
      </c>
      <c r="N12" s="126"/>
      <c r="O12" s="128"/>
      <c r="P12" s="123"/>
    </row>
    <row r="13" spans="2:16" x14ac:dyDescent="0.25">
      <c r="B13" s="118" t="s">
        <v>195</v>
      </c>
      <c r="C13" s="118" t="s">
        <v>195</v>
      </c>
      <c r="D13" s="118" t="s">
        <v>195</v>
      </c>
      <c r="E13" s="118" t="s">
        <v>195</v>
      </c>
      <c r="F13" s="118" t="s">
        <v>195</v>
      </c>
      <c r="G13" s="118" t="s">
        <v>195</v>
      </c>
      <c r="H13" s="118" t="s">
        <v>195</v>
      </c>
      <c r="J13" s="149" t="s">
        <v>199</v>
      </c>
      <c r="K13" s="125">
        <v>3</v>
      </c>
      <c r="L13" s="126" t="s">
        <v>200</v>
      </c>
      <c r="M13" s="127" t="s">
        <v>201</v>
      </c>
      <c r="N13" s="126"/>
      <c r="O13" s="128"/>
      <c r="P13" s="123"/>
    </row>
    <row r="14" spans="2:16" x14ac:dyDescent="0.25">
      <c r="B14" s="118" t="s">
        <v>195</v>
      </c>
      <c r="C14" s="118" t="s">
        <v>195</v>
      </c>
      <c r="D14" s="118" t="s">
        <v>195</v>
      </c>
      <c r="E14" s="118" t="s">
        <v>195</v>
      </c>
      <c r="F14" s="118" t="s">
        <v>195</v>
      </c>
      <c r="G14" s="118" t="s">
        <v>195</v>
      </c>
      <c r="H14" s="118" t="s">
        <v>195</v>
      </c>
      <c r="J14" s="149"/>
      <c r="K14" s="125">
        <v>4</v>
      </c>
      <c r="L14" s="126" t="s">
        <v>202</v>
      </c>
      <c r="M14" s="127" t="s">
        <v>201</v>
      </c>
      <c r="N14" s="126"/>
      <c r="O14" s="128"/>
      <c r="P14" s="123"/>
    </row>
    <row r="15" spans="2:16" x14ac:dyDescent="0.25">
      <c r="B15" s="118" t="s">
        <v>195</v>
      </c>
      <c r="C15" s="118" t="s">
        <v>195</v>
      </c>
      <c r="D15" s="118" t="s">
        <v>195</v>
      </c>
      <c r="E15" s="118" t="s">
        <v>195</v>
      </c>
      <c r="F15" s="118" t="s">
        <v>195</v>
      </c>
      <c r="G15" s="118" t="s">
        <v>195</v>
      </c>
      <c r="H15" s="118" t="s">
        <v>195</v>
      </c>
      <c r="J15" s="149"/>
      <c r="K15" s="125">
        <v>5</v>
      </c>
      <c r="L15" s="126" t="s">
        <v>203</v>
      </c>
      <c r="M15" s="127" t="s">
        <v>201</v>
      </c>
      <c r="N15" s="126"/>
      <c r="O15" s="128"/>
      <c r="P15" s="123"/>
    </row>
    <row r="16" spans="2:16" x14ac:dyDescent="0.25">
      <c r="B16" s="118" t="s">
        <v>195</v>
      </c>
      <c r="C16" s="118" t="s">
        <v>195</v>
      </c>
      <c r="D16" s="118" t="s">
        <v>195</v>
      </c>
      <c r="E16" s="118" t="s">
        <v>195</v>
      </c>
      <c r="F16" s="118" t="s">
        <v>195</v>
      </c>
      <c r="G16" s="118" t="s">
        <v>195</v>
      </c>
      <c r="H16" s="118" t="s">
        <v>195</v>
      </c>
      <c r="J16" s="149"/>
      <c r="K16" s="125">
        <v>6</v>
      </c>
      <c r="L16" s="126" t="s">
        <v>204</v>
      </c>
      <c r="M16" s="127" t="s">
        <v>201</v>
      </c>
      <c r="N16" s="126"/>
      <c r="O16" s="128"/>
      <c r="P16" s="123"/>
    </row>
    <row r="17" spans="2:16" x14ac:dyDescent="0.25">
      <c r="B17" s="118" t="s">
        <v>195</v>
      </c>
      <c r="C17" s="118" t="s">
        <v>195</v>
      </c>
      <c r="D17" s="118" t="s">
        <v>195</v>
      </c>
      <c r="E17" s="118" t="s">
        <v>195</v>
      </c>
      <c r="F17" s="118" t="s">
        <v>195</v>
      </c>
      <c r="G17" s="118" t="s">
        <v>195</v>
      </c>
      <c r="H17" s="118" t="s">
        <v>195</v>
      </c>
      <c r="J17" s="149"/>
      <c r="K17" s="125">
        <v>7</v>
      </c>
      <c r="L17" s="126" t="s">
        <v>205</v>
      </c>
      <c r="M17" s="127" t="s">
        <v>201</v>
      </c>
      <c r="N17" s="126"/>
      <c r="O17" s="128"/>
      <c r="P17" s="123"/>
    </row>
    <row r="18" spans="2:16" x14ac:dyDescent="0.25">
      <c r="B18" s="118" t="s">
        <v>195</v>
      </c>
      <c r="C18" s="118" t="s">
        <v>195</v>
      </c>
      <c r="D18" s="118" t="s">
        <v>195</v>
      </c>
      <c r="E18" s="118" t="s">
        <v>195</v>
      </c>
      <c r="F18" s="118" t="s">
        <v>195</v>
      </c>
      <c r="G18" s="118" t="s">
        <v>195</v>
      </c>
      <c r="H18" s="118" t="s">
        <v>195</v>
      </c>
      <c r="J18" s="149"/>
      <c r="K18" s="125">
        <v>8</v>
      </c>
      <c r="L18" s="126" t="s">
        <v>206</v>
      </c>
      <c r="M18" s="127" t="s">
        <v>201</v>
      </c>
      <c r="N18" s="126"/>
      <c r="O18" s="128"/>
      <c r="P18" s="123"/>
    </row>
    <row r="19" spans="2:16" x14ac:dyDescent="0.25">
      <c r="B19" s="118" t="s">
        <v>195</v>
      </c>
      <c r="C19" s="118" t="s">
        <v>195</v>
      </c>
      <c r="D19" s="118" t="s">
        <v>195</v>
      </c>
      <c r="E19" s="118" t="s">
        <v>195</v>
      </c>
      <c r="F19" s="118" t="s">
        <v>195</v>
      </c>
      <c r="G19" s="118" t="s">
        <v>195</v>
      </c>
      <c r="H19" s="118" t="s">
        <v>195</v>
      </c>
      <c r="J19" s="149"/>
      <c r="K19" s="125">
        <v>9</v>
      </c>
      <c r="L19" s="126" t="s">
        <v>207</v>
      </c>
      <c r="M19" s="127" t="s">
        <v>201</v>
      </c>
      <c r="N19" s="126"/>
      <c r="O19" s="128"/>
      <c r="P19" s="123"/>
    </row>
    <row r="20" spans="2:16" x14ac:dyDescent="0.25">
      <c r="B20" s="118" t="s">
        <v>195</v>
      </c>
      <c r="C20" s="118" t="s">
        <v>195</v>
      </c>
      <c r="D20" s="118" t="s">
        <v>195</v>
      </c>
      <c r="E20" s="118" t="s">
        <v>195</v>
      </c>
      <c r="F20" s="118" t="s">
        <v>195</v>
      </c>
      <c r="G20" s="118" t="s">
        <v>195</v>
      </c>
      <c r="H20" s="118" t="s">
        <v>195</v>
      </c>
      <c r="J20" s="149"/>
      <c r="K20" s="125">
        <v>10</v>
      </c>
      <c r="L20" s="126" t="s">
        <v>208</v>
      </c>
      <c r="M20" s="127" t="s">
        <v>201</v>
      </c>
      <c r="N20" s="126"/>
      <c r="O20" s="128"/>
      <c r="P20" s="123"/>
    </row>
    <row r="21" spans="2:16" x14ac:dyDescent="0.25">
      <c r="B21" s="118" t="s">
        <v>195</v>
      </c>
      <c r="C21" s="118" t="s">
        <v>195</v>
      </c>
      <c r="D21" s="118" t="s">
        <v>195</v>
      </c>
      <c r="E21" s="118" t="s">
        <v>195</v>
      </c>
      <c r="F21" s="118" t="s">
        <v>195</v>
      </c>
      <c r="G21" s="118" t="s">
        <v>195</v>
      </c>
      <c r="H21" s="118" t="s">
        <v>195</v>
      </c>
      <c r="J21" s="149"/>
      <c r="K21" s="125">
        <v>11</v>
      </c>
      <c r="L21" s="126" t="s">
        <v>209</v>
      </c>
      <c r="M21" s="127" t="s">
        <v>201</v>
      </c>
      <c r="N21" s="126"/>
      <c r="O21" s="128"/>
      <c r="P21" s="123"/>
    </row>
    <row r="22" spans="2:16" ht="15.75" thickBot="1" x14ac:dyDescent="0.3">
      <c r="B22" s="118" t="s">
        <v>195</v>
      </c>
      <c r="C22" s="118" t="s">
        <v>195</v>
      </c>
      <c r="D22" s="118" t="s">
        <v>195</v>
      </c>
      <c r="E22" s="118" t="s">
        <v>195</v>
      </c>
      <c r="F22" s="118" t="s">
        <v>195</v>
      </c>
      <c r="G22" s="118" t="s">
        <v>195</v>
      </c>
      <c r="H22" s="118" t="s">
        <v>195</v>
      </c>
      <c r="J22" s="150"/>
      <c r="K22" s="129">
        <v>12</v>
      </c>
      <c r="L22" s="130" t="s">
        <v>210</v>
      </c>
      <c r="M22" s="131" t="s">
        <v>201</v>
      </c>
      <c r="N22" s="130"/>
      <c r="O22" s="132"/>
      <c r="P22" s="123"/>
    </row>
    <row r="23" spans="2:16" x14ac:dyDescent="0.25">
      <c r="B23" s="118" t="s">
        <v>195</v>
      </c>
      <c r="C23" s="118" t="s">
        <v>195</v>
      </c>
      <c r="D23" s="118" t="s">
        <v>195</v>
      </c>
      <c r="E23" s="118"/>
      <c r="F23" s="118" t="s">
        <v>195</v>
      </c>
      <c r="G23" s="118" t="s">
        <v>195</v>
      </c>
      <c r="H23" s="118" t="s">
        <v>195</v>
      </c>
      <c r="J23" s="227" t="s">
        <v>211</v>
      </c>
      <c r="K23" s="133">
        <v>14</v>
      </c>
      <c r="L23" s="120" t="s">
        <v>212</v>
      </c>
      <c r="M23" s="121" t="s">
        <v>201</v>
      </c>
      <c r="N23" s="120"/>
      <c r="O23" s="122"/>
      <c r="P23" s="123"/>
    </row>
    <row r="24" spans="2:16" x14ac:dyDescent="0.25">
      <c r="B24" s="118" t="s">
        <v>195</v>
      </c>
      <c r="C24" s="118"/>
      <c r="D24" s="118" t="s">
        <v>195</v>
      </c>
      <c r="E24" s="118"/>
      <c r="F24" s="118" t="s">
        <v>195</v>
      </c>
      <c r="G24" s="118" t="s">
        <v>195</v>
      </c>
      <c r="H24" s="118" t="s">
        <v>195</v>
      </c>
      <c r="J24" s="124"/>
      <c r="K24" s="134">
        <v>15</v>
      </c>
      <c r="L24" s="126" t="s">
        <v>213</v>
      </c>
      <c r="M24" s="127" t="s">
        <v>201</v>
      </c>
      <c r="N24" s="126"/>
      <c r="O24" s="128"/>
      <c r="P24" s="123"/>
    </row>
    <row r="25" spans="2:16" x14ac:dyDescent="0.25">
      <c r="B25" s="118" t="s">
        <v>195</v>
      </c>
      <c r="C25" s="118"/>
      <c r="D25" s="118" t="s">
        <v>195</v>
      </c>
      <c r="E25" s="118"/>
      <c r="F25" s="118" t="s">
        <v>195</v>
      </c>
      <c r="G25" s="118" t="s">
        <v>195</v>
      </c>
      <c r="H25" s="118" t="s">
        <v>195</v>
      </c>
      <c r="J25" s="124"/>
      <c r="K25" s="134">
        <v>16</v>
      </c>
      <c r="L25" s="126" t="s">
        <v>214</v>
      </c>
      <c r="M25" s="127" t="s">
        <v>201</v>
      </c>
      <c r="N25" s="126"/>
      <c r="O25" s="128"/>
      <c r="P25" s="123"/>
    </row>
    <row r="26" spans="2:16" x14ac:dyDescent="0.25">
      <c r="B26" s="118" t="s">
        <v>195</v>
      </c>
      <c r="C26" s="118"/>
      <c r="D26" s="118" t="s">
        <v>195</v>
      </c>
      <c r="E26" s="118"/>
      <c r="F26" s="118" t="s">
        <v>195</v>
      </c>
      <c r="G26" s="118" t="s">
        <v>195</v>
      </c>
      <c r="H26" s="118" t="s">
        <v>195</v>
      </c>
      <c r="J26" s="124"/>
      <c r="K26" s="134">
        <v>17</v>
      </c>
      <c r="L26" s="126" t="s">
        <v>215</v>
      </c>
      <c r="M26" s="127" t="s">
        <v>201</v>
      </c>
      <c r="N26" s="126"/>
      <c r="O26" s="128"/>
      <c r="P26" s="123"/>
    </row>
    <row r="27" spans="2:16" x14ac:dyDescent="0.25">
      <c r="B27" s="118" t="s">
        <v>195</v>
      </c>
      <c r="C27" s="118" t="s">
        <v>195</v>
      </c>
      <c r="D27" s="118" t="s">
        <v>195</v>
      </c>
      <c r="E27" s="118"/>
      <c r="F27" s="118" t="s">
        <v>195</v>
      </c>
      <c r="G27" s="118" t="s">
        <v>195</v>
      </c>
      <c r="H27" s="118" t="s">
        <v>195</v>
      </c>
      <c r="J27" s="124"/>
      <c r="K27" s="134">
        <v>18</v>
      </c>
      <c r="L27" s="126" t="s">
        <v>216</v>
      </c>
      <c r="M27" s="127" t="s">
        <v>201</v>
      </c>
      <c r="N27" s="126"/>
      <c r="O27" s="128"/>
      <c r="P27" s="123"/>
    </row>
    <row r="28" spans="2:16" x14ac:dyDescent="0.25">
      <c r="B28" s="118" t="s">
        <v>195</v>
      </c>
      <c r="C28" s="118" t="s">
        <v>195</v>
      </c>
      <c r="D28" s="118" t="s">
        <v>195</v>
      </c>
      <c r="E28" s="118"/>
      <c r="F28" s="118" t="s">
        <v>195</v>
      </c>
      <c r="G28" s="118" t="s">
        <v>195</v>
      </c>
      <c r="H28" s="118" t="s">
        <v>195</v>
      </c>
      <c r="J28" s="124"/>
      <c r="K28" s="134">
        <v>19</v>
      </c>
      <c r="L28" s="126" t="s">
        <v>217</v>
      </c>
      <c r="M28" s="127" t="s">
        <v>201</v>
      </c>
      <c r="N28" s="126"/>
      <c r="O28" s="128"/>
      <c r="P28" s="123"/>
    </row>
    <row r="29" spans="2:16" x14ac:dyDescent="0.25">
      <c r="B29" s="118" t="s">
        <v>195</v>
      </c>
      <c r="C29" s="118" t="s">
        <v>195</v>
      </c>
      <c r="D29" s="118" t="s">
        <v>195</v>
      </c>
      <c r="E29" s="118"/>
      <c r="F29" s="118" t="s">
        <v>195</v>
      </c>
      <c r="G29" s="118" t="s">
        <v>195</v>
      </c>
      <c r="H29" s="118" t="s">
        <v>195</v>
      </c>
      <c r="J29" s="124"/>
      <c r="K29" s="134">
        <v>20</v>
      </c>
      <c r="L29" s="126" t="s">
        <v>218</v>
      </c>
      <c r="M29" s="127" t="s">
        <v>201</v>
      </c>
      <c r="N29" s="126"/>
      <c r="O29" s="128"/>
      <c r="P29" s="123"/>
    </row>
    <row r="30" spans="2:16" x14ac:dyDescent="0.25">
      <c r="B30" s="118" t="s">
        <v>195</v>
      </c>
      <c r="C30" s="118"/>
      <c r="D30" s="118" t="s">
        <v>195</v>
      </c>
      <c r="E30" s="118"/>
      <c r="F30" s="118" t="s">
        <v>195</v>
      </c>
      <c r="G30" s="118" t="s">
        <v>195</v>
      </c>
      <c r="H30" s="118" t="s">
        <v>195</v>
      </c>
      <c r="J30" s="124"/>
      <c r="K30" s="134">
        <v>21</v>
      </c>
      <c r="L30" s="126" t="s">
        <v>219</v>
      </c>
      <c r="M30" s="127" t="s">
        <v>201</v>
      </c>
      <c r="N30" s="126"/>
      <c r="O30" s="128"/>
      <c r="P30" s="123"/>
    </row>
    <row r="31" spans="2:16" x14ac:dyDescent="0.25">
      <c r="B31" s="118" t="s">
        <v>195</v>
      </c>
      <c r="C31" s="118"/>
      <c r="D31" s="118" t="s">
        <v>195</v>
      </c>
      <c r="E31" s="118"/>
      <c r="F31" s="118" t="s">
        <v>195</v>
      </c>
      <c r="G31" s="118" t="s">
        <v>195</v>
      </c>
      <c r="H31" s="118" t="s">
        <v>195</v>
      </c>
      <c r="J31" s="124"/>
      <c r="K31" s="134">
        <v>22</v>
      </c>
      <c r="L31" s="126" t="s">
        <v>220</v>
      </c>
      <c r="M31" s="127" t="s">
        <v>201</v>
      </c>
      <c r="N31" s="126"/>
      <c r="O31" s="128"/>
      <c r="P31" s="123"/>
    </row>
    <row r="32" spans="2:16" x14ac:dyDescent="0.25">
      <c r="B32" s="118" t="s">
        <v>195</v>
      </c>
      <c r="C32" s="118"/>
      <c r="D32" s="118" t="s">
        <v>195</v>
      </c>
      <c r="E32" s="118"/>
      <c r="F32" s="118" t="s">
        <v>195</v>
      </c>
      <c r="G32" s="118" t="s">
        <v>195</v>
      </c>
      <c r="H32" s="118" t="s">
        <v>195</v>
      </c>
      <c r="J32" s="124"/>
      <c r="K32" s="134">
        <v>23</v>
      </c>
      <c r="L32" s="126" t="s">
        <v>221</v>
      </c>
      <c r="M32" s="127" t="s">
        <v>201</v>
      </c>
      <c r="N32" s="126"/>
      <c r="O32" s="128"/>
      <c r="P32" s="123"/>
    </row>
    <row r="33" spans="2:16" x14ac:dyDescent="0.25">
      <c r="B33" s="118" t="s">
        <v>195</v>
      </c>
      <c r="C33" s="118"/>
      <c r="D33" s="118" t="s">
        <v>195</v>
      </c>
      <c r="E33" s="118"/>
      <c r="F33" s="118" t="s">
        <v>195</v>
      </c>
      <c r="G33" s="118" t="s">
        <v>195</v>
      </c>
      <c r="H33" s="118" t="s">
        <v>195</v>
      </c>
      <c r="J33" s="124"/>
      <c r="K33" s="134">
        <v>24</v>
      </c>
      <c r="L33" s="126" t="s">
        <v>222</v>
      </c>
      <c r="M33" s="127" t="s">
        <v>201</v>
      </c>
      <c r="N33" s="126"/>
      <c r="O33" s="128"/>
      <c r="P33" s="123"/>
    </row>
    <row r="34" spans="2:16" x14ac:dyDescent="0.25">
      <c r="B34" s="118" t="s">
        <v>195</v>
      </c>
      <c r="C34" s="118"/>
      <c r="D34" s="118" t="s">
        <v>195</v>
      </c>
      <c r="E34" s="118"/>
      <c r="F34" s="118" t="s">
        <v>195</v>
      </c>
      <c r="G34" s="118" t="s">
        <v>195</v>
      </c>
      <c r="H34" s="118" t="s">
        <v>195</v>
      </c>
      <c r="J34" s="124"/>
      <c r="K34" s="134">
        <v>25</v>
      </c>
      <c r="L34" s="126" t="s">
        <v>223</v>
      </c>
      <c r="M34" s="127" t="s">
        <v>201</v>
      </c>
      <c r="N34" s="126"/>
      <c r="O34" s="128"/>
      <c r="P34" s="123"/>
    </row>
    <row r="35" spans="2:16" ht="15.75" thickBot="1" x14ac:dyDescent="0.3">
      <c r="B35" s="118" t="s">
        <v>195</v>
      </c>
      <c r="C35" s="118"/>
      <c r="D35" s="118" t="s">
        <v>195</v>
      </c>
      <c r="E35" s="118"/>
      <c r="F35" s="118" t="s">
        <v>195</v>
      </c>
      <c r="G35" s="118" t="s">
        <v>195</v>
      </c>
      <c r="H35" s="118" t="s">
        <v>195</v>
      </c>
      <c r="J35" s="135"/>
      <c r="K35" s="136">
        <v>26</v>
      </c>
      <c r="L35" s="130" t="s">
        <v>224</v>
      </c>
      <c r="M35" s="131" t="s">
        <v>201</v>
      </c>
      <c r="N35" s="130"/>
      <c r="O35" s="132"/>
      <c r="P35" s="123"/>
    </row>
    <row r="36" spans="2:16" x14ac:dyDescent="0.25">
      <c r="B36" s="118" t="s">
        <v>195</v>
      </c>
      <c r="C36" s="118"/>
      <c r="D36" s="118" t="s">
        <v>195</v>
      </c>
      <c r="E36" s="118"/>
      <c r="F36" s="118" t="s">
        <v>195</v>
      </c>
      <c r="G36" s="118"/>
      <c r="H36" s="118"/>
      <c r="J36" s="228" t="s">
        <v>225</v>
      </c>
      <c r="K36" s="133">
        <v>27</v>
      </c>
      <c r="L36" s="120" t="s">
        <v>38</v>
      </c>
      <c r="M36" s="121" t="s">
        <v>201</v>
      </c>
      <c r="N36" s="120"/>
      <c r="O36" s="122"/>
      <c r="P36" s="123"/>
    </row>
    <row r="37" spans="2:16" x14ac:dyDescent="0.25">
      <c r="B37" s="118" t="s">
        <v>195</v>
      </c>
      <c r="C37" s="118"/>
      <c r="D37" s="118" t="s">
        <v>195</v>
      </c>
      <c r="E37" s="118"/>
      <c r="F37" s="118" t="s">
        <v>195</v>
      </c>
      <c r="G37" s="118"/>
      <c r="H37" s="118"/>
      <c r="J37" s="124"/>
      <c r="K37" s="134">
        <v>28</v>
      </c>
      <c r="L37" s="126" t="s">
        <v>36</v>
      </c>
      <c r="M37" s="127" t="s">
        <v>201</v>
      </c>
      <c r="N37" s="126"/>
      <c r="O37" s="128"/>
      <c r="P37" s="123"/>
    </row>
    <row r="38" spans="2:16" x14ac:dyDescent="0.25">
      <c r="B38" s="118" t="s">
        <v>195</v>
      </c>
      <c r="C38" s="118"/>
      <c r="D38" s="118" t="s">
        <v>195</v>
      </c>
      <c r="E38" s="118"/>
      <c r="F38" s="118" t="s">
        <v>195</v>
      </c>
      <c r="G38" s="118"/>
      <c r="H38" s="118"/>
      <c r="J38" s="124"/>
      <c r="K38" s="134">
        <v>29</v>
      </c>
      <c r="L38" s="126" t="s">
        <v>37</v>
      </c>
      <c r="M38" s="127" t="s">
        <v>201</v>
      </c>
      <c r="N38" s="126"/>
      <c r="O38" s="128"/>
      <c r="P38" s="123"/>
    </row>
    <row r="39" spans="2:16" x14ac:dyDescent="0.25">
      <c r="B39" s="118" t="s">
        <v>195</v>
      </c>
      <c r="C39" s="118"/>
      <c r="D39" s="118" t="s">
        <v>195</v>
      </c>
      <c r="E39" s="118" t="s">
        <v>195</v>
      </c>
      <c r="F39" s="118" t="s">
        <v>195</v>
      </c>
      <c r="G39" s="118"/>
      <c r="H39" s="118" t="s">
        <v>195</v>
      </c>
      <c r="J39" s="124"/>
      <c r="K39" s="134">
        <v>30</v>
      </c>
      <c r="L39" s="126" t="s">
        <v>226</v>
      </c>
      <c r="M39" s="127" t="s">
        <v>201</v>
      </c>
      <c r="N39" s="126"/>
      <c r="O39" s="128"/>
      <c r="P39" s="123"/>
    </row>
    <row r="40" spans="2:16" x14ac:dyDescent="0.25">
      <c r="B40" s="118" t="s">
        <v>195</v>
      </c>
      <c r="C40" s="118"/>
      <c r="D40" s="118" t="s">
        <v>195</v>
      </c>
      <c r="E40" s="118"/>
      <c r="F40" s="118" t="s">
        <v>195</v>
      </c>
      <c r="G40" s="118"/>
      <c r="H40" s="118"/>
      <c r="J40" s="124"/>
      <c r="K40" s="134">
        <v>31</v>
      </c>
      <c r="L40" s="126" t="s">
        <v>79</v>
      </c>
      <c r="M40" s="127" t="s">
        <v>201</v>
      </c>
      <c r="N40" s="126"/>
      <c r="O40" s="128"/>
      <c r="P40" s="123"/>
    </row>
    <row r="41" spans="2:16" x14ac:dyDescent="0.25">
      <c r="B41" s="118" t="s">
        <v>195</v>
      </c>
      <c r="C41" s="118"/>
      <c r="D41" s="118" t="s">
        <v>195</v>
      </c>
      <c r="E41" s="118"/>
      <c r="F41" s="118" t="s">
        <v>195</v>
      </c>
      <c r="G41" s="118"/>
      <c r="H41" s="118"/>
      <c r="J41" s="124"/>
      <c r="K41" s="134">
        <v>32</v>
      </c>
      <c r="L41" s="126" t="s">
        <v>78</v>
      </c>
      <c r="M41" s="127" t="s">
        <v>201</v>
      </c>
      <c r="N41" s="126"/>
      <c r="O41" s="128"/>
      <c r="P41" s="123"/>
    </row>
    <row r="42" spans="2:16" ht="15.75" thickBot="1" x14ac:dyDescent="0.3">
      <c r="B42" s="118" t="s">
        <v>195</v>
      </c>
      <c r="C42" s="118"/>
      <c r="D42" s="118" t="s">
        <v>195</v>
      </c>
      <c r="E42" s="118" t="s">
        <v>195</v>
      </c>
      <c r="F42" s="118" t="s">
        <v>195</v>
      </c>
      <c r="G42" s="118"/>
      <c r="H42" s="118"/>
      <c r="J42" s="135"/>
      <c r="K42" s="136">
        <v>33</v>
      </c>
      <c r="L42" s="130" t="s">
        <v>227</v>
      </c>
      <c r="M42" s="131" t="s">
        <v>201</v>
      </c>
      <c r="N42" s="130"/>
      <c r="O42" s="132"/>
      <c r="P42" s="123"/>
    </row>
    <row r="43" spans="2:16" x14ac:dyDescent="0.25">
      <c r="B43" s="118" t="s">
        <v>195</v>
      </c>
      <c r="C43" s="118"/>
      <c r="D43" s="118" t="s">
        <v>195</v>
      </c>
      <c r="E43" s="118"/>
      <c r="F43" s="118" t="s">
        <v>195</v>
      </c>
      <c r="G43" s="118" t="s">
        <v>195</v>
      </c>
      <c r="H43" s="118" t="s">
        <v>195</v>
      </c>
      <c r="J43" s="228" t="s">
        <v>228</v>
      </c>
      <c r="K43" s="133">
        <v>34</v>
      </c>
      <c r="L43" s="120" t="s">
        <v>229</v>
      </c>
      <c r="M43" s="137" t="s">
        <v>201</v>
      </c>
      <c r="N43" s="120"/>
      <c r="O43" s="122"/>
      <c r="P43" s="123"/>
    </row>
    <row r="44" spans="2:16" x14ac:dyDescent="0.25">
      <c r="B44" s="118" t="s">
        <v>195</v>
      </c>
      <c r="C44" s="118" t="s">
        <v>195</v>
      </c>
      <c r="D44" s="118" t="s">
        <v>195</v>
      </c>
      <c r="E44" s="118" t="s">
        <v>195</v>
      </c>
      <c r="F44" s="118" t="s">
        <v>195</v>
      </c>
      <c r="G44" s="118" t="s">
        <v>195</v>
      </c>
      <c r="H44" s="118" t="s">
        <v>195</v>
      </c>
      <c r="J44" s="124"/>
      <c r="K44" s="134">
        <v>35</v>
      </c>
      <c r="L44" s="138" t="s">
        <v>230</v>
      </c>
      <c r="M44" s="139" t="s">
        <v>201</v>
      </c>
      <c r="N44" s="138"/>
      <c r="O44" s="140"/>
      <c r="P44" s="123"/>
    </row>
    <row r="45" spans="2:16" x14ac:dyDescent="0.25">
      <c r="B45" s="118" t="s">
        <v>195</v>
      </c>
      <c r="C45" s="118" t="s">
        <v>195</v>
      </c>
      <c r="D45" s="118" t="s">
        <v>195</v>
      </c>
      <c r="E45" s="118" t="s">
        <v>195</v>
      </c>
      <c r="F45" s="118" t="s">
        <v>195</v>
      </c>
      <c r="G45" s="118" t="s">
        <v>195</v>
      </c>
      <c r="H45" s="118" t="s">
        <v>195</v>
      </c>
      <c r="J45" s="124"/>
      <c r="K45" s="134">
        <v>36</v>
      </c>
      <c r="L45" s="126" t="s">
        <v>231</v>
      </c>
      <c r="M45" s="139" t="s">
        <v>201</v>
      </c>
      <c r="N45" s="126"/>
      <c r="O45" s="128"/>
      <c r="P45" s="123"/>
    </row>
    <row r="46" spans="2:16" x14ac:dyDescent="0.25">
      <c r="B46" s="118" t="s">
        <v>195</v>
      </c>
      <c r="C46" s="118" t="s">
        <v>195</v>
      </c>
      <c r="D46" s="118" t="s">
        <v>195</v>
      </c>
      <c r="E46" s="118" t="s">
        <v>195</v>
      </c>
      <c r="F46" s="118" t="s">
        <v>195</v>
      </c>
      <c r="G46" s="118" t="s">
        <v>195</v>
      </c>
      <c r="H46" s="118" t="s">
        <v>195</v>
      </c>
      <c r="J46" s="124"/>
      <c r="K46" s="134">
        <v>37</v>
      </c>
      <c r="L46" s="126" t="s">
        <v>232</v>
      </c>
      <c r="M46" s="139" t="s">
        <v>201</v>
      </c>
      <c r="N46" s="126"/>
      <c r="O46" s="128"/>
      <c r="P46" s="123"/>
    </row>
    <row r="47" spans="2:16" x14ac:dyDescent="0.25">
      <c r="B47" s="118" t="s">
        <v>195</v>
      </c>
      <c r="C47" s="118" t="s">
        <v>195</v>
      </c>
      <c r="D47" s="118" t="s">
        <v>195</v>
      </c>
      <c r="E47" s="118" t="s">
        <v>195</v>
      </c>
      <c r="F47" s="118" t="s">
        <v>195</v>
      </c>
      <c r="G47" s="118" t="s">
        <v>195</v>
      </c>
      <c r="H47" s="118" t="s">
        <v>195</v>
      </c>
      <c r="J47" s="124"/>
      <c r="K47" s="134">
        <v>38</v>
      </c>
      <c r="L47" s="141" t="s">
        <v>28</v>
      </c>
      <c r="M47" s="127" t="s">
        <v>201</v>
      </c>
      <c r="N47" s="126"/>
      <c r="O47" s="128"/>
      <c r="P47" s="123"/>
    </row>
    <row r="48" spans="2:16" ht="15.75" thickBot="1" x14ac:dyDescent="0.3">
      <c r="B48" s="118" t="s">
        <v>195</v>
      </c>
      <c r="C48" s="118" t="s">
        <v>195</v>
      </c>
      <c r="D48" s="118" t="s">
        <v>195</v>
      </c>
      <c r="E48" s="118" t="s">
        <v>195</v>
      </c>
      <c r="F48" s="118" t="s">
        <v>195</v>
      </c>
      <c r="G48" s="118" t="s">
        <v>195</v>
      </c>
      <c r="H48" s="118" t="s">
        <v>195</v>
      </c>
      <c r="J48" s="135"/>
      <c r="K48" s="136">
        <v>39</v>
      </c>
      <c r="L48" s="130" t="s">
        <v>233</v>
      </c>
      <c r="M48" s="142" t="s">
        <v>201</v>
      </c>
      <c r="N48" s="130"/>
      <c r="O48" s="132"/>
      <c r="P48" s="123"/>
    </row>
    <row r="49" spans="2:16" x14ac:dyDescent="0.25">
      <c r="B49" s="118" t="s">
        <v>195</v>
      </c>
      <c r="C49" s="118" t="s">
        <v>195</v>
      </c>
      <c r="D49" s="118" t="s">
        <v>195</v>
      </c>
      <c r="E49" s="118" t="s">
        <v>195</v>
      </c>
      <c r="F49" s="118" t="s">
        <v>195</v>
      </c>
      <c r="G49" s="118" t="s">
        <v>195</v>
      </c>
      <c r="H49" s="118" t="s">
        <v>195</v>
      </c>
      <c r="J49" s="228" t="s">
        <v>45</v>
      </c>
      <c r="K49" s="133">
        <v>40</v>
      </c>
      <c r="L49" s="143" t="s">
        <v>234</v>
      </c>
      <c r="M49" s="121" t="s">
        <v>201</v>
      </c>
      <c r="N49" s="120"/>
      <c r="O49" s="122"/>
      <c r="P49" s="123"/>
    </row>
    <row r="50" spans="2:16" x14ac:dyDescent="0.25">
      <c r="B50" s="118" t="s">
        <v>195</v>
      </c>
      <c r="C50" s="118"/>
      <c r="D50" s="118" t="s">
        <v>195</v>
      </c>
      <c r="E50" s="118"/>
      <c r="F50" s="118" t="s">
        <v>195</v>
      </c>
      <c r="G50" s="118" t="s">
        <v>195</v>
      </c>
      <c r="H50" s="118" t="s">
        <v>195</v>
      </c>
      <c r="J50" s="124"/>
      <c r="K50" s="134">
        <v>41</v>
      </c>
      <c r="L50" s="141" t="s">
        <v>235</v>
      </c>
      <c r="M50" s="127" t="s">
        <v>201</v>
      </c>
      <c r="N50" s="126"/>
      <c r="O50" s="128"/>
      <c r="P50" s="123"/>
    </row>
    <row r="51" spans="2:16" ht="15.75" thickBot="1" x14ac:dyDescent="0.3">
      <c r="B51" s="118" t="s">
        <v>195</v>
      </c>
      <c r="C51" s="118" t="s">
        <v>195</v>
      </c>
      <c r="D51" s="118" t="s">
        <v>195</v>
      </c>
      <c r="E51" s="118"/>
      <c r="F51" s="118" t="s">
        <v>195</v>
      </c>
      <c r="G51" s="118" t="s">
        <v>195</v>
      </c>
      <c r="H51" s="118" t="s">
        <v>195</v>
      </c>
      <c r="J51" s="135"/>
      <c r="K51" s="136">
        <v>42</v>
      </c>
      <c r="L51" s="144" t="s">
        <v>31</v>
      </c>
      <c r="M51" s="131" t="s">
        <v>201</v>
      </c>
      <c r="N51" s="130"/>
      <c r="O51" s="132"/>
      <c r="P51" s="123"/>
    </row>
    <row r="52" spans="2:16" x14ac:dyDescent="0.25">
      <c r="B52" s="118" t="s">
        <v>195</v>
      </c>
      <c r="C52" s="118" t="s">
        <v>195</v>
      </c>
      <c r="D52" s="118" t="s">
        <v>195</v>
      </c>
      <c r="E52" s="118" t="s">
        <v>195</v>
      </c>
      <c r="F52" s="118" t="s">
        <v>195</v>
      </c>
      <c r="G52" s="118" t="s">
        <v>195</v>
      </c>
      <c r="H52" s="118" t="s">
        <v>195</v>
      </c>
      <c r="J52" s="228" t="s">
        <v>236</v>
      </c>
      <c r="K52" s="145" t="s">
        <v>237</v>
      </c>
      <c r="L52" s="120" t="s">
        <v>238</v>
      </c>
      <c r="M52" s="121" t="s">
        <v>201</v>
      </c>
      <c r="N52" s="120"/>
      <c r="O52" s="122"/>
      <c r="P52" s="123"/>
    </row>
    <row r="53" spans="2:16" x14ac:dyDescent="0.25">
      <c r="B53" s="118" t="s">
        <v>195</v>
      </c>
      <c r="C53" s="118" t="s">
        <v>195</v>
      </c>
      <c r="D53" s="118" t="s">
        <v>195</v>
      </c>
      <c r="E53" s="118" t="s">
        <v>195</v>
      </c>
      <c r="F53" s="118" t="s">
        <v>195</v>
      </c>
      <c r="G53" s="118" t="s">
        <v>195</v>
      </c>
      <c r="H53" s="118" t="s">
        <v>195</v>
      </c>
      <c r="J53" s="124"/>
      <c r="K53" s="146" t="s">
        <v>239</v>
      </c>
      <c r="L53" s="126" t="s">
        <v>240</v>
      </c>
      <c r="M53" s="127" t="s">
        <v>201</v>
      </c>
      <c r="N53" s="126"/>
      <c r="O53" s="128"/>
      <c r="P53" s="123"/>
    </row>
    <row r="54" spans="2:16" ht="15.75" thickBot="1" x14ac:dyDescent="0.3">
      <c r="B54" s="118" t="s">
        <v>195</v>
      </c>
      <c r="C54" s="118" t="s">
        <v>195</v>
      </c>
      <c r="D54" s="118" t="s">
        <v>195</v>
      </c>
      <c r="E54" s="118" t="s">
        <v>195</v>
      </c>
      <c r="F54" s="118" t="s">
        <v>195</v>
      </c>
      <c r="G54" s="118" t="s">
        <v>195</v>
      </c>
      <c r="H54" s="118" t="s">
        <v>195</v>
      </c>
      <c r="J54" s="135"/>
      <c r="K54" s="147" t="s">
        <v>241</v>
      </c>
      <c r="L54" s="130" t="s">
        <v>242</v>
      </c>
      <c r="M54" s="131" t="s">
        <v>201</v>
      </c>
      <c r="N54" s="144"/>
      <c r="O54" s="148"/>
    </row>
  </sheetData>
  <autoFilter ref="B9:H54" xr:uid="{0FF80A67-95F1-4F4C-BA20-AE4417B4991B}"/>
  <mergeCells count="1">
    <mergeCell ref="J13:J22"/>
  </mergeCells>
  <conditionalFormatting sqref="M11:M54">
    <cfRule type="cellIs" dxfId="8" priority="1" operator="equal">
      <formula>"Need"</formula>
    </cfRule>
    <cfRule type="cellIs" dxfId="7" priority="2" operator="equal">
      <formula>"Done"</formula>
    </cfRule>
    <cfRule type="cellIs" dxfId="6" priority="3" operator="equal">
      <formula>"N/A"</formula>
    </cfRule>
  </conditionalFormatting>
  <dataValidations count="1">
    <dataValidation type="list" allowBlank="1" showInputMessage="1" showErrorMessage="1" sqref="M11:M54" xr:uid="{3BF5055E-F030-4BBD-AA8E-7EAB638B9312}">
      <formula1>"Need, Done, N/A"</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E39E7-B28A-4907-8299-E8420DBD17F5}">
  <sheetPr>
    <tabColor rgb="FF0070C0"/>
  </sheetPr>
  <dimension ref="B3:AE49"/>
  <sheetViews>
    <sheetView showGridLines="0" workbookViewId="0">
      <pane xSplit="3" topLeftCell="D1" activePane="topRight" state="frozen"/>
      <selection pane="topRight" activeCell="S4" sqref="S4"/>
    </sheetView>
  </sheetViews>
  <sheetFormatPr defaultRowHeight="15" x14ac:dyDescent="0.25"/>
  <cols>
    <col min="1" max="1" width="4.140625" customWidth="1"/>
    <col min="2" max="2" width="32.140625" bestFit="1" customWidth="1"/>
    <col min="3" max="3" width="8.42578125" bestFit="1" customWidth="1"/>
    <col min="14" max="14" width="12.85546875" customWidth="1"/>
    <col min="24" max="24" width="13" customWidth="1"/>
  </cols>
  <sheetData>
    <row r="3" spans="2:31" ht="15.75" x14ac:dyDescent="0.25">
      <c r="B3" s="107" t="str">
        <f>IF(Inputs!C4="","[Insert Project Name in Inputs Tab]",Inputs!C4)</f>
        <v>[Insert Project Name in Inputs Tab]</v>
      </c>
      <c r="D3" s="4" t="s">
        <v>181</v>
      </c>
      <c r="M3" t="s">
        <v>180</v>
      </c>
      <c r="N3" s="104" t="s">
        <v>184</v>
      </c>
      <c r="W3" t="s">
        <v>180</v>
      </c>
      <c r="X3" s="104" t="s">
        <v>184</v>
      </c>
    </row>
    <row r="4" spans="2:31" x14ac:dyDescent="0.25">
      <c r="B4" s="39" t="s">
        <v>0</v>
      </c>
      <c r="N4" s="61" t="str">
        <f>IFERROR(_xlfn.XLOOKUP(N3,Inputs!B22:B26,Inputs!C22:C26,""),"")</f>
        <v/>
      </c>
      <c r="X4" s="61" t="str">
        <f>IFERROR(_xlfn.XLOOKUP(X3,Inputs!B22:B26,Inputs!C22:C26,""),"")</f>
        <v/>
      </c>
    </row>
    <row r="6" spans="2:31" x14ac:dyDescent="0.25">
      <c r="D6" s="12">
        <v>2023</v>
      </c>
      <c r="E6" s="12">
        <v>2024</v>
      </c>
      <c r="F6" s="12">
        <v>2025</v>
      </c>
      <c r="G6" s="13">
        <v>2026</v>
      </c>
      <c r="H6" s="15">
        <v>2027</v>
      </c>
      <c r="I6" s="16">
        <v>2028</v>
      </c>
      <c r="J6" s="16">
        <v>2029</v>
      </c>
      <c r="K6" s="16">
        <v>2030</v>
      </c>
      <c r="N6" s="12" t="str" cm="1">
        <f t="array" ref="N6">IF($N$3="Select Scenario","",
 IF($N$3=Scenarios!D2,Scenarios!D5:K48,
 IF($N$3=Scenarios!M2,Scenarios!M5:T48,
 IF($N$3=Scenarios!V2,Scenarios!V5:AC48,
 IF($N$3=Scenarios!AE2,Scenarios!AE5:AL48,
 IF($N$3=Scenarios!AN2,Scenarios!AN5:AU48,
 IF($N$3=Scenarios!AW2,Scenarios!AW5:BD48,"")))))))</f>
        <v/>
      </c>
      <c r="O6" s="12"/>
      <c r="P6" s="12"/>
      <c r="Q6" s="13"/>
      <c r="R6" s="15"/>
      <c r="S6" s="16"/>
      <c r="T6" s="16"/>
      <c r="U6" s="16"/>
      <c r="X6" s="12" t="str" cm="1">
        <f t="array" ref="X6">IF($X$3="Select Scenario","",
 IF($X$3=Scenarios!D2,Scenarios!D5:K48,
 IF($X$3=Scenarios!M2,Scenarios!M5:T48,
 IF($X$3=Scenarios!V2,Scenarios!V5:AC48,
 IF($X$3=Scenarios!AE2,Scenarios!AE5:AL48,
 IF($X$3=Scenarios!AN2,Scenarios!AN5:AU48,
 IF($X$3=Scenarios!AW2,Scenarios!AW5:BD48,"")))))))</f>
        <v/>
      </c>
      <c r="Y6" s="12"/>
      <c r="Z6" s="12"/>
      <c r="AA6" s="13"/>
      <c r="AB6" s="15"/>
      <c r="AC6" s="16"/>
      <c r="AD6" s="16"/>
      <c r="AE6" s="16"/>
    </row>
    <row r="7" spans="2:31" x14ac:dyDescent="0.25">
      <c r="B7" s="4" t="s">
        <v>5</v>
      </c>
      <c r="C7" s="94" t="s">
        <v>63</v>
      </c>
      <c r="D7" s="21">
        <f t="shared" ref="D7:K7" si="0">N7-X7</f>
        <v>0</v>
      </c>
      <c r="E7" s="21">
        <f t="shared" si="0"/>
        <v>0</v>
      </c>
      <c r="F7" s="21">
        <f t="shared" si="0"/>
        <v>0</v>
      </c>
      <c r="G7" s="42">
        <f t="shared" si="0"/>
        <v>0</v>
      </c>
      <c r="H7" s="45">
        <f t="shared" si="0"/>
        <v>0</v>
      </c>
      <c r="I7" s="41">
        <f t="shared" si="0"/>
        <v>0</v>
      </c>
      <c r="J7" s="41">
        <f t="shared" si="0"/>
        <v>0</v>
      </c>
      <c r="K7" s="41">
        <f t="shared" si="0"/>
        <v>0</v>
      </c>
      <c r="N7" s="21"/>
      <c r="O7" s="21"/>
      <c r="P7" s="21"/>
      <c r="Q7" s="42"/>
      <c r="R7" s="45"/>
      <c r="S7" s="41"/>
      <c r="T7" s="41"/>
      <c r="U7" s="41"/>
      <c r="X7" s="21"/>
      <c r="Y7" s="21"/>
      <c r="Z7" s="21"/>
      <c r="AA7" s="42"/>
      <c r="AB7" s="45"/>
      <c r="AC7" s="41"/>
      <c r="AD7" s="41"/>
      <c r="AE7" s="41"/>
    </row>
    <row r="8" spans="2:31" s="105" customFormat="1" x14ac:dyDescent="0.25"/>
    <row r="9" spans="2:31" x14ac:dyDescent="0.25">
      <c r="B9" s="4" t="s">
        <v>6</v>
      </c>
      <c r="C9" s="94" t="s">
        <v>63</v>
      </c>
      <c r="D9" s="21">
        <f t="shared" ref="D9:K10" si="1">N9-X9</f>
        <v>0</v>
      </c>
      <c r="E9" s="21">
        <f t="shared" si="1"/>
        <v>0</v>
      </c>
      <c r="F9" s="21">
        <f t="shared" si="1"/>
        <v>0</v>
      </c>
      <c r="G9" s="42">
        <f t="shared" si="1"/>
        <v>0</v>
      </c>
      <c r="H9" s="45">
        <f t="shared" si="1"/>
        <v>0</v>
      </c>
      <c r="I9" s="41">
        <f t="shared" si="1"/>
        <v>0</v>
      </c>
      <c r="J9" s="41">
        <f t="shared" si="1"/>
        <v>0</v>
      </c>
      <c r="K9" s="41">
        <f t="shared" si="1"/>
        <v>0</v>
      </c>
      <c r="N9" s="21"/>
      <c r="O9" s="21"/>
      <c r="P9" s="21"/>
      <c r="Q9" s="42"/>
      <c r="R9" s="45"/>
      <c r="S9" s="41"/>
      <c r="T9" s="41"/>
      <c r="U9" s="41"/>
      <c r="X9" s="21"/>
      <c r="Y9" s="21"/>
      <c r="Z9" s="21"/>
      <c r="AA9" s="42"/>
      <c r="AB9" s="45"/>
      <c r="AC9" s="41"/>
      <c r="AD9" s="41"/>
      <c r="AE9" s="41"/>
    </row>
    <row r="10" spans="2:31" x14ac:dyDescent="0.25">
      <c r="B10" s="36" t="s">
        <v>7</v>
      </c>
      <c r="C10" s="95"/>
      <c r="D10" s="40">
        <f t="shared" si="1"/>
        <v>0</v>
      </c>
      <c r="E10" s="40">
        <f t="shared" si="1"/>
        <v>0</v>
      </c>
      <c r="F10" s="40">
        <f t="shared" si="1"/>
        <v>0</v>
      </c>
      <c r="G10" s="40">
        <f t="shared" si="1"/>
        <v>0</v>
      </c>
      <c r="H10" s="40">
        <f t="shared" si="1"/>
        <v>0</v>
      </c>
      <c r="I10" s="40">
        <f t="shared" si="1"/>
        <v>0</v>
      </c>
      <c r="J10" s="40">
        <f t="shared" si="1"/>
        <v>0</v>
      </c>
      <c r="K10" s="40">
        <f t="shared" si="1"/>
        <v>0</v>
      </c>
      <c r="N10" s="40"/>
      <c r="O10" s="40"/>
      <c r="P10" s="40"/>
      <c r="Q10" s="40"/>
      <c r="R10" s="40"/>
      <c r="S10" s="40"/>
      <c r="T10" s="40"/>
      <c r="U10" s="40"/>
      <c r="X10" s="40"/>
      <c r="Y10" s="40"/>
      <c r="Z10" s="40"/>
      <c r="AA10" s="40"/>
      <c r="AB10" s="40"/>
      <c r="AC10" s="40"/>
      <c r="AD10" s="40"/>
      <c r="AE10" s="40"/>
    </row>
    <row r="11" spans="2:31" s="105" customFormat="1" x14ac:dyDescent="0.25"/>
    <row r="12" spans="2:31" x14ac:dyDescent="0.25">
      <c r="B12" t="s">
        <v>8</v>
      </c>
      <c r="C12" s="94" t="s">
        <v>63</v>
      </c>
      <c r="D12" s="21">
        <f t="shared" ref="D12:K13" si="2">N12-X12</f>
        <v>0</v>
      </c>
      <c r="E12" s="21">
        <f t="shared" si="2"/>
        <v>0</v>
      </c>
      <c r="F12" s="21">
        <f t="shared" si="2"/>
        <v>0</v>
      </c>
      <c r="G12" s="42">
        <f t="shared" si="2"/>
        <v>0</v>
      </c>
      <c r="H12" s="45">
        <f t="shared" si="2"/>
        <v>0</v>
      </c>
      <c r="I12" s="41">
        <f t="shared" si="2"/>
        <v>0</v>
      </c>
      <c r="J12" s="41">
        <f t="shared" si="2"/>
        <v>0</v>
      </c>
      <c r="K12" s="41">
        <f t="shared" si="2"/>
        <v>0</v>
      </c>
      <c r="N12" s="21"/>
      <c r="O12" s="21"/>
      <c r="P12" s="21"/>
      <c r="Q12" s="42"/>
      <c r="R12" s="45"/>
      <c r="S12" s="41"/>
      <c r="T12" s="41"/>
      <c r="U12" s="41"/>
      <c r="X12" s="21"/>
      <c r="Y12" s="21"/>
      <c r="Z12" s="21"/>
      <c r="AA12" s="42"/>
      <c r="AB12" s="45"/>
      <c r="AC12" s="41"/>
      <c r="AD12" s="41"/>
      <c r="AE12" s="41"/>
    </row>
    <row r="13" spans="2:31" x14ac:dyDescent="0.25">
      <c r="B13" t="s">
        <v>9</v>
      </c>
      <c r="C13" s="94" t="s">
        <v>63</v>
      </c>
      <c r="D13" s="21">
        <f t="shared" si="2"/>
        <v>0</v>
      </c>
      <c r="E13" s="21">
        <f t="shared" si="2"/>
        <v>0</v>
      </c>
      <c r="F13" s="21">
        <f t="shared" si="2"/>
        <v>0</v>
      </c>
      <c r="G13" s="42">
        <f t="shared" si="2"/>
        <v>0</v>
      </c>
      <c r="H13" s="45">
        <f t="shared" si="2"/>
        <v>0</v>
      </c>
      <c r="I13" s="41">
        <f t="shared" si="2"/>
        <v>0</v>
      </c>
      <c r="J13" s="41">
        <f t="shared" si="2"/>
        <v>0</v>
      </c>
      <c r="K13" s="41">
        <f t="shared" si="2"/>
        <v>0</v>
      </c>
      <c r="N13" s="21"/>
      <c r="O13" s="21"/>
      <c r="P13" s="21"/>
      <c r="Q13" s="42"/>
      <c r="R13" s="45"/>
      <c r="S13" s="41"/>
      <c r="T13" s="41"/>
      <c r="U13" s="41"/>
      <c r="X13" s="21"/>
      <c r="Y13" s="21"/>
      <c r="Z13" s="21"/>
      <c r="AA13" s="42"/>
      <c r="AB13" s="45"/>
      <c r="AC13" s="41"/>
      <c r="AD13" s="41"/>
      <c r="AE13" s="41"/>
    </row>
    <row r="14" spans="2:31" s="105" customFormat="1" x14ac:dyDescent="0.25"/>
    <row r="15" spans="2:31" x14ac:dyDescent="0.25">
      <c r="B15" s="4" t="s">
        <v>10</v>
      </c>
      <c r="C15" s="94" t="s">
        <v>63</v>
      </c>
      <c r="D15" s="21">
        <f t="shared" ref="D15:K15" si="3">D9-SUM(D12:D13)</f>
        <v>0</v>
      </c>
      <c r="E15" s="21">
        <f t="shared" si="3"/>
        <v>0</v>
      </c>
      <c r="F15" s="21">
        <f t="shared" si="3"/>
        <v>0</v>
      </c>
      <c r="G15" s="42">
        <f t="shared" si="3"/>
        <v>0</v>
      </c>
      <c r="H15" s="45">
        <f t="shared" si="3"/>
        <v>0</v>
      </c>
      <c r="I15" s="41">
        <f t="shared" si="3"/>
        <v>0</v>
      </c>
      <c r="J15" s="41">
        <f t="shared" si="3"/>
        <v>0</v>
      </c>
      <c r="K15" s="41">
        <f t="shared" si="3"/>
        <v>0</v>
      </c>
      <c r="N15" s="21"/>
      <c r="O15" s="21"/>
      <c r="P15" s="21"/>
      <c r="Q15" s="42"/>
      <c r="R15" s="45"/>
      <c r="S15" s="41"/>
      <c r="T15" s="41"/>
      <c r="U15" s="41"/>
      <c r="X15" s="21"/>
      <c r="Y15" s="21"/>
      <c r="Z15" s="21"/>
      <c r="AA15" s="42"/>
      <c r="AB15" s="45"/>
      <c r="AC15" s="41"/>
      <c r="AD15" s="41"/>
      <c r="AE15" s="41"/>
    </row>
    <row r="16" spans="2:31" x14ac:dyDescent="0.25">
      <c r="B16" s="36" t="s">
        <v>11</v>
      </c>
      <c r="C16" s="95"/>
      <c r="D16" s="40">
        <f t="shared" ref="D16:K16" si="4">N16-X16</f>
        <v>0</v>
      </c>
      <c r="E16" s="40">
        <f t="shared" si="4"/>
        <v>0</v>
      </c>
      <c r="F16" s="40">
        <f t="shared" si="4"/>
        <v>0</v>
      </c>
      <c r="G16" s="40">
        <f t="shared" si="4"/>
        <v>0</v>
      </c>
      <c r="H16" s="40">
        <f t="shared" si="4"/>
        <v>0</v>
      </c>
      <c r="I16" s="40">
        <f t="shared" si="4"/>
        <v>0</v>
      </c>
      <c r="J16" s="40">
        <f t="shared" si="4"/>
        <v>0</v>
      </c>
      <c r="K16" s="40">
        <f t="shared" si="4"/>
        <v>0</v>
      </c>
      <c r="N16" s="40"/>
      <c r="O16" s="40"/>
      <c r="P16" s="40"/>
      <c r="Q16" s="40"/>
      <c r="R16" s="40"/>
      <c r="S16" s="40"/>
      <c r="T16" s="40"/>
      <c r="U16" s="40"/>
      <c r="X16" s="40"/>
      <c r="Y16" s="40"/>
      <c r="Z16" s="40"/>
      <c r="AA16" s="40"/>
      <c r="AB16" s="40"/>
      <c r="AC16" s="40"/>
      <c r="AD16" s="40"/>
      <c r="AE16" s="40"/>
    </row>
    <row r="17" spans="2:31" s="105" customFormat="1" x14ac:dyDescent="0.25"/>
    <row r="18" spans="2:31" x14ac:dyDescent="0.25">
      <c r="B18" t="s">
        <v>12</v>
      </c>
      <c r="C18" s="94" t="s">
        <v>63</v>
      </c>
      <c r="D18" s="21">
        <f t="shared" ref="D18:K23" si="5">N18-X18</f>
        <v>0</v>
      </c>
      <c r="E18" s="21">
        <f t="shared" si="5"/>
        <v>0</v>
      </c>
      <c r="F18" s="21">
        <f t="shared" si="5"/>
        <v>0</v>
      </c>
      <c r="G18" s="42">
        <f t="shared" si="5"/>
        <v>0</v>
      </c>
      <c r="H18" s="45">
        <f t="shared" si="5"/>
        <v>0</v>
      </c>
      <c r="I18" s="41">
        <f t="shared" si="5"/>
        <v>0</v>
      </c>
      <c r="J18" s="41">
        <f t="shared" si="5"/>
        <v>0</v>
      </c>
      <c r="K18" s="41">
        <f t="shared" si="5"/>
        <v>0</v>
      </c>
      <c r="N18" s="21"/>
      <c r="O18" s="21"/>
      <c r="P18" s="21"/>
      <c r="Q18" s="42"/>
      <c r="R18" s="45"/>
      <c r="S18" s="41"/>
      <c r="T18" s="41"/>
      <c r="U18" s="41"/>
      <c r="X18" s="21"/>
      <c r="Y18" s="21"/>
      <c r="Z18" s="21"/>
      <c r="AA18" s="42"/>
      <c r="AB18" s="45"/>
      <c r="AC18" s="41"/>
      <c r="AD18" s="41"/>
      <c r="AE18" s="41"/>
    </row>
    <row r="19" spans="2:31" x14ac:dyDescent="0.25">
      <c r="B19" t="s">
        <v>13</v>
      </c>
      <c r="C19" s="94" t="s">
        <v>63</v>
      </c>
      <c r="D19" s="21">
        <f t="shared" si="5"/>
        <v>0</v>
      </c>
      <c r="E19" s="21">
        <f t="shared" si="5"/>
        <v>0</v>
      </c>
      <c r="F19" s="21">
        <f t="shared" si="5"/>
        <v>0</v>
      </c>
      <c r="G19" s="42">
        <f t="shared" si="5"/>
        <v>0</v>
      </c>
      <c r="H19" s="45">
        <f t="shared" si="5"/>
        <v>0</v>
      </c>
      <c r="I19" s="41">
        <f t="shared" si="5"/>
        <v>0</v>
      </c>
      <c r="J19" s="41">
        <f t="shared" si="5"/>
        <v>0</v>
      </c>
      <c r="K19" s="41">
        <f t="shared" si="5"/>
        <v>0</v>
      </c>
      <c r="N19" s="21"/>
      <c r="O19" s="21"/>
      <c r="P19" s="21"/>
      <c r="Q19" s="42"/>
      <c r="R19" s="45"/>
      <c r="S19" s="41"/>
      <c r="T19" s="41"/>
      <c r="U19" s="41"/>
      <c r="X19" s="21"/>
      <c r="Y19" s="21"/>
      <c r="Z19" s="21"/>
      <c r="AA19" s="42"/>
      <c r="AB19" s="45"/>
      <c r="AC19" s="41"/>
      <c r="AD19" s="41"/>
      <c r="AE19" s="41"/>
    </row>
    <row r="20" spans="2:31" x14ac:dyDescent="0.25">
      <c r="B20" t="s">
        <v>14</v>
      </c>
      <c r="C20" s="94" t="s">
        <v>63</v>
      </c>
      <c r="D20" s="21">
        <f t="shared" si="5"/>
        <v>0</v>
      </c>
      <c r="E20" s="21">
        <f t="shared" si="5"/>
        <v>0</v>
      </c>
      <c r="F20" s="21">
        <f t="shared" si="5"/>
        <v>0</v>
      </c>
      <c r="G20" s="42">
        <f t="shared" si="5"/>
        <v>0</v>
      </c>
      <c r="H20" s="45">
        <f t="shared" si="5"/>
        <v>0</v>
      </c>
      <c r="I20" s="41">
        <f t="shared" si="5"/>
        <v>0</v>
      </c>
      <c r="J20" s="41">
        <f t="shared" si="5"/>
        <v>0</v>
      </c>
      <c r="K20" s="41">
        <f t="shared" si="5"/>
        <v>0</v>
      </c>
      <c r="N20" s="21"/>
      <c r="O20" s="21"/>
      <c r="P20" s="21"/>
      <c r="Q20" s="42"/>
      <c r="R20" s="45"/>
      <c r="S20" s="41"/>
      <c r="T20" s="41"/>
      <c r="U20" s="41"/>
      <c r="X20" s="21"/>
      <c r="Y20" s="21"/>
      <c r="Z20" s="21"/>
      <c r="AA20" s="42"/>
      <c r="AB20" s="45"/>
      <c r="AC20" s="41"/>
      <c r="AD20" s="41"/>
      <c r="AE20" s="41"/>
    </row>
    <row r="21" spans="2:31" x14ac:dyDescent="0.25">
      <c r="B21" t="s">
        <v>15</v>
      </c>
      <c r="C21" s="94" t="s">
        <v>63</v>
      </c>
      <c r="D21" s="21">
        <f t="shared" si="5"/>
        <v>0</v>
      </c>
      <c r="E21" s="21">
        <f t="shared" si="5"/>
        <v>0</v>
      </c>
      <c r="F21" s="21">
        <f t="shared" si="5"/>
        <v>0</v>
      </c>
      <c r="G21" s="42">
        <f t="shared" si="5"/>
        <v>0</v>
      </c>
      <c r="H21" s="45">
        <f t="shared" si="5"/>
        <v>0</v>
      </c>
      <c r="I21" s="41">
        <f t="shared" si="5"/>
        <v>0</v>
      </c>
      <c r="J21" s="41">
        <f t="shared" si="5"/>
        <v>0</v>
      </c>
      <c r="K21" s="41">
        <f t="shared" si="5"/>
        <v>0</v>
      </c>
      <c r="N21" s="21"/>
      <c r="O21" s="21"/>
      <c r="P21" s="21"/>
      <c r="Q21" s="42"/>
      <c r="R21" s="45"/>
      <c r="S21" s="41"/>
      <c r="T21" s="41"/>
      <c r="U21" s="41"/>
      <c r="X21" s="21"/>
      <c r="Y21" s="21"/>
      <c r="Z21" s="21"/>
      <c r="AA21" s="42"/>
      <c r="AB21" s="45"/>
      <c r="AC21" s="41"/>
      <c r="AD21" s="41"/>
      <c r="AE21" s="41"/>
    </row>
    <row r="22" spans="2:31" x14ac:dyDescent="0.25">
      <c r="B22" s="4" t="s">
        <v>17</v>
      </c>
      <c r="C22" s="94" t="s">
        <v>63</v>
      </c>
      <c r="D22" s="21">
        <f t="shared" si="5"/>
        <v>0</v>
      </c>
      <c r="E22" s="21">
        <f t="shared" si="5"/>
        <v>0</v>
      </c>
      <c r="F22" s="21">
        <f t="shared" si="5"/>
        <v>0</v>
      </c>
      <c r="G22" s="42">
        <f t="shared" si="5"/>
        <v>0</v>
      </c>
      <c r="H22" s="45">
        <f t="shared" si="5"/>
        <v>0</v>
      </c>
      <c r="I22" s="41">
        <f t="shared" si="5"/>
        <v>0</v>
      </c>
      <c r="J22" s="41">
        <f t="shared" si="5"/>
        <v>0</v>
      </c>
      <c r="K22" s="41">
        <f t="shared" si="5"/>
        <v>0</v>
      </c>
      <c r="N22" s="21"/>
      <c r="O22" s="21"/>
      <c r="P22" s="21"/>
      <c r="Q22" s="42"/>
      <c r="R22" s="45"/>
      <c r="S22" s="41"/>
      <c r="T22" s="41"/>
      <c r="U22" s="41"/>
      <c r="X22" s="21"/>
      <c r="Y22" s="21"/>
      <c r="Z22" s="21"/>
      <c r="AA22" s="42"/>
      <c r="AB22" s="45"/>
      <c r="AC22" s="41"/>
      <c r="AD22" s="41"/>
      <c r="AE22" s="41"/>
    </row>
    <row r="23" spans="2:31" x14ac:dyDescent="0.25">
      <c r="B23" s="54" t="s">
        <v>32</v>
      </c>
      <c r="C23" s="94" t="s">
        <v>63</v>
      </c>
      <c r="D23" s="21">
        <f t="shared" si="5"/>
        <v>0</v>
      </c>
      <c r="E23" s="21">
        <f t="shared" si="5"/>
        <v>0</v>
      </c>
      <c r="F23" s="21">
        <f t="shared" si="5"/>
        <v>0</v>
      </c>
      <c r="G23" s="42">
        <f t="shared" si="5"/>
        <v>0</v>
      </c>
      <c r="H23" s="45">
        <f t="shared" si="5"/>
        <v>0</v>
      </c>
      <c r="I23" s="41">
        <f t="shared" si="5"/>
        <v>0</v>
      </c>
      <c r="J23" s="41">
        <f t="shared" si="5"/>
        <v>0</v>
      </c>
      <c r="K23" s="41">
        <f t="shared" si="5"/>
        <v>0</v>
      </c>
      <c r="N23" s="21"/>
      <c r="O23" s="21"/>
      <c r="P23" s="21"/>
      <c r="Q23" s="42"/>
      <c r="R23" s="45"/>
      <c r="S23" s="41"/>
      <c r="T23" s="41"/>
      <c r="U23" s="41"/>
      <c r="X23" s="21"/>
      <c r="Y23" s="21"/>
      <c r="Z23" s="21"/>
      <c r="AA23" s="42"/>
      <c r="AB23" s="45"/>
      <c r="AC23" s="41"/>
      <c r="AD23" s="41"/>
      <c r="AE23" s="41"/>
    </row>
    <row r="24" spans="2:31" s="105" customFormat="1" x14ac:dyDescent="0.25"/>
    <row r="25" spans="2:31" ht="15.75" thickBot="1" x14ac:dyDescent="0.3">
      <c r="B25" s="4" t="s">
        <v>18</v>
      </c>
      <c r="C25" s="94" t="s">
        <v>63</v>
      </c>
      <c r="D25" s="43">
        <f t="shared" ref="D25:K26" si="6">N25-X25</f>
        <v>0</v>
      </c>
      <c r="E25" s="43">
        <f t="shared" si="6"/>
        <v>0</v>
      </c>
      <c r="F25" s="43">
        <f t="shared" si="6"/>
        <v>0</v>
      </c>
      <c r="G25" s="44">
        <f t="shared" si="6"/>
        <v>0</v>
      </c>
      <c r="H25" s="46">
        <f t="shared" si="6"/>
        <v>0</v>
      </c>
      <c r="I25" s="47">
        <f t="shared" si="6"/>
        <v>0</v>
      </c>
      <c r="J25" s="47">
        <f t="shared" si="6"/>
        <v>0</v>
      </c>
      <c r="K25" s="47">
        <f t="shared" si="6"/>
        <v>0</v>
      </c>
      <c r="N25" s="43"/>
      <c r="O25" s="43"/>
      <c r="P25" s="43"/>
      <c r="Q25" s="44"/>
      <c r="R25" s="46"/>
      <c r="S25" s="47"/>
      <c r="T25" s="47"/>
      <c r="U25" s="47"/>
      <c r="X25" s="43"/>
      <c r="Y25" s="43"/>
      <c r="Z25" s="43"/>
      <c r="AA25" s="44"/>
      <c r="AB25" s="46"/>
      <c r="AC25" s="47"/>
      <c r="AD25" s="47"/>
      <c r="AE25" s="47"/>
    </row>
    <row r="26" spans="2:31" ht="15.75" thickTop="1" x14ac:dyDescent="0.25">
      <c r="B26" s="36" t="s">
        <v>19</v>
      </c>
      <c r="C26" s="95"/>
      <c r="D26" s="40">
        <f t="shared" si="6"/>
        <v>0</v>
      </c>
      <c r="E26" s="40">
        <f t="shared" si="6"/>
        <v>0</v>
      </c>
      <c r="F26" s="40">
        <f t="shared" si="6"/>
        <v>0</v>
      </c>
      <c r="G26" s="40">
        <f t="shared" si="6"/>
        <v>0</v>
      </c>
      <c r="H26" s="40">
        <f t="shared" si="6"/>
        <v>0</v>
      </c>
      <c r="I26" s="40">
        <f t="shared" si="6"/>
        <v>0</v>
      </c>
      <c r="J26" s="40">
        <f t="shared" si="6"/>
        <v>0</v>
      </c>
      <c r="K26" s="40">
        <f t="shared" si="6"/>
        <v>0</v>
      </c>
      <c r="N26" s="40"/>
      <c r="O26" s="40"/>
      <c r="P26" s="40"/>
      <c r="Q26" s="40"/>
      <c r="R26" s="40"/>
      <c r="S26" s="40"/>
      <c r="T26" s="40"/>
      <c r="U26" s="40"/>
      <c r="X26" s="40"/>
      <c r="Y26" s="40"/>
      <c r="Z26" s="40"/>
      <c r="AA26" s="40"/>
      <c r="AB26" s="40"/>
      <c r="AC26" s="40"/>
      <c r="AD26" s="40"/>
      <c r="AE26" s="40"/>
    </row>
    <row r="27" spans="2:31" s="105" customFormat="1" x14ac:dyDescent="0.25"/>
    <row r="28" spans="2:31" x14ac:dyDescent="0.25">
      <c r="B28" t="s">
        <v>20</v>
      </c>
      <c r="C28" s="94" t="s">
        <v>63</v>
      </c>
      <c r="D28" s="21">
        <f t="shared" ref="D28:K31" si="7">N28-X28</f>
        <v>0</v>
      </c>
      <c r="E28" s="21">
        <f t="shared" si="7"/>
        <v>0</v>
      </c>
      <c r="F28" s="21">
        <f t="shared" si="7"/>
        <v>0</v>
      </c>
      <c r="G28" s="42">
        <f t="shared" si="7"/>
        <v>0</v>
      </c>
      <c r="H28" s="45">
        <f t="shared" si="7"/>
        <v>0</v>
      </c>
      <c r="I28" s="41">
        <f t="shared" si="7"/>
        <v>0</v>
      </c>
      <c r="J28" s="41">
        <f t="shared" si="7"/>
        <v>0</v>
      </c>
      <c r="K28" s="41">
        <f t="shared" si="7"/>
        <v>0</v>
      </c>
      <c r="N28" s="21"/>
      <c r="O28" s="21"/>
      <c r="P28" s="21"/>
      <c r="Q28" s="42"/>
      <c r="R28" s="45"/>
      <c r="S28" s="41"/>
      <c r="T28" s="41"/>
      <c r="U28" s="41"/>
      <c r="X28" s="21"/>
      <c r="Y28" s="21"/>
      <c r="Z28" s="21"/>
      <c r="AA28" s="42"/>
      <c r="AB28" s="45"/>
      <c r="AC28" s="41"/>
      <c r="AD28" s="41"/>
      <c r="AE28" s="41"/>
    </row>
    <row r="29" spans="2:31" x14ac:dyDescent="0.25">
      <c r="B29" t="s">
        <v>141</v>
      </c>
      <c r="C29" s="94" t="s">
        <v>63</v>
      </c>
      <c r="D29" s="21">
        <f t="shared" si="7"/>
        <v>0</v>
      </c>
      <c r="E29" s="21">
        <f t="shared" si="7"/>
        <v>0</v>
      </c>
      <c r="F29" s="21">
        <f t="shared" si="7"/>
        <v>0</v>
      </c>
      <c r="G29" s="42">
        <f t="shared" si="7"/>
        <v>0</v>
      </c>
      <c r="H29" s="45">
        <f t="shared" si="7"/>
        <v>0</v>
      </c>
      <c r="I29" s="41">
        <f t="shared" si="7"/>
        <v>0</v>
      </c>
      <c r="J29" s="41">
        <f t="shared" si="7"/>
        <v>0</v>
      </c>
      <c r="K29" s="41">
        <f t="shared" si="7"/>
        <v>0</v>
      </c>
      <c r="N29" s="21"/>
      <c r="O29" s="21"/>
      <c r="P29" s="21"/>
      <c r="Q29" s="42"/>
      <c r="R29" s="45"/>
      <c r="S29" s="41"/>
      <c r="T29" s="41"/>
      <c r="U29" s="41"/>
      <c r="X29" s="21"/>
      <c r="Y29" s="21"/>
      <c r="Z29" s="21"/>
      <c r="AA29" s="42"/>
      <c r="AB29" s="45"/>
      <c r="AC29" s="41"/>
      <c r="AD29" s="41"/>
      <c r="AE29" s="41"/>
    </row>
    <row r="30" spans="2:31" x14ac:dyDescent="0.25">
      <c r="B30" t="s">
        <v>16</v>
      </c>
      <c r="C30" s="94" t="s">
        <v>63</v>
      </c>
      <c r="D30" s="21">
        <f t="shared" si="7"/>
        <v>0</v>
      </c>
      <c r="E30" s="21">
        <f t="shared" si="7"/>
        <v>0</v>
      </c>
      <c r="F30" s="21">
        <f t="shared" si="7"/>
        <v>0</v>
      </c>
      <c r="G30" s="42">
        <f t="shared" si="7"/>
        <v>0</v>
      </c>
      <c r="H30" s="45">
        <f t="shared" si="7"/>
        <v>0</v>
      </c>
      <c r="I30" s="41">
        <f t="shared" si="7"/>
        <v>0</v>
      </c>
      <c r="J30" s="41">
        <f t="shared" si="7"/>
        <v>0</v>
      </c>
      <c r="K30" s="41">
        <f t="shared" si="7"/>
        <v>0</v>
      </c>
      <c r="N30" s="21"/>
      <c r="O30" s="21"/>
      <c r="P30" s="21"/>
      <c r="Q30" s="42"/>
      <c r="R30" s="45"/>
      <c r="S30" s="41"/>
      <c r="T30" s="41"/>
      <c r="U30" s="41"/>
      <c r="X30" s="21"/>
      <c r="Y30" s="21"/>
      <c r="Z30" s="21"/>
      <c r="AA30" s="42"/>
      <c r="AB30" s="45"/>
      <c r="AC30" s="41"/>
      <c r="AD30" s="41"/>
      <c r="AE30" s="41"/>
    </row>
    <row r="31" spans="2:31" x14ac:dyDescent="0.25">
      <c r="B31" t="s">
        <v>21</v>
      </c>
      <c r="C31" s="94" t="s">
        <v>63</v>
      </c>
      <c r="D31" s="21">
        <f t="shared" si="7"/>
        <v>0</v>
      </c>
      <c r="E31" s="21">
        <f t="shared" si="7"/>
        <v>0</v>
      </c>
      <c r="F31" s="21">
        <f t="shared" si="7"/>
        <v>0</v>
      </c>
      <c r="G31" s="42">
        <f t="shared" si="7"/>
        <v>0</v>
      </c>
      <c r="H31" s="45">
        <f t="shared" si="7"/>
        <v>0</v>
      </c>
      <c r="I31" s="41">
        <f t="shared" si="7"/>
        <v>0</v>
      </c>
      <c r="J31" s="41">
        <f t="shared" si="7"/>
        <v>0</v>
      </c>
      <c r="K31" s="41">
        <f t="shared" si="7"/>
        <v>0</v>
      </c>
      <c r="N31" s="21"/>
      <c r="O31" s="21"/>
      <c r="P31" s="21"/>
      <c r="Q31" s="42"/>
      <c r="R31" s="45"/>
      <c r="S31" s="41"/>
      <c r="T31" s="41"/>
      <c r="U31" s="41"/>
      <c r="X31" s="21"/>
      <c r="Y31" s="21"/>
      <c r="Z31" s="21"/>
      <c r="AA31" s="42"/>
      <c r="AB31" s="45"/>
      <c r="AC31" s="41"/>
      <c r="AD31" s="41"/>
      <c r="AE31" s="41"/>
    </row>
    <row r="32" spans="2:31" s="105" customFormat="1" x14ac:dyDescent="0.25">
      <c r="B32" s="106"/>
      <c r="C32" s="106"/>
    </row>
    <row r="33" spans="2:31" ht="15.75" thickBot="1" x14ac:dyDescent="0.3">
      <c r="B33" s="4" t="s">
        <v>22</v>
      </c>
      <c r="C33" s="94" t="s">
        <v>63</v>
      </c>
      <c r="D33" s="43">
        <f t="shared" ref="D33:K34" si="8">N33-X33</f>
        <v>0</v>
      </c>
      <c r="E33" s="43">
        <f t="shared" si="8"/>
        <v>0</v>
      </c>
      <c r="F33" s="43">
        <f t="shared" si="8"/>
        <v>0</v>
      </c>
      <c r="G33" s="44">
        <f t="shared" si="8"/>
        <v>0</v>
      </c>
      <c r="H33" s="46">
        <f t="shared" si="8"/>
        <v>0</v>
      </c>
      <c r="I33" s="47">
        <f t="shared" si="8"/>
        <v>0</v>
      </c>
      <c r="J33" s="47">
        <f t="shared" si="8"/>
        <v>0</v>
      </c>
      <c r="K33" s="47">
        <f t="shared" si="8"/>
        <v>0</v>
      </c>
      <c r="N33" s="43"/>
      <c r="O33" s="43"/>
      <c r="P33" s="43"/>
      <c r="Q33" s="44"/>
      <c r="R33" s="46"/>
      <c r="S33" s="47"/>
      <c r="T33" s="47"/>
      <c r="U33" s="47"/>
      <c r="X33" s="43"/>
      <c r="Y33" s="43"/>
      <c r="Z33" s="43"/>
      <c r="AA33" s="44"/>
      <c r="AB33" s="46"/>
      <c r="AC33" s="47"/>
      <c r="AD33" s="47"/>
      <c r="AE33" s="47"/>
    </row>
    <row r="34" spans="2:31" ht="15.75" thickTop="1" x14ac:dyDescent="0.25">
      <c r="B34" s="7"/>
      <c r="C34" s="96"/>
      <c r="D34" s="100">
        <f t="shared" si="8"/>
        <v>0</v>
      </c>
      <c r="E34" s="100">
        <f t="shared" si="8"/>
        <v>0</v>
      </c>
      <c r="F34" s="100">
        <f t="shared" si="8"/>
        <v>0</v>
      </c>
      <c r="G34" s="100">
        <f t="shared" si="8"/>
        <v>0</v>
      </c>
      <c r="H34" s="100">
        <f t="shared" si="8"/>
        <v>0</v>
      </c>
      <c r="I34" s="100">
        <f t="shared" si="8"/>
        <v>0</v>
      </c>
      <c r="J34" s="100">
        <f t="shared" si="8"/>
        <v>0</v>
      </c>
      <c r="K34" s="100">
        <f t="shared" si="8"/>
        <v>0</v>
      </c>
      <c r="N34" s="100"/>
      <c r="O34" s="100"/>
      <c r="P34" s="100"/>
      <c r="Q34" s="100"/>
      <c r="R34" s="100"/>
      <c r="S34" s="100"/>
      <c r="T34" s="100"/>
      <c r="U34" s="100"/>
      <c r="X34" s="100"/>
      <c r="Y34" s="100"/>
      <c r="Z34" s="100"/>
      <c r="AA34" s="100"/>
      <c r="AB34" s="100"/>
      <c r="AC34" s="100"/>
      <c r="AD34" s="100"/>
      <c r="AE34" s="100"/>
    </row>
    <row r="35" spans="2:31" s="105" customFormat="1" x14ac:dyDescent="0.25">
      <c r="B35" s="106"/>
      <c r="C35" s="106"/>
    </row>
    <row r="36" spans="2:31" x14ac:dyDescent="0.25">
      <c r="B36" s="54" t="s">
        <v>142</v>
      </c>
      <c r="C36" s="94" t="s">
        <v>63</v>
      </c>
      <c r="D36" s="101">
        <f t="shared" ref="D36:K37" si="9">N36-X36</f>
        <v>0</v>
      </c>
      <c r="E36" s="101">
        <f t="shared" si="9"/>
        <v>0</v>
      </c>
      <c r="F36" s="101">
        <f t="shared" si="9"/>
        <v>0</v>
      </c>
      <c r="G36" s="101">
        <f t="shared" si="9"/>
        <v>0</v>
      </c>
      <c r="H36" s="101">
        <f t="shared" si="9"/>
        <v>0</v>
      </c>
      <c r="I36" s="101">
        <f t="shared" si="9"/>
        <v>0</v>
      </c>
      <c r="J36" s="101">
        <f t="shared" si="9"/>
        <v>0</v>
      </c>
      <c r="K36" s="101">
        <f t="shared" si="9"/>
        <v>0</v>
      </c>
      <c r="N36" s="101"/>
      <c r="O36" s="101"/>
      <c r="P36" s="101"/>
      <c r="Q36" s="101"/>
      <c r="R36" s="101"/>
      <c r="S36" s="101"/>
      <c r="T36" s="101"/>
      <c r="U36" s="101"/>
      <c r="X36" s="101"/>
      <c r="Y36" s="101"/>
      <c r="Z36" s="101"/>
      <c r="AA36" s="101"/>
      <c r="AB36" s="101"/>
      <c r="AC36" s="101"/>
      <c r="AD36" s="101"/>
      <c r="AE36" s="101"/>
    </row>
    <row r="37" spans="2:31" x14ac:dyDescent="0.25">
      <c r="B37" s="4" t="s">
        <v>143</v>
      </c>
      <c r="C37" s="97" t="s">
        <v>63</v>
      </c>
      <c r="D37" s="102">
        <f t="shared" si="9"/>
        <v>0</v>
      </c>
      <c r="E37" s="102">
        <f t="shared" si="9"/>
        <v>0</v>
      </c>
      <c r="F37" s="102">
        <f t="shared" si="9"/>
        <v>0</v>
      </c>
      <c r="G37" s="102">
        <f t="shared" si="9"/>
        <v>0</v>
      </c>
      <c r="H37" s="102">
        <f t="shared" si="9"/>
        <v>0</v>
      </c>
      <c r="I37" s="102">
        <f t="shared" si="9"/>
        <v>0</v>
      </c>
      <c r="J37" s="102">
        <f t="shared" si="9"/>
        <v>0</v>
      </c>
      <c r="K37" s="102">
        <f t="shared" si="9"/>
        <v>0</v>
      </c>
      <c r="N37" s="102"/>
      <c r="O37" s="102"/>
      <c r="P37" s="102"/>
      <c r="Q37" s="102"/>
      <c r="R37" s="102"/>
      <c r="S37" s="102"/>
      <c r="T37" s="102"/>
      <c r="U37" s="102"/>
      <c r="X37" s="102"/>
      <c r="Y37" s="102"/>
      <c r="Z37" s="102"/>
      <c r="AA37" s="102"/>
      <c r="AB37" s="102"/>
      <c r="AC37" s="102"/>
      <c r="AD37" s="102"/>
      <c r="AE37" s="102"/>
    </row>
    <row r="38" spans="2:31" s="105" customFormat="1" x14ac:dyDescent="0.25"/>
    <row r="39" spans="2:31" s="105" customFormat="1" x14ac:dyDescent="0.25"/>
    <row r="40" spans="2:31" x14ac:dyDescent="0.25">
      <c r="B40" s="54" t="s">
        <v>144</v>
      </c>
      <c r="C40" s="94" t="s">
        <v>63</v>
      </c>
      <c r="D40" s="101">
        <f t="shared" ref="D40:K42" si="10">N40-X40</f>
        <v>0</v>
      </c>
      <c r="E40" s="101">
        <f t="shared" si="10"/>
        <v>0</v>
      </c>
      <c r="F40" s="101">
        <f t="shared" si="10"/>
        <v>0</v>
      </c>
      <c r="G40" s="101">
        <f t="shared" si="10"/>
        <v>0</v>
      </c>
      <c r="H40" s="101">
        <f t="shared" si="10"/>
        <v>0</v>
      </c>
      <c r="I40" s="101">
        <f t="shared" si="10"/>
        <v>0</v>
      </c>
      <c r="J40" s="101">
        <f t="shared" si="10"/>
        <v>0</v>
      </c>
      <c r="K40" s="101">
        <f t="shared" si="10"/>
        <v>0</v>
      </c>
      <c r="N40" s="101"/>
      <c r="O40" s="101"/>
      <c r="P40" s="101"/>
      <c r="Q40" s="101"/>
      <c r="R40" s="101"/>
      <c r="S40" s="101"/>
      <c r="T40" s="101"/>
      <c r="U40" s="101"/>
      <c r="X40" s="101"/>
      <c r="Y40" s="101"/>
      <c r="Z40" s="101"/>
      <c r="AA40" s="101"/>
      <c r="AB40" s="101"/>
      <c r="AC40" s="101"/>
      <c r="AD40" s="101"/>
      <c r="AE40" s="101"/>
    </row>
    <row r="41" spans="2:31" x14ac:dyDescent="0.25">
      <c r="B41" s="54" t="s">
        <v>33</v>
      </c>
      <c r="C41" s="94" t="s">
        <v>63</v>
      </c>
      <c r="D41" s="101">
        <f t="shared" si="10"/>
        <v>0</v>
      </c>
      <c r="E41" s="101">
        <f t="shared" si="10"/>
        <v>0</v>
      </c>
      <c r="F41" s="101">
        <f t="shared" si="10"/>
        <v>0</v>
      </c>
      <c r="G41" s="101">
        <f t="shared" si="10"/>
        <v>0</v>
      </c>
      <c r="H41" s="101">
        <f t="shared" si="10"/>
        <v>0</v>
      </c>
      <c r="I41" s="101">
        <f t="shared" si="10"/>
        <v>0</v>
      </c>
      <c r="J41" s="101">
        <f t="shared" si="10"/>
        <v>0</v>
      </c>
      <c r="K41" s="101">
        <f t="shared" si="10"/>
        <v>0</v>
      </c>
      <c r="N41" s="101"/>
      <c r="O41" s="101"/>
      <c r="P41" s="101"/>
      <c r="Q41" s="101"/>
      <c r="R41" s="101"/>
      <c r="S41" s="101"/>
      <c r="T41" s="101"/>
      <c r="U41" s="101"/>
      <c r="X41" s="101"/>
      <c r="Y41" s="101"/>
      <c r="Z41" s="101"/>
      <c r="AA41" s="101"/>
      <c r="AB41" s="101"/>
      <c r="AC41" s="101"/>
      <c r="AD41" s="101"/>
      <c r="AE41" s="101"/>
    </row>
    <row r="42" spans="2:31" x14ac:dyDescent="0.25">
      <c r="B42" s="54" t="s">
        <v>145</v>
      </c>
      <c r="C42" s="94" t="s">
        <v>63</v>
      </c>
      <c r="D42" s="101">
        <f t="shared" si="10"/>
        <v>0</v>
      </c>
      <c r="E42" s="101">
        <f t="shared" si="10"/>
        <v>0</v>
      </c>
      <c r="F42" s="101">
        <f t="shared" si="10"/>
        <v>0</v>
      </c>
      <c r="G42" s="101">
        <f t="shared" si="10"/>
        <v>0</v>
      </c>
      <c r="H42" s="101">
        <f t="shared" si="10"/>
        <v>0</v>
      </c>
      <c r="I42" s="101">
        <f t="shared" si="10"/>
        <v>0</v>
      </c>
      <c r="J42" s="101">
        <f t="shared" si="10"/>
        <v>0</v>
      </c>
      <c r="K42" s="101">
        <f t="shared" si="10"/>
        <v>0</v>
      </c>
      <c r="N42" s="101"/>
      <c r="O42" s="101"/>
      <c r="P42" s="101"/>
      <c r="Q42" s="101"/>
      <c r="R42" s="101"/>
      <c r="S42" s="101"/>
      <c r="T42" s="101"/>
      <c r="U42" s="101"/>
      <c r="X42" s="101"/>
      <c r="Y42" s="101"/>
      <c r="Z42" s="101"/>
      <c r="AA42" s="101"/>
      <c r="AB42" s="101"/>
      <c r="AC42" s="101"/>
      <c r="AD42" s="101"/>
      <c r="AE42" s="101"/>
    </row>
    <row r="43" spans="2:31" x14ac:dyDescent="0.25">
      <c r="B43" s="54" t="s">
        <v>146</v>
      </c>
      <c r="C43" s="98" t="s">
        <v>152</v>
      </c>
      <c r="D43" s="88">
        <f>IFERROR(D33/D42,0)</f>
        <v>0</v>
      </c>
      <c r="E43" s="88">
        <f t="shared" ref="E43:K43" si="11">IFERROR(E33/E42,0)</f>
        <v>0</v>
      </c>
      <c r="F43" s="88">
        <f t="shared" si="11"/>
        <v>0</v>
      </c>
      <c r="G43" s="88">
        <f t="shared" si="11"/>
        <v>0</v>
      </c>
      <c r="H43" s="88">
        <f t="shared" si="11"/>
        <v>0</v>
      </c>
      <c r="I43" s="88">
        <f t="shared" si="11"/>
        <v>0</v>
      </c>
      <c r="J43" s="88">
        <f t="shared" si="11"/>
        <v>0</v>
      </c>
      <c r="K43" s="88">
        <f t="shared" si="11"/>
        <v>0</v>
      </c>
      <c r="N43" s="88"/>
      <c r="O43" s="88"/>
      <c r="P43" s="88"/>
      <c r="Q43" s="88"/>
      <c r="R43" s="88"/>
      <c r="S43" s="88"/>
      <c r="T43" s="88"/>
      <c r="U43" s="88"/>
      <c r="X43" s="88"/>
      <c r="Y43" s="88"/>
      <c r="Z43" s="88"/>
      <c r="AA43" s="88"/>
      <c r="AB43" s="88"/>
      <c r="AC43" s="88"/>
      <c r="AD43" s="88"/>
      <c r="AE43" s="88"/>
    </row>
    <row r="44" spans="2:31" s="105" customFormat="1" x14ac:dyDescent="0.25"/>
    <row r="45" spans="2:31" x14ac:dyDescent="0.25">
      <c r="B45" s="54" t="s">
        <v>147</v>
      </c>
      <c r="C45" s="94" t="s">
        <v>63</v>
      </c>
      <c r="D45" s="101">
        <f>NPV(wacc,G33:K33)</f>
        <v>0</v>
      </c>
      <c r="E45" s="54"/>
      <c r="F45" s="54"/>
      <c r="G45" s="54"/>
      <c r="H45" s="54"/>
      <c r="I45" s="54"/>
      <c r="J45" s="54"/>
      <c r="K45" s="54"/>
      <c r="N45" s="101"/>
      <c r="O45" s="105"/>
      <c r="P45" s="105"/>
      <c r="Q45" s="105"/>
      <c r="R45" s="105"/>
      <c r="S45" s="105"/>
      <c r="T45" s="105"/>
      <c r="U45" s="105"/>
      <c r="X45" s="101"/>
      <c r="Y45" s="105"/>
      <c r="Z45" s="105"/>
      <c r="AA45" s="105"/>
      <c r="AB45" s="105"/>
      <c r="AC45" s="105"/>
      <c r="AD45" s="105"/>
      <c r="AE45" s="105"/>
    </row>
    <row r="46" spans="2:31" x14ac:dyDescent="0.25">
      <c r="B46" s="54" t="s">
        <v>148</v>
      </c>
      <c r="C46" s="94" t="s">
        <v>63</v>
      </c>
      <c r="D46" s="101">
        <f>(K33*(1+tv_growth)/(wacc-tv_growth))/(1+wacc)^5</f>
        <v>0</v>
      </c>
      <c r="E46" s="54"/>
      <c r="F46" s="54"/>
      <c r="G46" s="54"/>
      <c r="H46" s="54"/>
      <c r="I46" s="54"/>
      <c r="J46" s="54"/>
      <c r="K46" s="54"/>
      <c r="N46" s="101"/>
      <c r="O46" s="105"/>
      <c r="P46" s="105"/>
      <c r="Q46" s="105"/>
      <c r="R46" s="105"/>
      <c r="S46" s="105"/>
      <c r="T46" s="105"/>
      <c r="U46" s="105"/>
      <c r="X46" s="101"/>
      <c r="Y46" s="105"/>
      <c r="Z46" s="105"/>
      <c r="AA46" s="105"/>
      <c r="AB46" s="105"/>
      <c r="AC46" s="105"/>
      <c r="AD46" s="105"/>
      <c r="AE46" s="105"/>
    </row>
    <row r="47" spans="2:31" ht="15.75" thickBot="1" x14ac:dyDescent="0.3">
      <c r="B47" s="54" t="s">
        <v>149</v>
      </c>
      <c r="C47" s="94" t="s">
        <v>63</v>
      </c>
      <c r="D47" s="103">
        <f>SUM(D45:D46)</f>
        <v>0</v>
      </c>
      <c r="E47" s="54"/>
      <c r="F47" s="54"/>
      <c r="G47" s="54"/>
      <c r="H47" s="54"/>
      <c r="I47" s="54"/>
      <c r="J47" s="54"/>
      <c r="K47" s="54"/>
      <c r="N47" s="103"/>
      <c r="O47" s="105"/>
      <c r="P47" s="105"/>
      <c r="Q47" s="105"/>
      <c r="R47" s="105"/>
      <c r="S47" s="105"/>
      <c r="T47" s="105"/>
      <c r="U47" s="105"/>
      <c r="X47" s="103"/>
      <c r="Y47" s="105"/>
      <c r="Z47" s="105"/>
      <c r="AA47" s="105"/>
      <c r="AB47" s="105"/>
      <c r="AC47" s="105"/>
      <c r="AD47" s="105"/>
      <c r="AE47" s="105"/>
    </row>
    <row r="48" spans="2:31" s="105" customFormat="1" ht="15.75" thickTop="1" x14ac:dyDescent="0.25"/>
    <row r="49" spans="2:31" x14ac:dyDescent="0.25">
      <c r="B49" s="4" t="s">
        <v>150</v>
      </c>
      <c r="C49" s="99" t="s">
        <v>151</v>
      </c>
      <c r="D49" s="101" cm="1">
        <f t="array" ref="D49">IFERROR(MATCH(TRUE,G33:K33&gt;=0,0),"5+")</f>
        <v>1</v>
      </c>
      <c r="E49" s="54"/>
      <c r="F49" s="54"/>
      <c r="G49" s="54"/>
      <c r="H49" s="54"/>
      <c r="I49" s="54"/>
      <c r="J49" s="54"/>
      <c r="K49" s="54"/>
      <c r="N49" s="101"/>
      <c r="O49" s="105"/>
      <c r="P49" s="105"/>
      <c r="Q49" s="105"/>
      <c r="R49" s="105"/>
      <c r="S49" s="105"/>
      <c r="T49" s="105"/>
      <c r="U49" s="105"/>
      <c r="X49" s="101"/>
      <c r="Y49" s="105"/>
      <c r="Z49" s="105"/>
      <c r="AA49" s="105"/>
      <c r="AB49" s="105"/>
      <c r="AC49" s="105"/>
      <c r="AD49" s="105"/>
      <c r="AE49" s="105"/>
    </row>
  </sheetData>
  <dataValidations count="1">
    <dataValidation type="list" allowBlank="1" showInputMessage="1" showErrorMessage="1" sqref="X3 N3" xr:uid="{FA0C2B09-432E-4726-B228-C2DA4A172500}">
      <formula1>"Select Scenario, Current State, Scenario 1, Scenario 2, Scenario 3, Scenario 4, Scenario 5"</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18BF2-90CC-4216-8F79-B9699329F5CE}">
  <sheetPr>
    <tabColor rgb="FF0070C0"/>
  </sheetPr>
  <dimension ref="B1:BD48"/>
  <sheetViews>
    <sheetView showGridLines="0" zoomScaleNormal="100" workbookViewId="0">
      <pane xSplit="3" topLeftCell="D1" activePane="topRight" state="frozen"/>
      <selection pane="topRight" activeCell="M6" sqref="M6"/>
    </sheetView>
  </sheetViews>
  <sheetFormatPr defaultRowHeight="15" x14ac:dyDescent="0.25"/>
  <cols>
    <col min="1" max="1" width="3.140625" customWidth="1"/>
    <col min="2" max="2" width="32.42578125" style="7" bestFit="1" customWidth="1"/>
    <col min="3" max="3" width="6" style="96" bestFit="1" customWidth="1"/>
    <col min="4" max="11" width="8.5703125" customWidth="1"/>
  </cols>
  <sheetData>
    <row r="1" spans="2:56" x14ac:dyDescent="0.25">
      <c r="B1"/>
      <c r="C1" s="91"/>
    </row>
    <row r="2" spans="2:56" x14ac:dyDescent="0.25">
      <c r="B2" s="87" t="str">
        <f>IF(Inputs!C4="","[Insert Project Name in Inputs Tab]",Inputs!C4)</f>
        <v>[Insert Project Name in Inputs Tab]</v>
      </c>
      <c r="C2" s="92"/>
      <c r="D2" s="4" t="s">
        <v>182</v>
      </c>
      <c r="M2" s="52" t="str">
        <f>Inputs!B22</f>
        <v>Scenario 1</v>
      </c>
      <c r="V2" s="52" t="str">
        <f>Inputs!B23</f>
        <v>Scenario 2</v>
      </c>
      <c r="AE2" s="52" t="str">
        <f>Inputs!B24</f>
        <v>Scenario 3</v>
      </c>
      <c r="AN2" s="52" t="str">
        <f>Inputs!B25</f>
        <v>Scenario 4</v>
      </c>
      <c r="AW2" s="52" t="str">
        <f>Inputs!B26</f>
        <v>Scenario 5</v>
      </c>
    </row>
    <row r="3" spans="2:56" x14ac:dyDescent="0.25">
      <c r="B3" s="39" t="s">
        <v>0</v>
      </c>
      <c r="C3" s="93"/>
      <c r="D3" s="61" t="s">
        <v>183</v>
      </c>
      <c r="M3" s="52" t="str">
        <f>Inputs!C22</f>
        <v>Scenario 1 Description</v>
      </c>
      <c r="V3" s="52" t="str">
        <f>Inputs!C23</f>
        <v>Scenario 2 Description</v>
      </c>
      <c r="AE3" s="52" t="str">
        <f>Inputs!C24</f>
        <v>Scenario 3 Description</v>
      </c>
      <c r="AN3" s="52" t="str">
        <f>Inputs!C25</f>
        <v>Scenario 4 Description</v>
      </c>
      <c r="AW3" s="52" t="str">
        <f>Inputs!C26</f>
        <v>Scenario 5 Description</v>
      </c>
    </row>
    <row r="4" spans="2:56" x14ac:dyDescent="0.25">
      <c r="B4"/>
      <c r="C4" s="91"/>
    </row>
    <row r="5" spans="2:56" x14ac:dyDescent="0.25">
      <c r="B5"/>
      <c r="C5" s="91"/>
      <c r="D5" s="12">
        <v>2023</v>
      </c>
      <c r="E5" s="12">
        <v>2024</v>
      </c>
      <c r="F5" s="12">
        <v>2025</v>
      </c>
      <c r="G5" s="13">
        <v>2026</v>
      </c>
      <c r="H5" s="15">
        <v>2027</v>
      </c>
      <c r="I5" s="16">
        <v>2028</v>
      </c>
      <c r="J5" s="16">
        <v>2029</v>
      </c>
      <c r="K5" s="16">
        <v>2030</v>
      </c>
      <c r="M5" s="12">
        <v>2023</v>
      </c>
      <c r="N5" s="12">
        <v>2024</v>
      </c>
      <c r="O5" s="12">
        <v>2025</v>
      </c>
      <c r="P5" s="13">
        <v>2026</v>
      </c>
      <c r="Q5" s="15">
        <v>2027</v>
      </c>
      <c r="R5" s="16">
        <v>2028</v>
      </c>
      <c r="S5" s="16">
        <v>2029</v>
      </c>
      <c r="T5" s="16">
        <v>2030</v>
      </c>
      <c r="V5" s="12">
        <v>2023</v>
      </c>
      <c r="W5" s="12">
        <v>2024</v>
      </c>
      <c r="X5" s="12">
        <v>2025</v>
      </c>
      <c r="Y5" s="13">
        <v>2026</v>
      </c>
      <c r="Z5" s="15">
        <v>2027</v>
      </c>
      <c r="AA5" s="16">
        <v>2028</v>
      </c>
      <c r="AB5" s="16">
        <v>2029</v>
      </c>
      <c r="AC5" s="16">
        <v>2030</v>
      </c>
      <c r="AE5" s="12">
        <v>2023</v>
      </c>
      <c r="AF5" s="12">
        <v>2024</v>
      </c>
      <c r="AG5" s="12">
        <v>2025</v>
      </c>
      <c r="AH5" s="13">
        <v>2026</v>
      </c>
      <c r="AI5" s="15">
        <v>2027</v>
      </c>
      <c r="AJ5" s="16">
        <v>2028</v>
      </c>
      <c r="AK5" s="16">
        <v>2029</v>
      </c>
      <c r="AL5" s="16">
        <v>2030</v>
      </c>
      <c r="AN5" s="12">
        <v>2023</v>
      </c>
      <c r="AO5" s="12">
        <v>2024</v>
      </c>
      <c r="AP5" s="12">
        <v>2025</v>
      </c>
      <c r="AQ5" s="13">
        <v>2026</v>
      </c>
      <c r="AR5" s="15">
        <v>2027</v>
      </c>
      <c r="AS5" s="16">
        <v>2028</v>
      </c>
      <c r="AT5" s="16">
        <v>2029</v>
      </c>
      <c r="AU5" s="16">
        <v>2030</v>
      </c>
      <c r="AW5" s="12">
        <v>2023</v>
      </c>
      <c r="AX5" s="12">
        <v>2024</v>
      </c>
      <c r="AY5" s="12">
        <v>2025</v>
      </c>
      <c r="AZ5" s="13">
        <v>2026</v>
      </c>
      <c r="BA5" s="15">
        <v>2027</v>
      </c>
      <c r="BB5" s="16">
        <v>2028</v>
      </c>
      <c r="BC5" s="16">
        <v>2029</v>
      </c>
      <c r="BD5" s="16">
        <v>2030</v>
      </c>
    </row>
    <row r="6" spans="2:56" x14ac:dyDescent="0.25">
      <c r="B6" s="4" t="s">
        <v>5</v>
      </c>
      <c r="C6" s="94" t="s">
        <v>63</v>
      </c>
      <c r="D6" s="21">
        <f>'1. Margins'!F519</f>
        <v>0</v>
      </c>
      <c r="E6" s="21">
        <f>'1. Margins'!G519</f>
        <v>0</v>
      </c>
      <c r="F6" s="21">
        <f>'1. Margins'!H519</f>
        <v>0</v>
      </c>
      <c r="G6" s="42">
        <f>'1. Margins'!M519</f>
        <v>0</v>
      </c>
      <c r="H6" s="45">
        <f>'1. Margins'!R519</f>
        <v>0</v>
      </c>
      <c r="I6" s="41">
        <f>'1. Margins'!S519</f>
        <v>0</v>
      </c>
      <c r="J6" s="41">
        <f>'1. Margins'!T519</f>
        <v>0</v>
      </c>
      <c r="K6" s="41">
        <f>'1. Margins'!U519</f>
        <v>0</v>
      </c>
      <c r="M6" s="21">
        <f>'1. Margins'!F19</f>
        <v>0</v>
      </c>
      <c r="N6" s="21">
        <f>'1. Margins'!G19</f>
        <v>0</v>
      </c>
      <c r="O6" s="21">
        <f>'1. Margins'!H19</f>
        <v>0</v>
      </c>
      <c r="P6" s="42">
        <f>'1. Margins'!M19</f>
        <v>0</v>
      </c>
      <c r="Q6" s="45">
        <f>'1. Margins'!R19</f>
        <v>0</v>
      </c>
      <c r="R6" s="41">
        <f>'1. Margins'!S19</f>
        <v>0</v>
      </c>
      <c r="S6" s="41">
        <f>'1. Margins'!T19</f>
        <v>0</v>
      </c>
      <c r="T6" s="41">
        <f>'1. Margins'!U19</f>
        <v>0</v>
      </c>
      <c r="V6" s="21">
        <f>'1. Margins'!F119</f>
        <v>0</v>
      </c>
      <c r="W6" s="21">
        <f>'1. Margins'!G119</f>
        <v>0</v>
      </c>
      <c r="X6" s="21">
        <f>'1. Margins'!H119</f>
        <v>0</v>
      </c>
      <c r="Y6" s="42">
        <f>'1. Margins'!M119</f>
        <v>0</v>
      </c>
      <c r="Z6" s="45">
        <f>'1. Margins'!R119</f>
        <v>0</v>
      </c>
      <c r="AA6" s="41">
        <f>'1. Margins'!S119</f>
        <v>0</v>
      </c>
      <c r="AB6" s="41">
        <f>'1. Margins'!T119</f>
        <v>0</v>
      </c>
      <c r="AC6" s="41">
        <f>'1. Margins'!U119</f>
        <v>0</v>
      </c>
      <c r="AE6" s="21">
        <f>'1. Margins'!F219</f>
        <v>0</v>
      </c>
      <c r="AF6" s="21">
        <f>'1. Margins'!G219</f>
        <v>0</v>
      </c>
      <c r="AG6" s="21">
        <f>'1. Margins'!H219</f>
        <v>0</v>
      </c>
      <c r="AH6" s="42">
        <f>'1. Margins'!M219</f>
        <v>0</v>
      </c>
      <c r="AI6" s="45">
        <f>'1. Margins'!R219</f>
        <v>0</v>
      </c>
      <c r="AJ6" s="41">
        <f>'1. Margins'!S219</f>
        <v>0</v>
      </c>
      <c r="AK6" s="41">
        <f>'1. Margins'!T219</f>
        <v>0</v>
      </c>
      <c r="AL6" s="41">
        <f>'1. Margins'!U219</f>
        <v>0</v>
      </c>
      <c r="AN6" s="21">
        <f>'1. Margins'!F319</f>
        <v>0</v>
      </c>
      <c r="AO6" s="21">
        <f>'1. Margins'!G319</f>
        <v>0</v>
      </c>
      <c r="AP6" s="21">
        <f>'1. Margins'!H319</f>
        <v>0</v>
      </c>
      <c r="AQ6" s="42">
        <f>'1. Margins'!M319</f>
        <v>0</v>
      </c>
      <c r="AR6" s="45">
        <f>'1. Margins'!R319</f>
        <v>0</v>
      </c>
      <c r="AS6" s="41">
        <f>'1. Margins'!S319</f>
        <v>0</v>
      </c>
      <c r="AT6" s="41">
        <f>'1. Margins'!T319</f>
        <v>0</v>
      </c>
      <c r="AU6" s="41">
        <f>'1. Margins'!U319</f>
        <v>0</v>
      </c>
      <c r="AW6" s="21">
        <f>'1. Margins'!F419</f>
        <v>0</v>
      </c>
      <c r="AX6" s="21">
        <f>'1. Margins'!G419</f>
        <v>0</v>
      </c>
      <c r="AY6" s="21">
        <f>'1. Margins'!H419</f>
        <v>0</v>
      </c>
      <c r="AZ6" s="42">
        <f>'1. Margins'!M419</f>
        <v>0</v>
      </c>
      <c r="BA6" s="45">
        <f>'1. Margins'!R419</f>
        <v>0</v>
      </c>
      <c r="BB6" s="41">
        <f>'1. Margins'!S419</f>
        <v>0</v>
      </c>
      <c r="BC6" s="41">
        <f>'1. Margins'!T419</f>
        <v>0</v>
      </c>
      <c r="BD6" s="41">
        <f>'1. Margins'!U419</f>
        <v>0</v>
      </c>
    </row>
    <row r="7" spans="2:56" x14ac:dyDescent="0.25">
      <c r="B7"/>
      <c r="C7"/>
    </row>
    <row r="8" spans="2:56" x14ac:dyDescent="0.25">
      <c r="B8" s="4" t="s">
        <v>6</v>
      </c>
      <c r="C8" s="94" t="s">
        <v>63</v>
      </c>
      <c r="D8" s="21">
        <f>'1. Margins'!F583</f>
        <v>0</v>
      </c>
      <c r="E8" s="21">
        <f>'1. Margins'!G583</f>
        <v>0</v>
      </c>
      <c r="F8" s="21">
        <f>'1. Margins'!H583</f>
        <v>0</v>
      </c>
      <c r="G8" s="42">
        <f>'1. Margins'!M583</f>
        <v>0</v>
      </c>
      <c r="H8" s="45">
        <f>'1. Margins'!R583</f>
        <v>0</v>
      </c>
      <c r="I8" s="41">
        <f>'1. Margins'!S583</f>
        <v>0</v>
      </c>
      <c r="J8" s="41">
        <f>'1. Margins'!T583</f>
        <v>0</v>
      </c>
      <c r="K8" s="41">
        <f>'1. Margins'!U583</f>
        <v>0</v>
      </c>
      <c r="M8" s="21">
        <f>'1. Margins'!F83</f>
        <v>0</v>
      </c>
      <c r="N8" s="21">
        <f>'1. Margins'!G83</f>
        <v>0</v>
      </c>
      <c r="O8" s="21">
        <f>'1. Margins'!H83</f>
        <v>0</v>
      </c>
      <c r="P8" s="42">
        <f>'1. Margins'!M83</f>
        <v>0</v>
      </c>
      <c r="Q8" s="45">
        <f>'1. Margins'!R83</f>
        <v>0</v>
      </c>
      <c r="R8" s="41">
        <f>'1. Margins'!S83</f>
        <v>0</v>
      </c>
      <c r="S8" s="41">
        <f>'1. Margins'!T83</f>
        <v>0</v>
      </c>
      <c r="T8" s="41">
        <f>'1. Margins'!U83</f>
        <v>0</v>
      </c>
      <c r="V8" s="21">
        <f>'1. Margins'!F183</f>
        <v>0</v>
      </c>
      <c r="W8" s="21">
        <f>'1. Margins'!G183</f>
        <v>0</v>
      </c>
      <c r="X8" s="21">
        <f>'1. Margins'!H183</f>
        <v>0</v>
      </c>
      <c r="Y8" s="42">
        <f>'1. Margins'!M183</f>
        <v>0</v>
      </c>
      <c r="Z8" s="45">
        <f>'1. Margins'!R183</f>
        <v>0</v>
      </c>
      <c r="AA8" s="41">
        <f>'1. Margins'!S183</f>
        <v>0</v>
      </c>
      <c r="AB8" s="41">
        <f>'1. Margins'!T183</f>
        <v>0</v>
      </c>
      <c r="AC8" s="41">
        <f>'1. Margins'!U183</f>
        <v>0</v>
      </c>
      <c r="AE8" s="21">
        <f>'1. Margins'!F283</f>
        <v>0</v>
      </c>
      <c r="AF8" s="21">
        <f>'1. Margins'!G283</f>
        <v>0</v>
      </c>
      <c r="AG8" s="21">
        <f>'1. Margins'!H283</f>
        <v>0</v>
      </c>
      <c r="AH8" s="42">
        <f>'1. Margins'!M283</f>
        <v>0</v>
      </c>
      <c r="AI8" s="45">
        <f>'1. Margins'!R283</f>
        <v>0</v>
      </c>
      <c r="AJ8" s="41">
        <f>'1. Margins'!S283</f>
        <v>0</v>
      </c>
      <c r="AK8" s="41">
        <f>'1. Margins'!T283</f>
        <v>0</v>
      </c>
      <c r="AL8" s="41">
        <f>'1. Margins'!U283</f>
        <v>0</v>
      </c>
      <c r="AN8" s="21">
        <f>'1. Margins'!F383</f>
        <v>0</v>
      </c>
      <c r="AO8" s="21">
        <f>'1. Margins'!G383</f>
        <v>0</v>
      </c>
      <c r="AP8" s="21">
        <f>'1. Margins'!H383</f>
        <v>0</v>
      </c>
      <c r="AQ8" s="42">
        <f>'1. Margins'!M383</f>
        <v>0</v>
      </c>
      <c r="AR8" s="45">
        <f>'1. Margins'!R383</f>
        <v>0</v>
      </c>
      <c r="AS8" s="41">
        <f>'1. Margins'!S383</f>
        <v>0</v>
      </c>
      <c r="AT8" s="41">
        <f>'1. Margins'!T383</f>
        <v>0</v>
      </c>
      <c r="AU8" s="41">
        <f>'1. Margins'!U383</f>
        <v>0</v>
      </c>
      <c r="AW8" s="21">
        <f>'1. Margins'!F483</f>
        <v>0</v>
      </c>
      <c r="AX8" s="21">
        <f>'1. Margins'!G483</f>
        <v>0</v>
      </c>
      <c r="AY8" s="21">
        <f>'1. Margins'!H483</f>
        <v>0</v>
      </c>
      <c r="AZ8" s="42">
        <f>'1. Margins'!M483</f>
        <v>0</v>
      </c>
      <c r="BA8" s="45">
        <f>'1. Margins'!R483</f>
        <v>0</v>
      </c>
      <c r="BB8" s="41">
        <f>'1. Margins'!S483</f>
        <v>0</v>
      </c>
      <c r="BC8" s="41">
        <f>'1. Margins'!T483</f>
        <v>0</v>
      </c>
      <c r="BD8" s="41">
        <f>'1. Margins'!U483</f>
        <v>0</v>
      </c>
    </row>
    <row r="9" spans="2:56" x14ac:dyDescent="0.25">
      <c r="B9" s="36" t="s">
        <v>7</v>
      </c>
      <c r="C9" s="95"/>
      <c r="D9" s="40">
        <f t="shared" ref="D9:K9" si="0">IFERROR(D8/D$6,0)</f>
        <v>0</v>
      </c>
      <c r="E9" s="40">
        <f t="shared" si="0"/>
        <v>0</v>
      </c>
      <c r="F9" s="40">
        <f t="shared" si="0"/>
        <v>0</v>
      </c>
      <c r="G9" s="40">
        <f t="shared" si="0"/>
        <v>0</v>
      </c>
      <c r="H9" s="40">
        <f t="shared" si="0"/>
        <v>0</v>
      </c>
      <c r="I9" s="40">
        <f t="shared" si="0"/>
        <v>0</v>
      </c>
      <c r="J9" s="40">
        <f t="shared" si="0"/>
        <v>0</v>
      </c>
      <c r="K9" s="40">
        <f t="shared" si="0"/>
        <v>0</v>
      </c>
      <c r="M9" s="40">
        <f t="shared" ref="M9:T9" si="1">IFERROR(M8/M$6,0)</f>
        <v>0</v>
      </c>
      <c r="N9" s="40">
        <f t="shared" si="1"/>
        <v>0</v>
      </c>
      <c r="O9" s="40">
        <f t="shared" si="1"/>
        <v>0</v>
      </c>
      <c r="P9" s="40">
        <f t="shared" si="1"/>
        <v>0</v>
      </c>
      <c r="Q9" s="40">
        <f t="shared" si="1"/>
        <v>0</v>
      </c>
      <c r="R9" s="40">
        <f t="shared" si="1"/>
        <v>0</v>
      </c>
      <c r="S9" s="40">
        <f t="shared" si="1"/>
        <v>0</v>
      </c>
      <c r="T9" s="40">
        <f t="shared" si="1"/>
        <v>0</v>
      </c>
      <c r="V9" s="40">
        <f t="shared" ref="V9:AC9" si="2">IFERROR(V8/V$6,0)</f>
        <v>0</v>
      </c>
      <c r="W9" s="40">
        <f t="shared" si="2"/>
        <v>0</v>
      </c>
      <c r="X9" s="40">
        <f t="shared" si="2"/>
        <v>0</v>
      </c>
      <c r="Y9" s="40">
        <f t="shared" si="2"/>
        <v>0</v>
      </c>
      <c r="Z9" s="40">
        <f t="shared" si="2"/>
        <v>0</v>
      </c>
      <c r="AA9" s="40">
        <f t="shared" si="2"/>
        <v>0</v>
      </c>
      <c r="AB9" s="40">
        <f t="shared" si="2"/>
        <v>0</v>
      </c>
      <c r="AC9" s="40">
        <f t="shared" si="2"/>
        <v>0</v>
      </c>
      <c r="AE9" s="40">
        <f t="shared" ref="AE9:AL9" si="3">IFERROR(AE8/AE$6,0)</f>
        <v>0</v>
      </c>
      <c r="AF9" s="40">
        <f t="shared" si="3"/>
        <v>0</v>
      </c>
      <c r="AG9" s="40">
        <f t="shared" si="3"/>
        <v>0</v>
      </c>
      <c r="AH9" s="40">
        <f t="shared" si="3"/>
        <v>0</v>
      </c>
      <c r="AI9" s="40">
        <f t="shared" si="3"/>
        <v>0</v>
      </c>
      <c r="AJ9" s="40">
        <f t="shared" si="3"/>
        <v>0</v>
      </c>
      <c r="AK9" s="40">
        <f t="shared" si="3"/>
        <v>0</v>
      </c>
      <c r="AL9" s="40">
        <f t="shared" si="3"/>
        <v>0</v>
      </c>
      <c r="AN9" s="40">
        <f t="shared" ref="AN9:AU9" si="4">IFERROR(AN8/AN$6,0)</f>
        <v>0</v>
      </c>
      <c r="AO9" s="40">
        <f t="shared" si="4"/>
        <v>0</v>
      </c>
      <c r="AP9" s="40">
        <f t="shared" si="4"/>
        <v>0</v>
      </c>
      <c r="AQ9" s="40">
        <f t="shared" si="4"/>
        <v>0</v>
      </c>
      <c r="AR9" s="40">
        <f t="shared" si="4"/>
        <v>0</v>
      </c>
      <c r="AS9" s="40">
        <f t="shared" si="4"/>
        <v>0</v>
      </c>
      <c r="AT9" s="40">
        <f t="shared" si="4"/>
        <v>0</v>
      </c>
      <c r="AU9" s="40">
        <f t="shared" si="4"/>
        <v>0</v>
      </c>
      <c r="AW9" s="40">
        <f t="shared" ref="AW9:BD9" si="5">IFERROR(AW8/AW$6,0)</f>
        <v>0</v>
      </c>
      <c r="AX9" s="40">
        <f t="shared" si="5"/>
        <v>0</v>
      </c>
      <c r="AY9" s="40">
        <f t="shared" si="5"/>
        <v>0</v>
      </c>
      <c r="AZ9" s="40">
        <f t="shared" si="5"/>
        <v>0</v>
      </c>
      <c r="BA9" s="40">
        <f t="shared" si="5"/>
        <v>0</v>
      </c>
      <c r="BB9" s="40">
        <f t="shared" si="5"/>
        <v>0</v>
      </c>
      <c r="BC9" s="40">
        <f t="shared" si="5"/>
        <v>0</v>
      </c>
      <c r="BD9" s="40">
        <f t="shared" si="5"/>
        <v>0</v>
      </c>
    </row>
    <row r="10" spans="2:56" x14ac:dyDescent="0.25">
      <c r="B10"/>
      <c r="C10" s="91"/>
    </row>
    <row r="11" spans="2:56" x14ac:dyDescent="0.25">
      <c r="B11" t="s">
        <v>8</v>
      </c>
      <c r="C11" s="94" t="s">
        <v>63</v>
      </c>
      <c r="D11" s="21">
        <f>'2. OHCOGS'!F210</f>
        <v>0</v>
      </c>
      <c r="E11" s="21">
        <f>'2. OHCOGS'!G210</f>
        <v>0</v>
      </c>
      <c r="F11" s="21">
        <f>'2. OHCOGS'!H210</f>
        <v>0</v>
      </c>
      <c r="G11" s="42">
        <f>'2. OHCOGS'!M210</f>
        <v>0</v>
      </c>
      <c r="H11" s="45">
        <f>'2. OHCOGS'!R210</f>
        <v>0</v>
      </c>
      <c r="I11" s="41">
        <f>'2. OHCOGS'!S210</f>
        <v>0</v>
      </c>
      <c r="J11" s="41">
        <f>'2. OHCOGS'!T210</f>
        <v>0</v>
      </c>
      <c r="K11" s="41">
        <f>'2. OHCOGS'!U210</f>
        <v>0</v>
      </c>
      <c r="M11" s="21">
        <f>'2. OHCOGS'!F20</f>
        <v>0</v>
      </c>
      <c r="N11" s="21">
        <f>'2. OHCOGS'!G20</f>
        <v>0</v>
      </c>
      <c r="O11" s="21">
        <f>'2. OHCOGS'!H20</f>
        <v>0</v>
      </c>
      <c r="P11" s="42">
        <f>'2. OHCOGS'!M20</f>
        <v>0</v>
      </c>
      <c r="Q11" s="45">
        <f>'2. OHCOGS'!R20</f>
        <v>0</v>
      </c>
      <c r="R11" s="41">
        <f>'2. OHCOGS'!S20</f>
        <v>0</v>
      </c>
      <c r="S11" s="41">
        <f>'2. OHCOGS'!T20</f>
        <v>0</v>
      </c>
      <c r="T11" s="41">
        <f>'2. OHCOGS'!U20</f>
        <v>0</v>
      </c>
      <c r="V11" s="21">
        <f>'2. OHCOGS'!F58</f>
        <v>0</v>
      </c>
      <c r="W11" s="21">
        <f>'2. OHCOGS'!G58</f>
        <v>0</v>
      </c>
      <c r="X11" s="21">
        <f>'2. OHCOGS'!H58</f>
        <v>0</v>
      </c>
      <c r="Y11" s="42">
        <f>'2. OHCOGS'!M58</f>
        <v>0</v>
      </c>
      <c r="Z11" s="45">
        <f>'2. OHCOGS'!R58</f>
        <v>0</v>
      </c>
      <c r="AA11" s="41">
        <f>'2. OHCOGS'!S58</f>
        <v>0</v>
      </c>
      <c r="AB11" s="41">
        <f>'2. OHCOGS'!T58</f>
        <v>0</v>
      </c>
      <c r="AC11" s="41">
        <f>'2. OHCOGS'!U58</f>
        <v>0</v>
      </c>
      <c r="AE11" s="21">
        <f>'2. OHCOGS'!F96</f>
        <v>0</v>
      </c>
      <c r="AF11" s="21">
        <f>'2. OHCOGS'!G96</f>
        <v>0</v>
      </c>
      <c r="AG11" s="21">
        <f>'2. OHCOGS'!H96</f>
        <v>0</v>
      </c>
      <c r="AH11" s="42">
        <f>'2. OHCOGS'!M96</f>
        <v>0</v>
      </c>
      <c r="AI11" s="45">
        <f>'2. OHCOGS'!R96</f>
        <v>0</v>
      </c>
      <c r="AJ11" s="41">
        <f>'2. OHCOGS'!S96</f>
        <v>0</v>
      </c>
      <c r="AK11" s="41">
        <f>'2. OHCOGS'!T96</f>
        <v>0</v>
      </c>
      <c r="AL11" s="41">
        <f>'2. OHCOGS'!U96</f>
        <v>0</v>
      </c>
      <c r="AN11" s="21">
        <f>'2. OHCOGS'!F134</f>
        <v>0</v>
      </c>
      <c r="AO11" s="21">
        <f>'2. OHCOGS'!G134</f>
        <v>0</v>
      </c>
      <c r="AP11" s="21">
        <f>'2. OHCOGS'!H134</f>
        <v>0</v>
      </c>
      <c r="AQ11" s="42">
        <f>'2. OHCOGS'!M134</f>
        <v>0</v>
      </c>
      <c r="AR11" s="45">
        <f>'2. OHCOGS'!R134</f>
        <v>0</v>
      </c>
      <c r="AS11" s="41">
        <f>'2. OHCOGS'!S134</f>
        <v>0</v>
      </c>
      <c r="AT11" s="41">
        <f>'2. OHCOGS'!T134</f>
        <v>0</v>
      </c>
      <c r="AU11" s="41">
        <f>'2. OHCOGS'!U134</f>
        <v>0</v>
      </c>
      <c r="AW11" s="21">
        <f>'2. OHCOGS'!F172</f>
        <v>0</v>
      </c>
      <c r="AX11" s="21">
        <f>'2. OHCOGS'!G172</f>
        <v>0</v>
      </c>
      <c r="AY11" s="21">
        <f>'2. OHCOGS'!H172</f>
        <v>0</v>
      </c>
      <c r="AZ11" s="42">
        <f>'2. OHCOGS'!M172</f>
        <v>0</v>
      </c>
      <c r="BA11" s="45">
        <f>'2. OHCOGS'!R172</f>
        <v>0</v>
      </c>
      <c r="BB11" s="41">
        <f>'2. OHCOGS'!S172</f>
        <v>0</v>
      </c>
      <c r="BC11" s="41">
        <f>'2. OHCOGS'!T172</f>
        <v>0</v>
      </c>
      <c r="BD11" s="41">
        <f>'2. OHCOGS'!U172</f>
        <v>0</v>
      </c>
    </row>
    <row r="12" spans="2:56" x14ac:dyDescent="0.25">
      <c r="B12" t="s">
        <v>9</v>
      </c>
      <c r="C12" s="94" t="s">
        <v>63</v>
      </c>
      <c r="D12" s="21">
        <f>'2. OHCOGS'!F223</f>
        <v>0</v>
      </c>
      <c r="E12" s="21">
        <f>'2. OHCOGS'!G223</f>
        <v>0</v>
      </c>
      <c r="F12" s="21">
        <f>'2. OHCOGS'!H223</f>
        <v>0</v>
      </c>
      <c r="G12" s="42">
        <f>'2. OHCOGS'!M223</f>
        <v>0</v>
      </c>
      <c r="H12" s="45">
        <f>'2. OHCOGS'!R223</f>
        <v>0</v>
      </c>
      <c r="I12" s="41">
        <f>'2. OHCOGS'!S223</f>
        <v>0</v>
      </c>
      <c r="J12" s="41">
        <f>'2. OHCOGS'!T223</f>
        <v>0</v>
      </c>
      <c r="K12" s="41">
        <f>'2. OHCOGS'!U223</f>
        <v>0</v>
      </c>
      <c r="M12" s="21">
        <f>'2. OHCOGS'!F37</f>
        <v>0</v>
      </c>
      <c r="N12" s="21">
        <f>'2. OHCOGS'!G37</f>
        <v>0</v>
      </c>
      <c r="O12" s="21">
        <f>'2. OHCOGS'!H37</f>
        <v>0</v>
      </c>
      <c r="P12" s="42">
        <f>'2. OHCOGS'!M37</f>
        <v>0</v>
      </c>
      <c r="Q12" s="45">
        <f>'2. OHCOGS'!R37</f>
        <v>0</v>
      </c>
      <c r="R12" s="41">
        <f>'2. OHCOGS'!S37</f>
        <v>0</v>
      </c>
      <c r="S12" s="41">
        <f>'2. OHCOGS'!T37</f>
        <v>0</v>
      </c>
      <c r="T12" s="41">
        <f>'2. OHCOGS'!U37</f>
        <v>0</v>
      </c>
      <c r="V12" s="21">
        <f>'2. OHCOGS'!F75</f>
        <v>0</v>
      </c>
      <c r="W12" s="21">
        <f>'2. OHCOGS'!G75</f>
        <v>0</v>
      </c>
      <c r="X12" s="21">
        <f>'2. OHCOGS'!H75</f>
        <v>0</v>
      </c>
      <c r="Y12" s="42">
        <f>'2. OHCOGS'!M75</f>
        <v>0</v>
      </c>
      <c r="Z12" s="45">
        <f>'2. OHCOGS'!R75</f>
        <v>0</v>
      </c>
      <c r="AA12" s="41">
        <f>'2. OHCOGS'!S75</f>
        <v>0</v>
      </c>
      <c r="AB12" s="41">
        <f>'2. OHCOGS'!T75</f>
        <v>0</v>
      </c>
      <c r="AC12" s="41">
        <f>'2. OHCOGS'!U75</f>
        <v>0</v>
      </c>
      <c r="AE12" s="21">
        <f>'2. OHCOGS'!F113</f>
        <v>0</v>
      </c>
      <c r="AF12" s="21">
        <f>'2. OHCOGS'!G113</f>
        <v>0</v>
      </c>
      <c r="AG12" s="21">
        <f>'2. OHCOGS'!H113</f>
        <v>0</v>
      </c>
      <c r="AH12" s="42">
        <f>'2. OHCOGS'!M113</f>
        <v>0</v>
      </c>
      <c r="AI12" s="45">
        <f>'2. OHCOGS'!R113</f>
        <v>0</v>
      </c>
      <c r="AJ12" s="41">
        <f>'2. OHCOGS'!S113</f>
        <v>0</v>
      </c>
      <c r="AK12" s="41">
        <f>'2. OHCOGS'!T113</f>
        <v>0</v>
      </c>
      <c r="AL12" s="41">
        <f>'2. OHCOGS'!U113</f>
        <v>0</v>
      </c>
      <c r="AN12" s="21">
        <f>'2. OHCOGS'!F151</f>
        <v>0</v>
      </c>
      <c r="AO12" s="21">
        <f>'2. OHCOGS'!G151</f>
        <v>0</v>
      </c>
      <c r="AP12" s="21">
        <f>'2. OHCOGS'!H151</f>
        <v>0</v>
      </c>
      <c r="AQ12" s="42">
        <f>'2. OHCOGS'!M151</f>
        <v>0</v>
      </c>
      <c r="AR12" s="45">
        <f>'2. OHCOGS'!R151</f>
        <v>0</v>
      </c>
      <c r="AS12" s="41">
        <f>'2. OHCOGS'!S151</f>
        <v>0</v>
      </c>
      <c r="AT12" s="41">
        <f>'2. OHCOGS'!T151</f>
        <v>0</v>
      </c>
      <c r="AU12" s="41">
        <f>'2. OHCOGS'!U151</f>
        <v>0</v>
      </c>
      <c r="AW12" s="21">
        <f>'2. OHCOGS'!F189</f>
        <v>0</v>
      </c>
      <c r="AX12" s="21">
        <f>'2. OHCOGS'!G189</f>
        <v>0</v>
      </c>
      <c r="AY12" s="21">
        <f>'2. OHCOGS'!H189</f>
        <v>0</v>
      </c>
      <c r="AZ12" s="42">
        <f>'2. OHCOGS'!M189</f>
        <v>0</v>
      </c>
      <c r="BA12" s="45">
        <f>'2. OHCOGS'!R189</f>
        <v>0</v>
      </c>
      <c r="BB12" s="41">
        <f>'2. OHCOGS'!S189</f>
        <v>0</v>
      </c>
      <c r="BC12" s="41">
        <f>'2. OHCOGS'!T189</f>
        <v>0</v>
      </c>
      <c r="BD12" s="41">
        <f>'2. OHCOGS'!U189</f>
        <v>0</v>
      </c>
    </row>
    <row r="13" spans="2:56" x14ac:dyDescent="0.25">
      <c r="B13"/>
      <c r="C13" s="91"/>
    </row>
    <row r="14" spans="2:56" x14ac:dyDescent="0.25">
      <c r="B14" s="4" t="s">
        <v>10</v>
      </c>
      <c r="C14" s="94" t="s">
        <v>63</v>
      </c>
      <c r="D14" s="21">
        <f t="shared" ref="D14:K14" si="6">D8-SUM(D11:D12)</f>
        <v>0</v>
      </c>
      <c r="E14" s="21">
        <f t="shared" si="6"/>
        <v>0</v>
      </c>
      <c r="F14" s="21">
        <f t="shared" si="6"/>
        <v>0</v>
      </c>
      <c r="G14" s="42">
        <f t="shared" si="6"/>
        <v>0</v>
      </c>
      <c r="H14" s="45">
        <f t="shared" si="6"/>
        <v>0</v>
      </c>
      <c r="I14" s="41">
        <f t="shared" si="6"/>
        <v>0</v>
      </c>
      <c r="J14" s="41">
        <f t="shared" si="6"/>
        <v>0</v>
      </c>
      <c r="K14" s="41">
        <f t="shared" si="6"/>
        <v>0</v>
      </c>
      <c r="M14" s="21">
        <f t="shared" ref="M14:T14" si="7">M8-SUM(M11:M12)</f>
        <v>0</v>
      </c>
      <c r="N14" s="21">
        <f t="shared" si="7"/>
        <v>0</v>
      </c>
      <c r="O14" s="21">
        <f t="shared" si="7"/>
        <v>0</v>
      </c>
      <c r="P14" s="42">
        <f t="shared" si="7"/>
        <v>0</v>
      </c>
      <c r="Q14" s="45">
        <f t="shared" si="7"/>
        <v>0</v>
      </c>
      <c r="R14" s="41">
        <f t="shared" si="7"/>
        <v>0</v>
      </c>
      <c r="S14" s="41">
        <f t="shared" si="7"/>
        <v>0</v>
      </c>
      <c r="T14" s="41">
        <f t="shared" si="7"/>
        <v>0</v>
      </c>
      <c r="V14" s="21">
        <f t="shared" ref="V14:AC14" si="8">V8-SUM(V11:V12)</f>
        <v>0</v>
      </c>
      <c r="W14" s="21">
        <f t="shared" si="8"/>
        <v>0</v>
      </c>
      <c r="X14" s="21">
        <f t="shared" si="8"/>
        <v>0</v>
      </c>
      <c r="Y14" s="42">
        <f t="shared" si="8"/>
        <v>0</v>
      </c>
      <c r="Z14" s="45">
        <f t="shared" si="8"/>
        <v>0</v>
      </c>
      <c r="AA14" s="41">
        <f t="shared" si="8"/>
        <v>0</v>
      </c>
      <c r="AB14" s="41">
        <f t="shared" si="8"/>
        <v>0</v>
      </c>
      <c r="AC14" s="41">
        <f t="shared" si="8"/>
        <v>0</v>
      </c>
      <c r="AE14" s="21">
        <f t="shared" ref="AE14:AL14" si="9">AE8-SUM(AE11:AE12)</f>
        <v>0</v>
      </c>
      <c r="AF14" s="21">
        <f t="shared" si="9"/>
        <v>0</v>
      </c>
      <c r="AG14" s="21">
        <f t="shared" si="9"/>
        <v>0</v>
      </c>
      <c r="AH14" s="42">
        <f t="shared" si="9"/>
        <v>0</v>
      </c>
      <c r="AI14" s="45">
        <f t="shared" si="9"/>
        <v>0</v>
      </c>
      <c r="AJ14" s="41">
        <f t="shared" si="9"/>
        <v>0</v>
      </c>
      <c r="AK14" s="41">
        <f t="shared" si="9"/>
        <v>0</v>
      </c>
      <c r="AL14" s="41">
        <f t="shared" si="9"/>
        <v>0</v>
      </c>
      <c r="AN14" s="21">
        <f t="shared" ref="AN14:AU14" si="10">AN8-SUM(AN11:AN12)</f>
        <v>0</v>
      </c>
      <c r="AO14" s="21">
        <f t="shared" si="10"/>
        <v>0</v>
      </c>
      <c r="AP14" s="21">
        <f t="shared" si="10"/>
        <v>0</v>
      </c>
      <c r="AQ14" s="42">
        <f t="shared" si="10"/>
        <v>0</v>
      </c>
      <c r="AR14" s="45">
        <f t="shared" si="10"/>
        <v>0</v>
      </c>
      <c r="AS14" s="41">
        <f t="shared" si="10"/>
        <v>0</v>
      </c>
      <c r="AT14" s="41">
        <f t="shared" si="10"/>
        <v>0</v>
      </c>
      <c r="AU14" s="41">
        <f t="shared" si="10"/>
        <v>0</v>
      </c>
      <c r="AW14" s="21">
        <f t="shared" ref="AW14:BD14" si="11">AW8-SUM(AW11:AW12)</f>
        <v>0</v>
      </c>
      <c r="AX14" s="21">
        <f t="shared" si="11"/>
        <v>0</v>
      </c>
      <c r="AY14" s="21">
        <f t="shared" si="11"/>
        <v>0</v>
      </c>
      <c r="AZ14" s="42">
        <f t="shared" si="11"/>
        <v>0</v>
      </c>
      <c r="BA14" s="45">
        <f t="shared" si="11"/>
        <v>0</v>
      </c>
      <c r="BB14" s="41">
        <f t="shared" si="11"/>
        <v>0</v>
      </c>
      <c r="BC14" s="41">
        <f t="shared" si="11"/>
        <v>0</v>
      </c>
      <c r="BD14" s="41">
        <f t="shared" si="11"/>
        <v>0</v>
      </c>
    </row>
    <row r="15" spans="2:56" x14ac:dyDescent="0.25">
      <c r="B15" s="36" t="s">
        <v>11</v>
      </c>
      <c r="C15" s="95"/>
      <c r="D15" s="40">
        <f t="shared" ref="D15:K15" si="12">IFERROR(D14/D$6,0)</f>
        <v>0</v>
      </c>
      <c r="E15" s="40">
        <f t="shared" si="12"/>
        <v>0</v>
      </c>
      <c r="F15" s="40">
        <f t="shared" si="12"/>
        <v>0</v>
      </c>
      <c r="G15" s="40">
        <f t="shared" si="12"/>
        <v>0</v>
      </c>
      <c r="H15" s="40">
        <f t="shared" si="12"/>
        <v>0</v>
      </c>
      <c r="I15" s="40">
        <f t="shared" si="12"/>
        <v>0</v>
      </c>
      <c r="J15" s="40">
        <f t="shared" si="12"/>
        <v>0</v>
      </c>
      <c r="K15" s="40">
        <f t="shared" si="12"/>
        <v>0</v>
      </c>
      <c r="M15" s="40">
        <f t="shared" ref="M15:T15" si="13">IFERROR(M14/M$6,0)</f>
        <v>0</v>
      </c>
      <c r="N15" s="40">
        <f t="shared" si="13"/>
        <v>0</v>
      </c>
      <c r="O15" s="40">
        <f t="shared" si="13"/>
        <v>0</v>
      </c>
      <c r="P15" s="40">
        <f t="shared" si="13"/>
        <v>0</v>
      </c>
      <c r="Q15" s="40">
        <f t="shared" si="13"/>
        <v>0</v>
      </c>
      <c r="R15" s="40">
        <f t="shared" si="13"/>
        <v>0</v>
      </c>
      <c r="S15" s="40">
        <f t="shared" si="13"/>
        <v>0</v>
      </c>
      <c r="T15" s="40">
        <f t="shared" si="13"/>
        <v>0</v>
      </c>
      <c r="V15" s="40">
        <f t="shared" ref="V15:AC15" si="14">IFERROR(V14/V$6,0)</f>
        <v>0</v>
      </c>
      <c r="W15" s="40">
        <f t="shared" si="14"/>
        <v>0</v>
      </c>
      <c r="X15" s="40">
        <f t="shared" si="14"/>
        <v>0</v>
      </c>
      <c r="Y15" s="40">
        <f t="shared" si="14"/>
        <v>0</v>
      </c>
      <c r="Z15" s="40">
        <f t="shared" si="14"/>
        <v>0</v>
      </c>
      <c r="AA15" s="40">
        <f t="shared" si="14"/>
        <v>0</v>
      </c>
      <c r="AB15" s="40">
        <f t="shared" si="14"/>
        <v>0</v>
      </c>
      <c r="AC15" s="40">
        <f t="shared" si="14"/>
        <v>0</v>
      </c>
      <c r="AE15" s="40">
        <f t="shared" ref="AE15:AL15" si="15">IFERROR(AE14/AE$6,0)</f>
        <v>0</v>
      </c>
      <c r="AF15" s="40">
        <f t="shared" si="15"/>
        <v>0</v>
      </c>
      <c r="AG15" s="40">
        <f t="shared" si="15"/>
        <v>0</v>
      </c>
      <c r="AH15" s="40">
        <f t="shared" si="15"/>
        <v>0</v>
      </c>
      <c r="AI15" s="40">
        <f t="shared" si="15"/>
        <v>0</v>
      </c>
      <c r="AJ15" s="40">
        <f t="shared" si="15"/>
        <v>0</v>
      </c>
      <c r="AK15" s="40">
        <f t="shared" si="15"/>
        <v>0</v>
      </c>
      <c r="AL15" s="40">
        <f t="shared" si="15"/>
        <v>0</v>
      </c>
      <c r="AN15" s="40">
        <f t="shared" ref="AN15:AU15" si="16">IFERROR(AN14/AN$6,0)</f>
        <v>0</v>
      </c>
      <c r="AO15" s="40">
        <f t="shared" si="16"/>
        <v>0</v>
      </c>
      <c r="AP15" s="40">
        <f t="shared" si="16"/>
        <v>0</v>
      </c>
      <c r="AQ15" s="40">
        <f t="shared" si="16"/>
        <v>0</v>
      </c>
      <c r="AR15" s="40">
        <f t="shared" si="16"/>
        <v>0</v>
      </c>
      <c r="AS15" s="40">
        <f t="shared" si="16"/>
        <v>0</v>
      </c>
      <c r="AT15" s="40">
        <f t="shared" si="16"/>
        <v>0</v>
      </c>
      <c r="AU15" s="40">
        <f t="shared" si="16"/>
        <v>0</v>
      </c>
      <c r="AW15" s="40">
        <f t="shared" ref="AW15:BD15" si="17">IFERROR(AW14/AW$6,0)</f>
        <v>0</v>
      </c>
      <c r="AX15" s="40">
        <f t="shared" si="17"/>
        <v>0</v>
      </c>
      <c r="AY15" s="40">
        <f t="shared" si="17"/>
        <v>0</v>
      </c>
      <c r="AZ15" s="40">
        <f t="shared" si="17"/>
        <v>0</v>
      </c>
      <c r="BA15" s="40">
        <f t="shared" si="17"/>
        <v>0</v>
      </c>
      <c r="BB15" s="40">
        <f t="shared" si="17"/>
        <v>0</v>
      </c>
      <c r="BC15" s="40">
        <f t="shared" si="17"/>
        <v>0</v>
      </c>
      <c r="BD15" s="40">
        <f t="shared" si="17"/>
        <v>0</v>
      </c>
    </row>
    <row r="16" spans="2:56" x14ac:dyDescent="0.25">
      <c r="B16"/>
      <c r="C16" s="91"/>
    </row>
    <row r="17" spans="2:56" x14ac:dyDescent="0.25">
      <c r="B17" t="s">
        <v>12</v>
      </c>
      <c r="C17" s="94" t="s">
        <v>63</v>
      </c>
      <c r="D17" s="21">
        <f>'3. Opex'!F132</f>
        <v>0</v>
      </c>
      <c r="E17" s="21">
        <f>'3. Opex'!G132</f>
        <v>0</v>
      </c>
      <c r="F17" s="21">
        <f>'3. Opex'!H132</f>
        <v>0</v>
      </c>
      <c r="G17" s="42">
        <f>'3. Opex'!M132</f>
        <v>0</v>
      </c>
      <c r="H17" s="45">
        <f>'3. Opex'!R132</f>
        <v>0</v>
      </c>
      <c r="I17" s="41">
        <f>'3. Opex'!S132</f>
        <v>0</v>
      </c>
      <c r="J17" s="41">
        <f>'3. Opex'!T132</f>
        <v>0</v>
      </c>
      <c r="K17" s="41">
        <f>'3. Opex'!U132</f>
        <v>0</v>
      </c>
      <c r="M17" s="21">
        <f>'3. Opex'!F12</f>
        <v>0</v>
      </c>
      <c r="N17" s="21">
        <f>'3. Opex'!G12</f>
        <v>0</v>
      </c>
      <c r="O17" s="21">
        <f>'3. Opex'!H12</f>
        <v>0</v>
      </c>
      <c r="P17" s="42">
        <f>'3. Opex'!M12</f>
        <v>0</v>
      </c>
      <c r="Q17" s="45">
        <f>'3. Opex'!R12</f>
        <v>0</v>
      </c>
      <c r="R17" s="41">
        <f>'3. Opex'!S12</f>
        <v>0</v>
      </c>
      <c r="S17" s="41">
        <f>'3. Opex'!T12</f>
        <v>0</v>
      </c>
      <c r="T17" s="41">
        <f>'3. Opex'!U12</f>
        <v>0</v>
      </c>
      <c r="V17" s="21">
        <f>'3. Opex'!F36</f>
        <v>0</v>
      </c>
      <c r="W17" s="21">
        <f>'3. Opex'!G36</f>
        <v>0</v>
      </c>
      <c r="X17" s="21">
        <f>'3. Opex'!H36</f>
        <v>0</v>
      </c>
      <c r="Y17" s="42">
        <f>'3. Opex'!M36</f>
        <v>0</v>
      </c>
      <c r="Z17" s="45">
        <f>'3. Opex'!R36</f>
        <v>0</v>
      </c>
      <c r="AA17" s="41">
        <f>'3. Opex'!S36</f>
        <v>0</v>
      </c>
      <c r="AB17" s="41">
        <f>'3. Opex'!T36</f>
        <v>0</v>
      </c>
      <c r="AC17" s="41">
        <f>'3. Opex'!U36</f>
        <v>0</v>
      </c>
      <c r="AE17" s="21">
        <f>'3. Opex'!F60</f>
        <v>0</v>
      </c>
      <c r="AF17" s="21">
        <f>'3. Opex'!G60</f>
        <v>0</v>
      </c>
      <c r="AG17" s="21">
        <f>'3. Opex'!H60</f>
        <v>0</v>
      </c>
      <c r="AH17" s="42">
        <f>'3. Opex'!M60</f>
        <v>0</v>
      </c>
      <c r="AI17" s="45">
        <f>'3. Opex'!R60</f>
        <v>0</v>
      </c>
      <c r="AJ17" s="41">
        <f>'3. Opex'!S60</f>
        <v>0</v>
      </c>
      <c r="AK17" s="41">
        <f>'3. Opex'!T60</f>
        <v>0</v>
      </c>
      <c r="AL17" s="41">
        <f>'3. Opex'!U60</f>
        <v>0</v>
      </c>
      <c r="AN17" s="21">
        <f>'3. Opex'!F84</f>
        <v>0</v>
      </c>
      <c r="AO17" s="21">
        <f>'3. Opex'!G84</f>
        <v>0</v>
      </c>
      <c r="AP17" s="21">
        <f>'3. Opex'!H84</f>
        <v>0</v>
      </c>
      <c r="AQ17" s="42">
        <f>'3. Opex'!M84</f>
        <v>0</v>
      </c>
      <c r="AR17" s="45">
        <f>'3. Opex'!R84</f>
        <v>0</v>
      </c>
      <c r="AS17" s="41">
        <f>'3. Opex'!S84</f>
        <v>0</v>
      </c>
      <c r="AT17" s="41">
        <f>'3. Opex'!T84</f>
        <v>0</v>
      </c>
      <c r="AU17" s="41">
        <f>'3. Opex'!U84</f>
        <v>0</v>
      </c>
      <c r="AW17" s="21">
        <f>'3. Opex'!F108</f>
        <v>0</v>
      </c>
      <c r="AX17" s="21">
        <f>'3. Opex'!G108</f>
        <v>0</v>
      </c>
      <c r="AY17" s="21">
        <f>'3. Opex'!H108</f>
        <v>0</v>
      </c>
      <c r="AZ17" s="42">
        <f>'3. Opex'!M108</f>
        <v>0</v>
      </c>
      <c r="BA17" s="45">
        <f>'3. Opex'!R108</f>
        <v>0</v>
      </c>
      <c r="BB17" s="41">
        <f>'3. Opex'!S108</f>
        <v>0</v>
      </c>
      <c r="BC17" s="41">
        <f>'3. Opex'!T108</f>
        <v>0</v>
      </c>
      <c r="BD17" s="41">
        <f>'3. Opex'!U108</f>
        <v>0</v>
      </c>
    </row>
    <row r="18" spans="2:56" x14ac:dyDescent="0.25">
      <c r="B18" t="s">
        <v>13</v>
      </c>
      <c r="C18" s="94" t="s">
        <v>63</v>
      </c>
      <c r="D18" s="21">
        <f>SUM('3. Opex'!F133:F134)</f>
        <v>0</v>
      </c>
      <c r="E18" s="21">
        <f>SUM('3. Opex'!G133:G134)</f>
        <v>0</v>
      </c>
      <c r="F18" s="21">
        <f>SUM('3. Opex'!H133:H134)</f>
        <v>0</v>
      </c>
      <c r="G18" s="42">
        <f>SUM('3. Opex'!M133:M134)</f>
        <v>0</v>
      </c>
      <c r="H18" s="45">
        <f>SUM('3. Opex'!R133:R134)</f>
        <v>0</v>
      </c>
      <c r="I18" s="41">
        <f>SUM('3. Opex'!S133:S134)</f>
        <v>0</v>
      </c>
      <c r="J18" s="41">
        <f>SUM('3. Opex'!T133:T134)</f>
        <v>0</v>
      </c>
      <c r="K18" s="41">
        <f>SUM('3. Opex'!U133:U134)</f>
        <v>0</v>
      </c>
      <c r="M18" s="21">
        <f>SUM('3. Opex'!F13:F14)</f>
        <v>0</v>
      </c>
      <c r="N18" s="21">
        <f>SUM('3. Opex'!G13:G14)</f>
        <v>0</v>
      </c>
      <c r="O18" s="21">
        <f>SUM('3. Opex'!H13:H14)</f>
        <v>0</v>
      </c>
      <c r="P18" s="42">
        <f>SUM('3. Opex'!M13:M14)</f>
        <v>0</v>
      </c>
      <c r="Q18" s="45">
        <f>SUM('3. Opex'!R13:R14)</f>
        <v>0</v>
      </c>
      <c r="R18" s="41">
        <f>SUM('3. Opex'!S13:S14)</f>
        <v>0</v>
      </c>
      <c r="S18" s="41">
        <f>SUM('3. Opex'!T13:T14)</f>
        <v>0</v>
      </c>
      <c r="T18" s="41">
        <f>SUM('3. Opex'!U13:U14)</f>
        <v>0</v>
      </c>
      <c r="V18" s="21">
        <f>SUM('3. Opex'!F37:F38)</f>
        <v>0</v>
      </c>
      <c r="W18" s="21">
        <f>SUM('3. Opex'!G37:G38)</f>
        <v>0</v>
      </c>
      <c r="X18" s="21">
        <f>SUM('3. Opex'!H37:H38)</f>
        <v>0</v>
      </c>
      <c r="Y18" s="42">
        <f>SUM('3. Opex'!M37:M38)</f>
        <v>0</v>
      </c>
      <c r="Z18" s="45">
        <f>SUM('3. Opex'!R37:R38)</f>
        <v>0</v>
      </c>
      <c r="AA18" s="41">
        <f>SUM('3. Opex'!S37:S38)</f>
        <v>0</v>
      </c>
      <c r="AB18" s="41">
        <f>SUM('3. Opex'!T37:T38)</f>
        <v>0</v>
      </c>
      <c r="AC18" s="41">
        <f>SUM('3. Opex'!U37:U38)</f>
        <v>0</v>
      </c>
      <c r="AE18" s="21">
        <f>SUM('3. Opex'!F61:F62)</f>
        <v>0</v>
      </c>
      <c r="AF18" s="21">
        <f>SUM('3. Opex'!G61:G62)</f>
        <v>0</v>
      </c>
      <c r="AG18" s="21">
        <f>SUM('3. Opex'!H61:H62)</f>
        <v>0</v>
      </c>
      <c r="AH18" s="42">
        <f>SUM('3. Opex'!M61:M62)</f>
        <v>0</v>
      </c>
      <c r="AI18" s="45">
        <f>SUM('3. Opex'!R61:R62)</f>
        <v>0</v>
      </c>
      <c r="AJ18" s="41">
        <f>SUM('3. Opex'!S61:S62)</f>
        <v>0</v>
      </c>
      <c r="AK18" s="41">
        <f>SUM('3. Opex'!T61:T62)</f>
        <v>0</v>
      </c>
      <c r="AL18" s="41">
        <f>SUM('3. Opex'!U61:U62)</f>
        <v>0</v>
      </c>
      <c r="AN18" s="21">
        <f>SUM('3. Opex'!F85:F86)</f>
        <v>0</v>
      </c>
      <c r="AO18" s="21">
        <f>SUM('3. Opex'!G85:G86)</f>
        <v>0</v>
      </c>
      <c r="AP18" s="21">
        <f>SUM('3. Opex'!H85:H86)</f>
        <v>0</v>
      </c>
      <c r="AQ18" s="42">
        <f>SUM('3. Opex'!M85:M86)</f>
        <v>0</v>
      </c>
      <c r="AR18" s="45">
        <f>SUM('3. Opex'!R85:R86)</f>
        <v>0</v>
      </c>
      <c r="AS18" s="41">
        <f>SUM('3. Opex'!S85:S86)</f>
        <v>0</v>
      </c>
      <c r="AT18" s="41">
        <f>SUM('3. Opex'!T85:T86)</f>
        <v>0</v>
      </c>
      <c r="AU18" s="41">
        <f>SUM('3. Opex'!U85:U86)</f>
        <v>0</v>
      </c>
      <c r="AW18" s="21">
        <f>SUM('3. Opex'!F109:F110)</f>
        <v>0</v>
      </c>
      <c r="AX18" s="21">
        <f>SUM('3. Opex'!G109:G110)</f>
        <v>0</v>
      </c>
      <c r="AY18" s="21">
        <f>SUM('3. Opex'!H109:H110)</f>
        <v>0</v>
      </c>
      <c r="AZ18" s="42">
        <f>SUM('3. Opex'!M109:M110)</f>
        <v>0</v>
      </c>
      <c r="BA18" s="45">
        <f>SUM('3. Opex'!R109:R110)</f>
        <v>0</v>
      </c>
      <c r="BB18" s="41">
        <f>SUM('3. Opex'!S109:S110)</f>
        <v>0</v>
      </c>
      <c r="BC18" s="41">
        <f>SUM('3. Opex'!T109:T110)</f>
        <v>0</v>
      </c>
      <c r="BD18" s="41">
        <f>SUM('3. Opex'!U109:U110)</f>
        <v>0</v>
      </c>
    </row>
    <row r="19" spans="2:56" x14ac:dyDescent="0.25">
      <c r="B19" t="s">
        <v>14</v>
      </c>
      <c r="C19" s="94" t="s">
        <v>63</v>
      </c>
      <c r="D19" s="21">
        <f>SUM('3. Opex'!F135:F139)</f>
        <v>0</v>
      </c>
      <c r="E19" s="21">
        <f>SUM('3. Opex'!G135:G139)</f>
        <v>0</v>
      </c>
      <c r="F19" s="21">
        <f>SUM('3. Opex'!H135:H139)</f>
        <v>0</v>
      </c>
      <c r="G19" s="42">
        <f>SUM('3. Opex'!M135:M139)</f>
        <v>0</v>
      </c>
      <c r="H19" s="45">
        <f>SUM('3. Opex'!R135:R139)</f>
        <v>0</v>
      </c>
      <c r="I19" s="41">
        <f>SUM('3. Opex'!S135:S139)</f>
        <v>0</v>
      </c>
      <c r="J19" s="41">
        <f>SUM('3. Opex'!T135:T139)</f>
        <v>0</v>
      </c>
      <c r="K19" s="41">
        <f>SUM('3. Opex'!U135:U139)</f>
        <v>0</v>
      </c>
      <c r="M19" s="21">
        <f>SUM('3. Opex'!F15:F19)</f>
        <v>0</v>
      </c>
      <c r="N19" s="21">
        <f>SUM('3. Opex'!G15:G19)</f>
        <v>0</v>
      </c>
      <c r="O19" s="21">
        <f>SUM('3. Opex'!H15:H19)</f>
        <v>0</v>
      </c>
      <c r="P19" s="42">
        <f>SUM('3. Opex'!M15:M19)</f>
        <v>0</v>
      </c>
      <c r="Q19" s="45">
        <f>SUM('3. Opex'!R15:R19)</f>
        <v>0</v>
      </c>
      <c r="R19" s="41">
        <f>SUM('3. Opex'!S15:S19)</f>
        <v>0</v>
      </c>
      <c r="S19" s="41">
        <f>SUM('3. Opex'!T15:T19)</f>
        <v>0</v>
      </c>
      <c r="T19" s="41">
        <f>SUM('3. Opex'!U15:U19)</f>
        <v>0</v>
      </c>
      <c r="V19" s="21">
        <f>SUM('3. Opex'!F39:F43)</f>
        <v>0</v>
      </c>
      <c r="W19" s="21">
        <f>SUM('3. Opex'!G39:G43)</f>
        <v>0</v>
      </c>
      <c r="X19" s="21">
        <f>SUM('3. Opex'!H39:H43)</f>
        <v>0</v>
      </c>
      <c r="Y19" s="42">
        <f>SUM('3. Opex'!M39:M43)</f>
        <v>0</v>
      </c>
      <c r="Z19" s="45">
        <f>SUM('3. Opex'!R39:R43)</f>
        <v>0</v>
      </c>
      <c r="AA19" s="41">
        <f>SUM('3. Opex'!S39:S43)</f>
        <v>0</v>
      </c>
      <c r="AB19" s="41">
        <f>SUM('3. Opex'!T39:T43)</f>
        <v>0</v>
      </c>
      <c r="AC19" s="41">
        <f>SUM('3. Opex'!U39:U43)</f>
        <v>0</v>
      </c>
      <c r="AE19" s="21">
        <f>SUM('3. Opex'!F63:F67)</f>
        <v>0</v>
      </c>
      <c r="AF19" s="21">
        <f>SUM('3. Opex'!G63:G67)</f>
        <v>0</v>
      </c>
      <c r="AG19" s="21">
        <f>SUM('3. Opex'!H63:H67)</f>
        <v>0</v>
      </c>
      <c r="AH19" s="42">
        <f>SUM('3. Opex'!M63:M67)</f>
        <v>0</v>
      </c>
      <c r="AI19" s="45">
        <f>SUM('3. Opex'!R63:R67)</f>
        <v>0</v>
      </c>
      <c r="AJ19" s="41">
        <f>SUM('3. Opex'!S63:S67)</f>
        <v>0</v>
      </c>
      <c r="AK19" s="41">
        <f>SUM('3. Opex'!T63:T67)</f>
        <v>0</v>
      </c>
      <c r="AL19" s="41">
        <f>SUM('3. Opex'!U63:U67)</f>
        <v>0</v>
      </c>
      <c r="AN19" s="21">
        <f>SUM('3. Opex'!F87:F91)</f>
        <v>0</v>
      </c>
      <c r="AO19" s="21">
        <f>SUM('3. Opex'!G87:G91)</f>
        <v>0</v>
      </c>
      <c r="AP19" s="21">
        <f>SUM('3. Opex'!H87:H91)</f>
        <v>0</v>
      </c>
      <c r="AQ19" s="42">
        <f>SUM('3. Opex'!M87:M91)</f>
        <v>0</v>
      </c>
      <c r="AR19" s="45">
        <f>SUM('3. Opex'!R87:R91)</f>
        <v>0</v>
      </c>
      <c r="AS19" s="41">
        <f>SUM('3. Opex'!S87:S91)</f>
        <v>0</v>
      </c>
      <c r="AT19" s="41">
        <f>SUM('3. Opex'!T87:T91)</f>
        <v>0</v>
      </c>
      <c r="AU19" s="41">
        <f>SUM('3. Opex'!U87:U91)</f>
        <v>0</v>
      </c>
      <c r="AW19" s="21">
        <f>SUM('3. Opex'!F111:F115)</f>
        <v>0</v>
      </c>
      <c r="AX19" s="21">
        <f>SUM('3. Opex'!G111:G115)</f>
        <v>0</v>
      </c>
      <c r="AY19" s="21">
        <f>SUM('3. Opex'!H111:H115)</f>
        <v>0</v>
      </c>
      <c r="AZ19" s="42">
        <f>SUM('3. Opex'!M111:M115)</f>
        <v>0</v>
      </c>
      <c r="BA19" s="45">
        <f>SUM('3. Opex'!R111:R115)</f>
        <v>0</v>
      </c>
      <c r="BB19" s="41">
        <f>SUM('3. Opex'!S111:S115)</f>
        <v>0</v>
      </c>
      <c r="BC19" s="41">
        <f>SUM('3. Opex'!T111:T115)</f>
        <v>0</v>
      </c>
      <c r="BD19" s="41">
        <f>SUM('3. Opex'!U111:U115)</f>
        <v>0</v>
      </c>
    </row>
    <row r="20" spans="2:56" x14ac:dyDescent="0.25">
      <c r="B20" t="s">
        <v>15</v>
      </c>
      <c r="C20" s="94" t="s">
        <v>63</v>
      </c>
      <c r="D20" s="21">
        <f>SUM('3. Opex'!F140:F142)</f>
        <v>0</v>
      </c>
      <c r="E20" s="21">
        <f>SUM('3. Opex'!G140:G142)</f>
        <v>0</v>
      </c>
      <c r="F20" s="21">
        <f>SUM('3. Opex'!H140:H142)</f>
        <v>0</v>
      </c>
      <c r="G20" s="42">
        <f>SUM('3. Opex'!M140:M142)</f>
        <v>0</v>
      </c>
      <c r="H20" s="45">
        <f>SUM('3. Opex'!R140:R142)</f>
        <v>0</v>
      </c>
      <c r="I20" s="41">
        <f>SUM('3. Opex'!S140:S142)</f>
        <v>0</v>
      </c>
      <c r="J20" s="41">
        <f>SUM('3. Opex'!T140:T142)</f>
        <v>0</v>
      </c>
      <c r="K20" s="41">
        <f>SUM('3. Opex'!U140:U142)</f>
        <v>0</v>
      </c>
      <c r="M20" s="21">
        <f>SUM('3. Opex'!F20:F22)</f>
        <v>0</v>
      </c>
      <c r="N20" s="21">
        <f>SUM('3. Opex'!G20:G22)</f>
        <v>0</v>
      </c>
      <c r="O20" s="21">
        <f>SUM('3. Opex'!H20:H22)</f>
        <v>0</v>
      </c>
      <c r="P20" s="42">
        <f>SUM('3. Opex'!M20:M22)</f>
        <v>0</v>
      </c>
      <c r="Q20" s="45">
        <f>SUM('3. Opex'!R20:R22)</f>
        <v>0</v>
      </c>
      <c r="R20" s="41">
        <f>SUM('3. Opex'!S20:S22)</f>
        <v>0</v>
      </c>
      <c r="S20" s="41">
        <f>SUM('3. Opex'!T20:T22)</f>
        <v>0</v>
      </c>
      <c r="T20" s="41">
        <f>SUM('3. Opex'!U20:U22)</f>
        <v>0</v>
      </c>
      <c r="V20" s="21">
        <f>SUM('3. Opex'!F44:F46)</f>
        <v>0</v>
      </c>
      <c r="W20" s="21">
        <f>SUM('3. Opex'!G44:G46)</f>
        <v>0</v>
      </c>
      <c r="X20" s="21">
        <f>SUM('3. Opex'!H44:H46)</f>
        <v>0</v>
      </c>
      <c r="Y20" s="42">
        <f>SUM('3. Opex'!M44:M46)</f>
        <v>0</v>
      </c>
      <c r="Z20" s="45">
        <f>SUM('3. Opex'!R44:R46)</f>
        <v>0</v>
      </c>
      <c r="AA20" s="41">
        <f>SUM('3. Opex'!S44:S46)</f>
        <v>0</v>
      </c>
      <c r="AB20" s="41">
        <f>SUM('3. Opex'!T44:T46)</f>
        <v>0</v>
      </c>
      <c r="AC20" s="41">
        <f>SUM('3. Opex'!U44:U46)</f>
        <v>0</v>
      </c>
      <c r="AE20" s="21">
        <f>SUM('3. Opex'!F68:F70)</f>
        <v>0</v>
      </c>
      <c r="AF20" s="21">
        <f>SUM('3. Opex'!G68:G70)</f>
        <v>0</v>
      </c>
      <c r="AG20" s="21">
        <f>SUM('3. Opex'!H68:H70)</f>
        <v>0</v>
      </c>
      <c r="AH20" s="42">
        <f>SUM('3. Opex'!M68:M70)</f>
        <v>0</v>
      </c>
      <c r="AI20" s="45">
        <f>SUM('3. Opex'!R68:R70)</f>
        <v>0</v>
      </c>
      <c r="AJ20" s="41">
        <f>SUM('3. Opex'!S68:S70)</f>
        <v>0</v>
      </c>
      <c r="AK20" s="41">
        <f>SUM('3. Opex'!T68:T70)</f>
        <v>0</v>
      </c>
      <c r="AL20" s="41">
        <f>SUM('3. Opex'!U68:U70)</f>
        <v>0</v>
      </c>
      <c r="AN20" s="21">
        <f>SUM('3. Opex'!F92:F94)</f>
        <v>0</v>
      </c>
      <c r="AO20" s="21">
        <f>SUM('3. Opex'!G92:G94)</f>
        <v>0</v>
      </c>
      <c r="AP20" s="21">
        <f>SUM('3. Opex'!H92:H94)</f>
        <v>0</v>
      </c>
      <c r="AQ20" s="42">
        <f>SUM('3. Opex'!M92:M94)</f>
        <v>0</v>
      </c>
      <c r="AR20" s="45">
        <f>SUM('3. Opex'!R92:R94)</f>
        <v>0</v>
      </c>
      <c r="AS20" s="41">
        <f>SUM('3. Opex'!S92:S94)</f>
        <v>0</v>
      </c>
      <c r="AT20" s="41">
        <f>SUM('3. Opex'!T92:T94)</f>
        <v>0</v>
      </c>
      <c r="AU20" s="41">
        <f>SUM('3. Opex'!U92:U94)</f>
        <v>0</v>
      </c>
      <c r="AW20" s="21">
        <f>SUM('3. Opex'!F116:F118)</f>
        <v>0</v>
      </c>
      <c r="AX20" s="21">
        <f>SUM('3. Opex'!G116:G118)</f>
        <v>0</v>
      </c>
      <c r="AY20" s="21">
        <f>SUM('3. Opex'!H116:H118)</f>
        <v>0</v>
      </c>
      <c r="AZ20" s="42">
        <f>SUM('3. Opex'!M116:M118)</f>
        <v>0</v>
      </c>
      <c r="BA20" s="45">
        <f>SUM('3. Opex'!R116:R118)</f>
        <v>0</v>
      </c>
      <c r="BB20" s="41">
        <f>SUM('3. Opex'!S116:S118)</f>
        <v>0</v>
      </c>
      <c r="BC20" s="41">
        <f>SUM('3. Opex'!T116:T118)</f>
        <v>0</v>
      </c>
      <c r="BD20" s="41">
        <f>SUM('3. Opex'!U116:U118)</f>
        <v>0</v>
      </c>
    </row>
    <row r="21" spans="2:56" x14ac:dyDescent="0.25">
      <c r="B21" s="4" t="s">
        <v>17</v>
      </c>
      <c r="C21" s="94" t="s">
        <v>63</v>
      </c>
      <c r="D21" s="21">
        <f>SUM(D17:D20)</f>
        <v>0</v>
      </c>
      <c r="E21" s="21">
        <f t="shared" ref="E21:K21" si="18">SUM(E17:E20)</f>
        <v>0</v>
      </c>
      <c r="F21" s="21">
        <f t="shared" si="18"/>
        <v>0</v>
      </c>
      <c r="G21" s="42">
        <f t="shared" si="18"/>
        <v>0</v>
      </c>
      <c r="H21" s="45">
        <f t="shared" si="18"/>
        <v>0</v>
      </c>
      <c r="I21" s="41">
        <f t="shared" si="18"/>
        <v>0</v>
      </c>
      <c r="J21" s="41">
        <f t="shared" si="18"/>
        <v>0</v>
      </c>
      <c r="K21" s="41">
        <f t="shared" si="18"/>
        <v>0</v>
      </c>
      <c r="M21" s="21">
        <f>SUM(M17:M20)</f>
        <v>0</v>
      </c>
      <c r="N21" s="21">
        <f t="shared" ref="N21" si="19">SUM(N17:N20)</f>
        <v>0</v>
      </c>
      <c r="O21" s="21">
        <f t="shared" ref="O21" si="20">SUM(O17:O20)</f>
        <v>0</v>
      </c>
      <c r="P21" s="42">
        <f t="shared" ref="P21" si="21">SUM(P17:P20)</f>
        <v>0</v>
      </c>
      <c r="Q21" s="45">
        <f t="shared" ref="Q21" si="22">SUM(Q17:Q20)</f>
        <v>0</v>
      </c>
      <c r="R21" s="41">
        <f t="shared" ref="R21" si="23">SUM(R17:R20)</f>
        <v>0</v>
      </c>
      <c r="S21" s="41">
        <f t="shared" ref="S21" si="24">SUM(S17:S20)</f>
        <v>0</v>
      </c>
      <c r="T21" s="41">
        <f t="shared" ref="T21" si="25">SUM(T17:T20)</f>
        <v>0</v>
      </c>
      <c r="V21" s="21">
        <f>SUM(V17:V20)</f>
        <v>0</v>
      </c>
      <c r="W21" s="21">
        <f t="shared" ref="W21" si="26">SUM(W17:W20)</f>
        <v>0</v>
      </c>
      <c r="X21" s="21">
        <f t="shared" ref="X21" si="27">SUM(X17:X20)</f>
        <v>0</v>
      </c>
      <c r="Y21" s="42">
        <f t="shared" ref="Y21" si="28">SUM(Y17:Y20)</f>
        <v>0</v>
      </c>
      <c r="Z21" s="45">
        <f t="shared" ref="Z21" si="29">SUM(Z17:Z20)</f>
        <v>0</v>
      </c>
      <c r="AA21" s="41">
        <f t="shared" ref="AA21" si="30">SUM(AA17:AA20)</f>
        <v>0</v>
      </c>
      <c r="AB21" s="41">
        <f t="shared" ref="AB21" si="31">SUM(AB17:AB20)</f>
        <v>0</v>
      </c>
      <c r="AC21" s="41">
        <f t="shared" ref="AC21" si="32">SUM(AC17:AC20)</f>
        <v>0</v>
      </c>
      <c r="AE21" s="21">
        <f>SUM(AE17:AE20)</f>
        <v>0</v>
      </c>
      <c r="AF21" s="21">
        <f t="shared" ref="AF21" si="33">SUM(AF17:AF20)</f>
        <v>0</v>
      </c>
      <c r="AG21" s="21">
        <f t="shared" ref="AG21" si="34">SUM(AG17:AG20)</f>
        <v>0</v>
      </c>
      <c r="AH21" s="42">
        <f t="shared" ref="AH21" si="35">SUM(AH17:AH20)</f>
        <v>0</v>
      </c>
      <c r="AI21" s="45">
        <f t="shared" ref="AI21" si="36">SUM(AI17:AI20)</f>
        <v>0</v>
      </c>
      <c r="AJ21" s="41">
        <f t="shared" ref="AJ21" si="37">SUM(AJ17:AJ20)</f>
        <v>0</v>
      </c>
      <c r="AK21" s="41">
        <f t="shared" ref="AK21" si="38">SUM(AK17:AK20)</f>
        <v>0</v>
      </c>
      <c r="AL21" s="41">
        <f t="shared" ref="AL21" si="39">SUM(AL17:AL20)</f>
        <v>0</v>
      </c>
      <c r="AN21" s="21">
        <f>SUM(AN17:AN20)</f>
        <v>0</v>
      </c>
      <c r="AO21" s="21">
        <f t="shared" ref="AO21" si="40">SUM(AO17:AO20)</f>
        <v>0</v>
      </c>
      <c r="AP21" s="21">
        <f t="shared" ref="AP21" si="41">SUM(AP17:AP20)</f>
        <v>0</v>
      </c>
      <c r="AQ21" s="42">
        <f t="shared" ref="AQ21" si="42">SUM(AQ17:AQ20)</f>
        <v>0</v>
      </c>
      <c r="AR21" s="45">
        <f t="shared" ref="AR21" si="43">SUM(AR17:AR20)</f>
        <v>0</v>
      </c>
      <c r="AS21" s="41">
        <f t="shared" ref="AS21" si="44">SUM(AS17:AS20)</f>
        <v>0</v>
      </c>
      <c r="AT21" s="41">
        <f t="shared" ref="AT21" si="45">SUM(AT17:AT20)</f>
        <v>0</v>
      </c>
      <c r="AU21" s="41">
        <f t="shared" ref="AU21" si="46">SUM(AU17:AU20)</f>
        <v>0</v>
      </c>
      <c r="AW21" s="21">
        <f>SUM(AW17:AW20)</f>
        <v>0</v>
      </c>
      <c r="AX21" s="21">
        <f t="shared" ref="AX21" si="47">SUM(AX17:AX20)</f>
        <v>0</v>
      </c>
      <c r="AY21" s="21">
        <f t="shared" ref="AY21" si="48">SUM(AY17:AY20)</f>
        <v>0</v>
      </c>
      <c r="AZ21" s="42">
        <f t="shared" ref="AZ21" si="49">SUM(AZ17:AZ20)</f>
        <v>0</v>
      </c>
      <c r="BA21" s="45">
        <f t="shared" ref="BA21" si="50">SUM(BA17:BA20)</f>
        <v>0</v>
      </c>
      <c r="BB21" s="41">
        <f t="shared" ref="BB21" si="51">SUM(BB17:BB20)</f>
        <v>0</v>
      </c>
      <c r="BC21" s="41">
        <f t="shared" ref="BC21" si="52">SUM(BC17:BC20)</f>
        <v>0</v>
      </c>
      <c r="BD21" s="41">
        <f t="shared" ref="BD21" si="53">SUM(BD17:BD20)</f>
        <v>0</v>
      </c>
    </row>
    <row r="22" spans="2:56" s="54" customFormat="1" x14ac:dyDescent="0.25">
      <c r="B22" s="54" t="s">
        <v>32</v>
      </c>
      <c r="C22" s="94" t="s">
        <v>63</v>
      </c>
      <c r="D22" s="21">
        <f>'4. Investments'!F429</f>
        <v>0</v>
      </c>
      <c r="E22" s="21">
        <f>'4. Investments'!G429</f>
        <v>0</v>
      </c>
      <c r="F22" s="21">
        <f>'4. Investments'!H429</f>
        <v>0</v>
      </c>
      <c r="G22" s="42">
        <f>'4. Investments'!M429</f>
        <v>0</v>
      </c>
      <c r="H22" s="45">
        <f>'4. Investments'!R429</f>
        <v>0</v>
      </c>
      <c r="I22" s="41">
        <f>'4. Investments'!S429</f>
        <v>0</v>
      </c>
      <c r="J22" s="41">
        <f>'4. Investments'!T429</f>
        <v>0</v>
      </c>
      <c r="K22" s="41">
        <f>'4. Investments'!U429</f>
        <v>0</v>
      </c>
      <c r="M22" s="21">
        <f>'4. Investments'!F44</f>
        <v>0</v>
      </c>
      <c r="N22" s="21">
        <f>'4. Investments'!G44</f>
        <v>0</v>
      </c>
      <c r="O22" s="21">
        <f>'4. Investments'!H44</f>
        <v>0</v>
      </c>
      <c r="P22" s="42">
        <f>'4. Investments'!M44</f>
        <v>0</v>
      </c>
      <c r="Q22" s="45">
        <f>'4. Investments'!R44</f>
        <v>0</v>
      </c>
      <c r="R22" s="41">
        <f>'4. Investments'!S44</f>
        <v>0</v>
      </c>
      <c r="S22" s="41">
        <f>'4. Investments'!T44</f>
        <v>0</v>
      </c>
      <c r="T22" s="41">
        <f>'4. Investments'!U44</f>
        <v>0</v>
      </c>
      <c r="V22" s="21">
        <f>'4. Investments'!F121</f>
        <v>0</v>
      </c>
      <c r="W22" s="21">
        <f>'4. Investments'!G121</f>
        <v>0</v>
      </c>
      <c r="X22" s="21">
        <f>'4. Investments'!H121</f>
        <v>0</v>
      </c>
      <c r="Y22" s="42">
        <f>'4. Investments'!M121</f>
        <v>0</v>
      </c>
      <c r="Z22" s="45">
        <f>'4. Investments'!R121</f>
        <v>0</v>
      </c>
      <c r="AA22" s="41">
        <f>'4. Investments'!S121</f>
        <v>0</v>
      </c>
      <c r="AB22" s="41">
        <f>'4. Investments'!T121</f>
        <v>0</v>
      </c>
      <c r="AC22" s="41">
        <f>'4. Investments'!U121</f>
        <v>0</v>
      </c>
      <c r="AE22" s="21">
        <f>'4. Investments'!F198</f>
        <v>0</v>
      </c>
      <c r="AF22" s="21">
        <f>'4. Investments'!G198</f>
        <v>0</v>
      </c>
      <c r="AG22" s="21">
        <f>'4. Investments'!H198</f>
        <v>0</v>
      </c>
      <c r="AH22" s="42">
        <f>'4. Investments'!M198</f>
        <v>0</v>
      </c>
      <c r="AI22" s="45">
        <f>'4. Investments'!R198</f>
        <v>0</v>
      </c>
      <c r="AJ22" s="41">
        <f>'4. Investments'!S198</f>
        <v>0</v>
      </c>
      <c r="AK22" s="41">
        <f>'4. Investments'!T198</f>
        <v>0</v>
      </c>
      <c r="AL22" s="41">
        <f>'4. Investments'!U198</f>
        <v>0</v>
      </c>
      <c r="AN22" s="21">
        <f>'4. Investments'!F275</f>
        <v>0</v>
      </c>
      <c r="AO22" s="21">
        <f>'4. Investments'!G275</f>
        <v>0</v>
      </c>
      <c r="AP22" s="21">
        <f>'4. Investments'!H275</f>
        <v>0</v>
      </c>
      <c r="AQ22" s="42">
        <f>'4. Investments'!M275</f>
        <v>0</v>
      </c>
      <c r="AR22" s="45">
        <f>'4. Investments'!R275</f>
        <v>0</v>
      </c>
      <c r="AS22" s="41">
        <f>'4. Investments'!S275</f>
        <v>0</v>
      </c>
      <c r="AT22" s="41">
        <f>'4. Investments'!T275</f>
        <v>0</v>
      </c>
      <c r="AU22" s="41">
        <f>'4. Investments'!U275</f>
        <v>0</v>
      </c>
      <c r="AW22" s="21">
        <f>'4. Investments'!F352</f>
        <v>0</v>
      </c>
      <c r="AX22" s="21">
        <f>'4. Investments'!G352</f>
        <v>0</v>
      </c>
      <c r="AY22" s="21">
        <f>'4. Investments'!H352</f>
        <v>0</v>
      </c>
      <c r="AZ22" s="42">
        <f>'4. Investments'!M352</f>
        <v>0</v>
      </c>
      <c r="BA22" s="45">
        <f>'4. Investments'!R352</f>
        <v>0</v>
      </c>
      <c r="BB22" s="41">
        <f>'4. Investments'!S352</f>
        <v>0</v>
      </c>
      <c r="BC22" s="41">
        <f>'4. Investments'!T352</f>
        <v>0</v>
      </c>
      <c r="BD22" s="41">
        <f>'4. Investments'!U352</f>
        <v>0</v>
      </c>
    </row>
    <row r="23" spans="2:56" x14ac:dyDescent="0.25">
      <c r="B23"/>
      <c r="C23" s="91"/>
    </row>
    <row r="24" spans="2:56" ht="15.75" thickBot="1" x14ac:dyDescent="0.3">
      <c r="B24" s="4" t="s">
        <v>18</v>
      </c>
      <c r="C24" s="94" t="s">
        <v>63</v>
      </c>
      <c r="D24" s="43">
        <f>D14-D21-D22</f>
        <v>0</v>
      </c>
      <c r="E24" s="43">
        <f t="shared" ref="E24:K24" si="54">E14-E21-E22</f>
        <v>0</v>
      </c>
      <c r="F24" s="43">
        <f t="shared" si="54"/>
        <v>0</v>
      </c>
      <c r="G24" s="44">
        <f t="shared" si="54"/>
        <v>0</v>
      </c>
      <c r="H24" s="46">
        <f t="shared" si="54"/>
        <v>0</v>
      </c>
      <c r="I24" s="47">
        <f t="shared" si="54"/>
        <v>0</v>
      </c>
      <c r="J24" s="47">
        <f t="shared" si="54"/>
        <v>0</v>
      </c>
      <c r="K24" s="47">
        <f t="shared" si="54"/>
        <v>0</v>
      </c>
      <c r="M24" s="43">
        <f>M14-M21-M22</f>
        <v>0</v>
      </c>
      <c r="N24" s="43">
        <f t="shared" ref="N24:T24" si="55">N14-N21-N22</f>
        <v>0</v>
      </c>
      <c r="O24" s="43">
        <f t="shared" si="55"/>
        <v>0</v>
      </c>
      <c r="P24" s="44">
        <f t="shared" si="55"/>
        <v>0</v>
      </c>
      <c r="Q24" s="46">
        <f t="shared" si="55"/>
        <v>0</v>
      </c>
      <c r="R24" s="47">
        <f t="shared" si="55"/>
        <v>0</v>
      </c>
      <c r="S24" s="47">
        <f t="shared" si="55"/>
        <v>0</v>
      </c>
      <c r="T24" s="47">
        <f t="shared" si="55"/>
        <v>0</v>
      </c>
      <c r="V24" s="43">
        <f>V14-V21-V22</f>
        <v>0</v>
      </c>
      <c r="W24" s="43">
        <f t="shared" ref="W24:AC24" si="56">W14-W21-W22</f>
        <v>0</v>
      </c>
      <c r="X24" s="43">
        <f t="shared" si="56"/>
        <v>0</v>
      </c>
      <c r="Y24" s="44">
        <f t="shared" si="56"/>
        <v>0</v>
      </c>
      <c r="Z24" s="46">
        <f t="shared" si="56"/>
        <v>0</v>
      </c>
      <c r="AA24" s="47">
        <f t="shared" si="56"/>
        <v>0</v>
      </c>
      <c r="AB24" s="47">
        <f t="shared" si="56"/>
        <v>0</v>
      </c>
      <c r="AC24" s="47">
        <f t="shared" si="56"/>
        <v>0</v>
      </c>
      <c r="AE24" s="43">
        <f>AE14-AE21-AE22</f>
        <v>0</v>
      </c>
      <c r="AF24" s="43">
        <f t="shared" ref="AF24:AL24" si="57">AF14-AF21-AF22</f>
        <v>0</v>
      </c>
      <c r="AG24" s="43">
        <f t="shared" si="57"/>
        <v>0</v>
      </c>
      <c r="AH24" s="44">
        <f t="shared" si="57"/>
        <v>0</v>
      </c>
      <c r="AI24" s="46">
        <f t="shared" si="57"/>
        <v>0</v>
      </c>
      <c r="AJ24" s="47">
        <f t="shared" si="57"/>
        <v>0</v>
      </c>
      <c r="AK24" s="47">
        <f t="shared" si="57"/>
        <v>0</v>
      </c>
      <c r="AL24" s="47">
        <f t="shared" si="57"/>
        <v>0</v>
      </c>
      <c r="AN24" s="43">
        <f>AN14-AN21-AN22</f>
        <v>0</v>
      </c>
      <c r="AO24" s="43">
        <f t="shared" ref="AO24:AU24" si="58">AO14-AO21-AO22</f>
        <v>0</v>
      </c>
      <c r="AP24" s="43">
        <f t="shared" si="58"/>
        <v>0</v>
      </c>
      <c r="AQ24" s="44">
        <f t="shared" si="58"/>
        <v>0</v>
      </c>
      <c r="AR24" s="46">
        <f t="shared" si="58"/>
        <v>0</v>
      </c>
      <c r="AS24" s="47">
        <f t="shared" si="58"/>
        <v>0</v>
      </c>
      <c r="AT24" s="47">
        <f t="shared" si="58"/>
        <v>0</v>
      </c>
      <c r="AU24" s="47">
        <f t="shared" si="58"/>
        <v>0</v>
      </c>
      <c r="AW24" s="43">
        <f>AW14-AW21-AW22</f>
        <v>0</v>
      </c>
      <c r="AX24" s="43">
        <f t="shared" ref="AX24:BD24" si="59">AX14-AX21-AX22</f>
        <v>0</v>
      </c>
      <c r="AY24" s="43">
        <f t="shared" si="59"/>
        <v>0</v>
      </c>
      <c r="AZ24" s="44">
        <f t="shared" si="59"/>
        <v>0</v>
      </c>
      <c r="BA24" s="46">
        <f t="shared" si="59"/>
        <v>0</v>
      </c>
      <c r="BB24" s="47">
        <f t="shared" si="59"/>
        <v>0</v>
      </c>
      <c r="BC24" s="47">
        <f t="shared" si="59"/>
        <v>0</v>
      </c>
      <c r="BD24" s="47">
        <f t="shared" si="59"/>
        <v>0</v>
      </c>
    </row>
    <row r="25" spans="2:56" ht="15.75" thickTop="1" x14ac:dyDescent="0.25">
      <c r="B25" s="36" t="s">
        <v>19</v>
      </c>
      <c r="C25" s="95"/>
      <c r="D25" s="40">
        <f t="shared" ref="D25:K25" si="60">IFERROR(D24/D$6,0)</f>
        <v>0</v>
      </c>
      <c r="E25" s="40">
        <f t="shared" si="60"/>
        <v>0</v>
      </c>
      <c r="F25" s="40">
        <f t="shared" si="60"/>
        <v>0</v>
      </c>
      <c r="G25" s="40">
        <f t="shared" si="60"/>
        <v>0</v>
      </c>
      <c r="H25" s="40">
        <f t="shared" si="60"/>
        <v>0</v>
      </c>
      <c r="I25" s="40">
        <f t="shared" si="60"/>
        <v>0</v>
      </c>
      <c r="J25" s="40">
        <f t="shared" si="60"/>
        <v>0</v>
      </c>
      <c r="K25" s="40">
        <f t="shared" si="60"/>
        <v>0</v>
      </c>
      <c r="M25" s="40">
        <f t="shared" ref="M25:T25" si="61">IFERROR(M24/M$6,0)</f>
        <v>0</v>
      </c>
      <c r="N25" s="40">
        <f t="shared" si="61"/>
        <v>0</v>
      </c>
      <c r="O25" s="40">
        <f t="shared" si="61"/>
        <v>0</v>
      </c>
      <c r="P25" s="40">
        <f t="shared" si="61"/>
        <v>0</v>
      </c>
      <c r="Q25" s="40">
        <f t="shared" si="61"/>
        <v>0</v>
      </c>
      <c r="R25" s="40">
        <f t="shared" si="61"/>
        <v>0</v>
      </c>
      <c r="S25" s="40">
        <f t="shared" si="61"/>
        <v>0</v>
      </c>
      <c r="T25" s="40">
        <f t="shared" si="61"/>
        <v>0</v>
      </c>
      <c r="V25" s="40">
        <f t="shared" ref="V25:AC25" si="62">IFERROR(V24/V$6,0)</f>
        <v>0</v>
      </c>
      <c r="W25" s="40">
        <f t="shared" si="62"/>
        <v>0</v>
      </c>
      <c r="X25" s="40">
        <f t="shared" si="62"/>
        <v>0</v>
      </c>
      <c r="Y25" s="40">
        <f t="shared" si="62"/>
        <v>0</v>
      </c>
      <c r="Z25" s="40">
        <f t="shared" si="62"/>
        <v>0</v>
      </c>
      <c r="AA25" s="40">
        <f t="shared" si="62"/>
        <v>0</v>
      </c>
      <c r="AB25" s="40">
        <f t="shared" si="62"/>
        <v>0</v>
      </c>
      <c r="AC25" s="40">
        <f t="shared" si="62"/>
        <v>0</v>
      </c>
      <c r="AE25" s="40">
        <f t="shared" ref="AE25:AL25" si="63">IFERROR(AE24/AE$6,0)</f>
        <v>0</v>
      </c>
      <c r="AF25" s="40">
        <f t="shared" si="63"/>
        <v>0</v>
      </c>
      <c r="AG25" s="40">
        <f t="shared" si="63"/>
        <v>0</v>
      </c>
      <c r="AH25" s="40">
        <f t="shared" si="63"/>
        <v>0</v>
      </c>
      <c r="AI25" s="40">
        <f t="shared" si="63"/>
        <v>0</v>
      </c>
      <c r="AJ25" s="40">
        <f t="shared" si="63"/>
        <v>0</v>
      </c>
      <c r="AK25" s="40">
        <f t="shared" si="63"/>
        <v>0</v>
      </c>
      <c r="AL25" s="40">
        <f t="shared" si="63"/>
        <v>0</v>
      </c>
      <c r="AN25" s="40">
        <f t="shared" ref="AN25:AU25" si="64">IFERROR(AN24/AN$6,0)</f>
        <v>0</v>
      </c>
      <c r="AO25" s="40">
        <f t="shared" si="64"/>
        <v>0</v>
      </c>
      <c r="AP25" s="40">
        <f t="shared" si="64"/>
        <v>0</v>
      </c>
      <c r="AQ25" s="40">
        <f t="shared" si="64"/>
        <v>0</v>
      </c>
      <c r="AR25" s="40">
        <f t="shared" si="64"/>
        <v>0</v>
      </c>
      <c r="AS25" s="40">
        <f t="shared" si="64"/>
        <v>0</v>
      </c>
      <c r="AT25" s="40">
        <f t="shared" si="64"/>
        <v>0</v>
      </c>
      <c r="AU25" s="40">
        <f t="shared" si="64"/>
        <v>0</v>
      </c>
      <c r="AW25" s="40">
        <f t="shared" ref="AW25:BD25" si="65">IFERROR(AW24/AW$6,0)</f>
        <v>0</v>
      </c>
      <c r="AX25" s="40">
        <f t="shared" si="65"/>
        <v>0</v>
      </c>
      <c r="AY25" s="40">
        <f t="shared" si="65"/>
        <v>0</v>
      </c>
      <c r="AZ25" s="40">
        <f t="shared" si="65"/>
        <v>0</v>
      </c>
      <c r="BA25" s="40">
        <f t="shared" si="65"/>
        <v>0</v>
      </c>
      <c r="BB25" s="40">
        <f t="shared" si="65"/>
        <v>0</v>
      </c>
      <c r="BC25" s="40">
        <f t="shared" si="65"/>
        <v>0</v>
      </c>
      <c r="BD25" s="40">
        <f t="shared" si="65"/>
        <v>0</v>
      </c>
    </row>
    <row r="26" spans="2:56" x14ac:dyDescent="0.25">
      <c r="B26"/>
      <c r="C26" s="91"/>
    </row>
    <row r="27" spans="2:56" x14ac:dyDescent="0.25">
      <c r="B27" t="s">
        <v>20</v>
      </c>
      <c r="C27" s="94" t="s">
        <v>63</v>
      </c>
      <c r="D27" s="21">
        <f>SUM('7. Non-Opex'!F232,'7. Non-Opex'!F251)</f>
        <v>0</v>
      </c>
      <c r="E27" s="21">
        <f>SUM('7. Non-Opex'!G232,'7. Non-Opex'!G251)</f>
        <v>0</v>
      </c>
      <c r="F27" s="21">
        <f>SUM('7. Non-Opex'!H232,'7. Non-Opex'!H251)</f>
        <v>0</v>
      </c>
      <c r="G27" s="42">
        <f>SUM('7. Non-Opex'!M232,'7. Non-Opex'!M251)</f>
        <v>0</v>
      </c>
      <c r="H27" s="45">
        <f>SUM('7. Non-Opex'!R232,'7. Non-Opex'!R251)</f>
        <v>0</v>
      </c>
      <c r="I27" s="41">
        <f>SUM('7. Non-Opex'!S232,'7. Non-Opex'!S251)</f>
        <v>0</v>
      </c>
      <c r="J27" s="41">
        <f>SUM('7. Non-Opex'!T232,'7. Non-Opex'!T251)</f>
        <v>0</v>
      </c>
      <c r="K27" s="41">
        <f>SUM('7. Non-Opex'!U232,'7. Non-Opex'!U251)</f>
        <v>0</v>
      </c>
      <c r="M27" s="21">
        <f>SUM('7. Non-Opex'!F22,'7. Non-Opex'!F41)</f>
        <v>0</v>
      </c>
      <c r="N27" s="21">
        <f>SUM('7. Non-Opex'!G22,'7. Non-Opex'!G41)</f>
        <v>0</v>
      </c>
      <c r="O27" s="21">
        <f>SUM('7. Non-Opex'!H22,'7. Non-Opex'!H41)</f>
        <v>0</v>
      </c>
      <c r="P27" s="42">
        <f>SUM('7. Non-Opex'!M22,'7. Non-Opex'!M41)</f>
        <v>0</v>
      </c>
      <c r="Q27" s="45">
        <f>SUM('7. Non-Opex'!R22,'7. Non-Opex'!R41)</f>
        <v>0</v>
      </c>
      <c r="R27" s="41">
        <f>SUM('7. Non-Opex'!S22,'7. Non-Opex'!S41)</f>
        <v>0</v>
      </c>
      <c r="S27" s="41">
        <f>SUM('7. Non-Opex'!T22,'7. Non-Opex'!T41)</f>
        <v>0</v>
      </c>
      <c r="T27" s="41">
        <f>SUM('7. Non-Opex'!U22,'7. Non-Opex'!U41)</f>
        <v>0</v>
      </c>
      <c r="V27" s="21">
        <f>SUM('7. Non-Opex'!F64,'7. Non-Opex'!F83)</f>
        <v>0</v>
      </c>
      <c r="W27" s="21">
        <f>SUM('7. Non-Opex'!G64,'7. Non-Opex'!G83)</f>
        <v>0</v>
      </c>
      <c r="X27" s="21">
        <f>SUM('7. Non-Opex'!H64,'7. Non-Opex'!H83)</f>
        <v>0</v>
      </c>
      <c r="Y27" s="42">
        <f>SUM('7. Non-Opex'!M64,'7. Non-Opex'!M83)</f>
        <v>0</v>
      </c>
      <c r="Z27" s="45">
        <f>SUM('7. Non-Opex'!R64,'7. Non-Opex'!R83)</f>
        <v>0</v>
      </c>
      <c r="AA27" s="41">
        <f>SUM('7. Non-Opex'!S64,'7. Non-Opex'!S83)</f>
        <v>0</v>
      </c>
      <c r="AB27" s="41">
        <f>SUM('7. Non-Opex'!T64,'7. Non-Opex'!T83)</f>
        <v>0</v>
      </c>
      <c r="AC27" s="41">
        <f>SUM('7. Non-Opex'!U64,'7. Non-Opex'!U83)</f>
        <v>0</v>
      </c>
      <c r="AE27" s="21">
        <f>SUM('7. Non-Opex'!F106,'7. Non-Opex'!F125)</f>
        <v>0</v>
      </c>
      <c r="AF27" s="21">
        <f>SUM('7. Non-Opex'!G106,'7. Non-Opex'!G125)</f>
        <v>0</v>
      </c>
      <c r="AG27" s="21">
        <f>SUM('7. Non-Opex'!H106,'7. Non-Opex'!H125)</f>
        <v>0</v>
      </c>
      <c r="AH27" s="42">
        <f>SUM('7. Non-Opex'!M106,'7. Non-Opex'!M125)</f>
        <v>0</v>
      </c>
      <c r="AI27" s="45">
        <f>SUM('7. Non-Opex'!R106,'7. Non-Opex'!R125)</f>
        <v>0</v>
      </c>
      <c r="AJ27" s="41">
        <f>SUM('7. Non-Opex'!S106,'7. Non-Opex'!S125)</f>
        <v>0</v>
      </c>
      <c r="AK27" s="41">
        <f>SUM('7. Non-Opex'!T106,'7. Non-Opex'!T125)</f>
        <v>0</v>
      </c>
      <c r="AL27" s="41">
        <f>SUM('7. Non-Opex'!U106,'7. Non-Opex'!U125)</f>
        <v>0</v>
      </c>
      <c r="AN27" s="21">
        <f>SUM('7. Non-Opex'!F148,'7. Non-Opex'!F167)</f>
        <v>0</v>
      </c>
      <c r="AO27" s="21">
        <f>SUM('7. Non-Opex'!G148,'7. Non-Opex'!G167)</f>
        <v>0</v>
      </c>
      <c r="AP27" s="21">
        <f>SUM('7. Non-Opex'!H148,'7. Non-Opex'!H167)</f>
        <v>0</v>
      </c>
      <c r="AQ27" s="42">
        <f>SUM('7. Non-Opex'!M148,'7. Non-Opex'!M167)</f>
        <v>0</v>
      </c>
      <c r="AR27" s="45">
        <f>SUM('7. Non-Opex'!R148,'7. Non-Opex'!R167)</f>
        <v>0</v>
      </c>
      <c r="AS27" s="41">
        <f>SUM('7. Non-Opex'!S148,'7. Non-Opex'!S167)</f>
        <v>0</v>
      </c>
      <c r="AT27" s="41">
        <f>SUM('7. Non-Opex'!T148,'7. Non-Opex'!T167)</f>
        <v>0</v>
      </c>
      <c r="AU27" s="41">
        <f>SUM('7. Non-Opex'!U148,'7. Non-Opex'!U167)</f>
        <v>0</v>
      </c>
      <c r="AW27" s="21">
        <f>SUM('7. Non-Opex'!F190,'7. Non-Opex'!F209)</f>
        <v>0</v>
      </c>
      <c r="AX27" s="21">
        <f>SUM('7. Non-Opex'!G190,'7. Non-Opex'!G209)</f>
        <v>0</v>
      </c>
      <c r="AY27" s="21">
        <f>SUM('7. Non-Opex'!H190,'7. Non-Opex'!H209)</f>
        <v>0</v>
      </c>
      <c r="AZ27" s="42">
        <f>SUM('7. Non-Opex'!M190,'7. Non-Opex'!M209)</f>
        <v>0</v>
      </c>
      <c r="BA27" s="45">
        <f>SUM('7. Non-Opex'!R190,'7. Non-Opex'!R209)</f>
        <v>0</v>
      </c>
      <c r="BB27" s="41">
        <f>SUM('7. Non-Opex'!S190,'7. Non-Opex'!S209)</f>
        <v>0</v>
      </c>
      <c r="BC27" s="41">
        <f>SUM('7. Non-Opex'!T190,'7. Non-Opex'!T209)</f>
        <v>0</v>
      </c>
      <c r="BD27" s="41">
        <f>SUM('7. Non-Opex'!U190,'7. Non-Opex'!U209)</f>
        <v>0</v>
      </c>
    </row>
    <row r="28" spans="2:56" x14ac:dyDescent="0.25">
      <c r="B28" t="s">
        <v>141</v>
      </c>
      <c r="C28" s="94" t="s">
        <v>63</v>
      </c>
      <c r="D28" s="21">
        <f>'4. Investments'!F404</f>
        <v>0</v>
      </c>
      <c r="E28" s="21">
        <f>'4. Investments'!G404</f>
        <v>0</v>
      </c>
      <c r="F28" s="21">
        <f>'4. Investments'!H404</f>
        <v>0</v>
      </c>
      <c r="G28" s="42">
        <f>'4. Investments'!M404</f>
        <v>0</v>
      </c>
      <c r="H28" s="45">
        <f>'4. Investments'!R404</f>
        <v>0</v>
      </c>
      <c r="I28" s="41">
        <f>'4. Investments'!S404</f>
        <v>0</v>
      </c>
      <c r="J28" s="41">
        <f>'4. Investments'!T404</f>
        <v>0</v>
      </c>
      <c r="K28" s="41">
        <f>'4. Investments'!U404</f>
        <v>0</v>
      </c>
      <c r="M28" s="21">
        <f>'4. Investments'!F19</f>
        <v>0</v>
      </c>
      <c r="N28" s="21">
        <f>'4. Investments'!G19</f>
        <v>0</v>
      </c>
      <c r="O28" s="21">
        <f>'4. Investments'!H19</f>
        <v>0</v>
      </c>
      <c r="P28" s="42">
        <f>'4. Investments'!M19</f>
        <v>0</v>
      </c>
      <c r="Q28" s="45">
        <f>'4. Investments'!R19</f>
        <v>0</v>
      </c>
      <c r="R28" s="41">
        <f>'4. Investments'!S19</f>
        <v>0</v>
      </c>
      <c r="S28" s="41">
        <f>'4. Investments'!T19</f>
        <v>0</v>
      </c>
      <c r="T28" s="41">
        <f>'4. Investments'!U19</f>
        <v>0</v>
      </c>
      <c r="V28" s="21">
        <f>'4. Investments'!F96</f>
        <v>0</v>
      </c>
      <c r="W28" s="21">
        <f>'4. Investments'!G96</f>
        <v>0</v>
      </c>
      <c r="X28" s="21">
        <f>'4. Investments'!H96</f>
        <v>0</v>
      </c>
      <c r="Y28" s="42">
        <f>'4. Investments'!M96</f>
        <v>0</v>
      </c>
      <c r="Z28" s="45">
        <f>'4. Investments'!R96</f>
        <v>0</v>
      </c>
      <c r="AA28" s="41">
        <f>'4. Investments'!S96</f>
        <v>0</v>
      </c>
      <c r="AB28" s="41">
        <f>'4. Investments'!T96</f>
        <v>0</v>
      </c>
      <c r="AC28" s="41">
        <f>'4. Investments'!U96</f>
        <v>0</v>
      </c>
      <c r="AE28" s="21">
        <f>'4. Investments'!F173</f>
        <v>0</v>
      </c>
      <c r="AF28" s="21">
        <f>'4. Investments'!G173</f>
        <v>0</v>
      </c>
      <c r="AG28" s="21">
        <f>'4. Investments'!H173</f>
        <v>0</v>
      </c>
      <c r="AH28" s="42">
        <f>'4. Investments'!M173</f>
        <v>0</v>
      </c>
      <c r="AI28" s="45">
        <f>'4. Investments'!R173</f>
        <v>0</v>
      </c>
      <c r="AJ28" s="41">
        <f>'4. Investments'!S173</f>
        <v>0</v>
      </c>
      <c r="AK28" s="41">
        <f>'4. Investments'!T173</f>
        <v>0</v>
      </c>
      <c r="AL28" s="41">
        <f>'4. Investments'!U173</f>
        <v>0</v>
      </c>
      <c r="AN28" s="21">
        <f>'4. Investments'!F250</f>
        <v>0</v>
      </c>
      <c r="AO28" s="21">
        <f>'4. Investments'!G250</f>
        <v>0</v>
      </c>
      <c r="AP28" s="21">
        <f>'4. Investments'!H250</f>
        <v>0</v>
      </c>
      <c r="AQ28" s="42">
        <f>'4. Investments'!M250</f>
        <v>0</v>
      </c>
      <c r="AR28" s="45">
        <f>'4. Investments'!R250</f>
        <v>0</v>
      </c>
      <c r="AS28" s="41">
        <f>'4. Investments'!S250</f>
        <v>0</v>
      </c>
      <c r="AT28" s="41">
        <f>'4. Investments'!T250</f>
        <v>0</v>
      </c>
      <c r="AU28" s="41">
        <f>'4. Investments'!U250</f>
        <v>0</v>
      </c>
      <c r="AW28" s="21">
        <f>'4. Investments'!F327</f>
        <v>0</v>
      </c>
      <c r="AX28" s="21">
        <f>'4. Investments'!G327</f>
        <v>0</v>
      </c>
      <c r="AY28" s="21">
        <f>'4. Investments'!H327</f>
        <v>0</v>
      </c>
      <c r="AZ28" s="42">
        <f>'4. Investments'!M327</f>
        <v>0</v>
      </c>
      <c r="BA28" s="45">
        <f>'4. Investments'!R327</f>
        <v>0</v>
      </c>
      <c r="BB28" s="41">
        <f>'4. Investments'!S327</f>
        <v>0</v>
      </c>
      <c r="BC28" s="41">
        <f>'4. Investments'!T327</f>
        <v>0</v>
      </c>
      <c r="BD28" s="41">
        <f>'4. Investments'!U327</f>
        <v>0</v>
      </c>
    </row>
    <row r="29" spans="2:56" x14ac:dyDescent="0.25">
      <c r="B29" t="s">
        <v>16</v>
      </c>
      <c r="C29" s="94" t="s">
        <v>63</v>
      </c>
      <c r="D29" s="21">
        <f>'4. Investments'!F461</f>
        <v>0</v>
      </c>
      <c r="E29" s="21">
        <f>'4. Investments'!G461</f>
        <v>0</v>
      </c>
      <c r="F29" s="21">
        <f>'4. Investments'!H461</f>
        <v>0</v>
      </c>
      <c r="G29" s="42">
        <f>'4. Investments'!M461</f>
        <v>0</v>
      </c>
      <c r="H29" s="45">
        <f>'4. Investments'!R461</f>
        <v>0</v>
      </c>
      <c r="I29" s="41">
        <f>'4. Investments'!S461</f>
        <v>0</v>
      </c>
      <c r="J29" s="41">
        <f>'4. Investments'!T461</f>
        <v>0</v>
      </c>
      <c r="K29" s="41">
        <f>'4. Investments'!U461</f>
        <v>0</v>
      </c>
      <c r="M29" s="21">
        <f>'4. Investments'!F76</f>
        <v>0</v>
      </c>
      <c r="N29" s="21">
        <f>'4. Investments'!G76</f>
        <v>0</v>
      </c>
      <c r="O29" s="21">
        <f>'4. Investments'!H76</f>
        <v>0</v>
      </c>
      <c r="P29" s="42">
        <f>'4. Investments'!M76</f>
        <v>0</v>
      </c>
      <c r="Q29" s="45">
        <f>'4. Investments'!R76</f>
        <v>0</v>
      </c>
      <c r="R29" s="41">
        <f>'4. Investments'!S76</f>
        <v>0</v>
      </c>
      <c r="S29" s="41">
        <f>'4. Investments'!T76</f>
        <v>0</v>
      </c>
      <c r="T29" s="41">
        <f>'4. Investments'!U76</f>
        <v>0</v>
      </c>
      <c r="V29" s="21">
        <f>'4. Investments'!F153</f>
        <v>0</v>
      </c>
      <c r="W29" s="21">
        <f>'4. Investments'!G153</f>
        <v>0</v>
      </c>
      <c r="X29" s="21">
        <f>'4. Investments'!H153</f>
        <v>0</v>
      </c>
      <c r="Y29" s="42">
        <f>'4. Investments'!M153</f>
        <v>0</v>
      </c>
      <c r="Z29" s="45">
        <f>'4. Investments'!R153</f>
        <v>0</v>
      </c>
      <c r="AA29" s="41">
        <f>'4. Investments'!S153</f>
        <v>0</v>
      </c>
      <c r="AB29" s="41">
        <f>'4. Investments'!T153</f>
        <v>0</v>
      </c>
      <c r="AC29" s="41">
        <f>'4. Investments'!U153</f>
        <v>0</v>
      </c>
      <c r="AE29" s="21">
        <f>'4. Investments'!F230</f>
        <v>0</v>
      </c>
      <c r="AF29" s="21">
        <f>'4. Investments'!G230</f>
        <v>0</v>
      </c>
      <c r="AG29" s="21">
        <f>'4. Investments'!H230</f>
        <v>0</v>
      </c>
      <c r="AH29" s="42">
        <f>'4. Investments'!M230</f>
        <v>0</v>
      </c>
      <c r="AI29" s="45">
        <f>'4. Investments'!R230</f>
        <v>0</v>
      </c>
      <c r="AJ29" s="41">
        <f>'4. Investments'!S230</f>
        <v>0</v>
      </c>
      <c r="AK29" s="41">
        <f>'4. Investments'!T230</f>
        <v>0</v>
      </c>
      <c r="AL29" s="41">
        <f>'4. Investments'!U230</f>
        <v>0</v>
      </c>
      <c r="AN29" s="21">
        <f>'4. Investments'!F307</f>
        <v>0</v>
      </c>
      <c r="AO29" s="21">
        <f>'4. Investments'!G307</f>
        <v>0</v>
      </c>
      <c r="AP29" s="21">
        <f>'4. Investments'!H307</f>
        <v>0</v>
      </c>
      <c r="AQ29" s="42">
        <f>'4. Investments'!M307</f>
        <v>0</v>
      </c>
      <c r="AR29" s="45">
        <f>'4. Investments'!R307</f>
        <v>0</v>
      </c>
      <c r="AS29" s="41">
        <f>'4. Investments'!S307</f>
        <v>0</v>
      </c>
      <c r="AT29" s="41">
        <f>'4. Investments'!T307</f>
        <v>0</v>
      </c>
      <c r="AU29" s="41">
        <f>'4. Investments'!U307</f>
        <v>0</v>
      </c>
      <c r="AW29" s="21">
        <f>'4. Investments'!F384</f>
        <v>0</v>
      </c>
      <c r="AX29" s="21">
        <f>'4. Investments'!G384</f>
        <v>0</v>
      </c>
      <c r="AY29" s="21">
        <f>'4. Investments'!H384</f>
        <v>0</v>
      </c>
      <c r="AZ29" s="42">
        <f>'4. Investments'!M384</f>
        <v>0</v>
      </c>
      <c r="BA29" s="45">
        <f>'4. Investments'!R384</f>
        <v>0</v>
      </c>
      <c r="BB29" s="41">
        <f>'4. Investments'!S384</f>
        <v>0</v>
      </c>
      <c r="BC29" s="41">
        <f>'4. Investments'!T384</f>
        <v>0</v>
      </c>
      <c r="BD29" s="41">
        <f>'4. Investments'!U384</f>
        <v>0</v>
      </c>
    </row>
    <row r="30" spans="2:56" x14ac:dyDescent="0.25">
      <c r="B30" t="s">
        <v>21</v>
      </c>
      <c r="C30" s="94" t="s">
        <v>63</v>
      </c>
      <c r="D30" s="21">
        <f>'6. Tax'!F137</f>
        <v>0</v>
      </c>
      <c r="E30" s="21">
        <f>'6. Tax'!G137</f>
        <v>0</v>
      </c>
      <c r="F30" s="21">
        <f>'6. Tax'!H137</f>
        <v>0</v>
      </c>
      <c r="G30" s="42">
        <f>'6. Tax'!M137</f>
        <v>0</v>
      </c>
      <c r="H30" s="45">
        <f>'6. Tax'!R137</f>
        <v>0</v>
      </c>
      <c r="I30" s="41">
        <f>'6. Tax'!S137</f>
        <v>0</v>
      </c>
      <c r="J30" s="41">
        <f>'6. Tax'!T137</f>
        <v>0</v>
      </c>
      <c r="K30" s="41">
        <f>'6. Tax'!U137</f>
        <v>0</v>
      </c>
      <c r="M30" s="21">
        <f>'6. Tax'!F22</f>
        <v>0</v>
      </c>
      <c r="N30" s="21">
        <f>'6. Tax'!G22</f>
        <v>0</v>
      </c>
      <c r="O30" s="21">
        <f>'6. Tax'!H22</f>
        <v>0</v>
      </c>
      <c r="P30" s="42">
        <f>'6. Tax'!M22</f>
        <v>0</v>
      </c>
      <c r="Q30" s="45">
        <f>'6. Tax'!R22</f>
        <v>0</v>
      </c>
      <c r="R30" s="41">
        <f>'6. Tax'!S22</f>
        <v>0</v>
      </c>
      <c r="S30" s="41">
        <f>'6. Tax'!T22</f>
        <v>0</v>
      </c>
      <c r="T30" s="41">
        <f>'6. Tax'!U22</f>
        <v>0</v>
      </c>
      <c r="V30" s="21">
        <f>'6. Tax'!F45</f>
        <v>0</v>
      </c>
      <c r="W30" s="21">
        <f>'6. Tax'!G45</f>
        <v>0</v>
      </c>
      <c r="X30" s="21">
        <f>'6. Tax'!H45</f>
        <v>0</v>
      </c>
      <c r="Y30" s="42">
        <f>'6. Tax'!M45</f>
        <v>0</v>
      </c>
      <c r="Z30" s="45">
        <f>'6. Tax'!R45</f>
        <v>0</v>
      </c>
      <c r="AA30" s="41">
        <f>'6. Tax'!S45</f>
        <v>0</v>
      </c>
      <c r="AB30" s="41">
        <f>'6. Tax'!T45</f>
        <v>0</v>
      </c>
      <c r="AC30" s="41">
        <f>'6. Tax'!U45</f>
        <v>0</v>
      </c>
      <c r="AE30" s="21">
        <f>'6. Tax'!F68</f>
        <v>0</v>
      </c>
      <c r="AF30" s="21">
        <f>'6. Tax'!G68</f>
        <v>0</v>
      </c>
      <c r="AG30" s="21">
        <f>'6. Tax'!H68</f>
        <v>0</v>
      </c>
      <c r="AH30" s="42">
        <f>'6. Tax'!M68</f>
        <v>0</v>
      </c>
      <c r="AI30" s="45">
        <f>'6. Tax'!R68</f>
        <v>0</v>
      </c>
      <c r="AJ30" s="41">
        <f>'6. Tax'!S68</f>
        <v>0</v>
      </c>
      <c r="AK30" s="41">
        <f>'6. Tax'!T68</f>
        <v>0</v>
      </c>
      <c r="AL30" s="41">
        <f>'6. Tax'!U68</f>
        <v>0</v>
      </c>
      <c r="AN30" s="21">
        <f>'6. Tax'!F91</f>
        <v>0</v>
      </c>
      <c r="AO30" s="21">
        <f>'6. Tax'!G91</f>
        <v>0</v>
      </c>
      <c r="AP30" s="21">
        <f>'6. Tax'!H91</f>
        <v>0</v>
      </c>
      <c r="AQ30" s="42">
        <f>'6. Tax'!M91</f>
        <v>0</v>
      </c>
      <c r="AR30" s="45">
        <f>'6. Tax'!R91</f>
        <v>0</v>
      </c>
      <c r="AS30" s="41">
        <f>'6. Tax'!S91</f>
        <v>0</v>
      </c>
      <c r="AT30" s="41">
        <f>'6. Tax'!T91</f>
        <v>0</v>
      </c>
      <c r="AU30" s="41">
        <f>'6. Tax'!U91</f>
        <v>0</v>
      </c>
      <c r="AW30" s="21">
        <f>'6. Tax'!F114</f>
        <v>0</v>
      </c>
      <c r="AX30" s="21">
        <f>'6. Tax'!G114</f>
        <v>0</v>
      </c>
      <c r="AY30" s="21">
        <f>'6. Tax'!H114</f>
        <v>0</v>
      </c>
      <c r="AZ30" s="42">
        <f>'6. Tax'!M114</f>
        <v>0</v>
      </c>
      <c r="BA30" s="45">
        <f>'6. Tax'!R114</f>
        <v>0</v>
      </c>
      <c r="BB30" s="41">
        <f>'6. Tax'!S114</f>
        <v>0</v>
      </c>
      <c r="BC30" s="41">
        <f>'6. Tax'!T114</f>
        <v>0</v>
      </c>
      <c r="BD30" s="41">
        <f>'6. Tax'!U114</f>
        <v>0</v>
      </c>
    </row>
    <row r="32" spans="2:56" ht="15.75" thickBot="1" x14ac:dyDescent="0.3">
      <c r="B32" s="4" t="s">
        <v>22</v>
      </c>
      <c r="C32" s="94" t="s">
        <v>63</v>
      </c>
      <c r="D32" s="43">
        <f>D24-SUM(D27:D30)</f>
        <v>0</v>
      </c>
      <c r="E32" s="43">
        <f t="shared" ref="E32:K32" si="66">E24-SUM(E27:E30)</f>
        <v>0</v>
      </c>
      <c r="F32" s="43">
        <f t="shared" si="66"/>
        <v>0</v>
      </c>
      <c r="G32" s="44">
        <f t="shared" si="66"/>
        <v>0</v>
      </c>
      <c r="H32" s="46">
        <f t="shared" si="66"/>
        <v>0</v>
      </c>
      <c r="I32" s="47">
        <f t="shared" si="66"/>
        <v>0</v>
      </c>
      <c r="J32" s="47">
        <f t="shared" si="66"/>
        <v>0</v>
      </c>
      <c r="K32" s="47">
        <f t="shared" si="66"/>
        <v>0</v>
      </c>
      <c r="M32" s="43">
        <f>M24-SUM(M27:M30)</f>
        <v>0</v>
      </c>
      <c r="N32" s="43">
        <f t="shared" ref="N32:T32" si="67">N24-SUM(N27:N30)</f>
        <v>0</v>
      </c>
      <c r="O32" s="43">
        <f t="shared" si="67"/>
        <v>0</v>
      </c>
      <c r="P32" s="44">
        <f t="shared" si="67"/>
        <v>0</v>
      </c>
      <c r="Q32" s="46">
        <f t="shared" si="67"/>
        <v>0</v>
      </c>
      <c r="R32" s="47">
        <f t="shared" si="67"/>
        <v>0</v>
      </c>
      <c r="S32" s="47">
        <f t="shared" si="67"/>
        <v>0</v>
      </c>
      <c r="T32" s="47">
        <f t="shared" si="67"/>
        <v>0</v>
      </c>
      <c r="V32" s="43">
        <f>V24-SUM(V27:V30)</f>
        <v>0</v>
      </c>
      <c r="W32" s="43">
        <f t="shared" ref="W32:AC32" si="68">W24-SUM(W27:W30)</f>
        <v>0</v>
      </c>
      <c r="X32" s="43">
        <f t="shared" si="68"/>
        <v>0</v>
      </c>
      <c r="Y32" s="44">
        <f t="shared" si="68"/>
        <v>0</v>
      </c>
      <c r="Z32" s="46">
        <f t="shared" si="68"/>
        <v>0</v>
      </c>
      <c r="AA32" s="47">
        <f t="shared" si="68"/>
        <v>0</v>
      </c>
      <c r="AB32" s="47">
        <f t="shared" si="68"/>
        <v>0</v>
      </c>
      <c r="AC32" s="47">
        <f t="shared" si="68"/>
        <v>0</v>
      </c>
      <c r="AE32" s="43">
        <f>AE24-SUM(AE27:AE30)</f>
        <v>0</v>
      </c>
      <c r="AF32" s="43">
        <f t="shared" ref="AF32:AL32" si="69">AF24-SUM(AF27:AF30)</f>
        <v>0</v>
      </c>
      <c r="AG32" s="43">
        <f t="shared" si="69"/>
        <v>0</v>
      </c>
      <c r="AH32" s="44">
        <f t="shared" si="69"/>
        <v>0</v>
      </c>
      <c r="AI32" s="46">
        <f t="shared" si="69"/>
        <v>0</v>
      </c>
      <c r="AJ32" s="47">
        <f t="shared" si="69"/>
        <v>0</v>
      </c>
      <c r="AK32" s="47">
        <f t="shared" si="69"/>
        <v>0</v>
      </c>
      <c r="AL32" s="47">
        <f t="shared" si="69"/>
        <v>0</v>
      </c>
      <c r="AN32" s="43">
        <f>AN24-SUM(AN27:AN30)</f>
        <v>0</v>
      </c>
      <c r="AO32" s="43">
        <f t="shared" ref="AO32:AU32" si="70">AO24-SUM(AO27:AO30)</f>
        <v>0</v>
      </c>
      <c r="AP32" s="43">
        <f t="shared" si="70"/>
        <v>0</v>
      </c>
      <c r="AQ32" s="44">
        <f t="shared" si="70"/>
        <v>0</v>
      </c>
      <c r="AR32" s="46">
        <f t="shared" si="70"/>
        <v>0</v>
      </c>
      <c r="AS32" s="47">
        <f t="shared" si="70"/>
        <v>0</v>
      </c>
      <c r="AT32" s="47">
        <f t="shared" si="70"/>
        <v>0</v>
      </c>
      <c r="AU32" s="47">
        <f t="shared" si="70"/>
        <v>0</v>
      </c>
      <c r="AW32" s="43">
        <f>AW24-SUM(AW27:AW30)</f>
        <v>0</v>
      </c>
      <c r="AX32" s="43">
        <f t="shared" ref="AX32:BD32" si="71">AX24-SUM(AX27:AX30)</f>
        <v>0</v>
      </c>
      <c r="AY32" s="43">
        <f t="shared" si="71"/>
        <v>0</v>
      </c>
      <c r="AZ32" s="44">
        <f t="shared" si="71"/>
        <v>0</v>
      </c>
      <c r="BA32" s="46">
        <f t="shared" si="71"/>
        <v>0</v>
      </c>
      <c r="BB32" s="47">
        <f t="shared" si="71"/>
        <v>0</v>
      </c>
      <c r="BC32" s="47">
        <f t="shared" si="71"/>
        <v>0</v>
      </c>
      <c r="BD32" s="47">
        <f t="shared" si="71"/>
        <v>0</v>
      </c>
    </row>
    <row r="33" spans="2:56" ht="15.75" thickTop="1" x14ac:dyDescent="0.25">
      <c r="D33" s="100">
        <f t="shared" ref="D33:K33" si="72">IFERROR(D32/D$6,0)</f>
        <v>0</v>
      </c>
      <c r="E33" s="100">
        <f t="shared" si="72"/>
        <v>0</v>
      </c>
      <c r="F33" s="100">
        <f t="shared" si="72"/>
        <v>0</v>
      </c>
      <c r="G33" s="100">
        <f t="shared" si="72"/>
        <v>0</v>
      </c>
      <c r="H33" s="100">
        <f t="shared" si="72"/>
        <v>0</v>
      </c>
      <c r="I33" s="100">
        <f t="shared" si="72"/>
        <v>0</v>
      </c>
      <c r="J33" s="100">
        <f t="shared" si="72"/>
        <v>0</v>
      </c>
      <c r="K33" s="100">
        <f t="shared" si="72"/>
        <v>0</v>
      </c>
      <c r="M33" s="100">
        <f t="shared" ref="M33:T33" si="73">IFERROR(M32/M$6,0)</f>
        <v>0</v>
      </c>
      <c r="N33" s="100">
        <f t="shared" si="73"/>
        <v>0</v>
      </c>
      <c r="O33" s="100">
        <f t="shared" si="73"/>
        <v>0</v>
      </c>
      <c r="P33" s="100">
        <f t="shared" si="73"/>
        <v>0</v>
      </c>
      <c r="Q33" s="100">
        <f t="shared" si="73"/>
        <v>0</v>
      </c>
      <c r="R33" s="100">
        <f t="shared" si="73"/>
        <v>0</v>
      </c>
      <c r="S33" s="100">
        <f t="shared" si="73"/>
        <v>0</v>
      </c>
      <c r="T33" s="100">
        <f t="shared" si="73"/>
        <v>0</v>
      </c>
      <c r="V33" s="100">
        <f t="shared" ref="V33:AC33" si="74">IFERROR(V32/V$6,0)</f>
        <v>0</v>
      </c>
      <c r="W33" s="100">
        <f t="shared" si="74"/>
        <v>0</v>
      </c>
      <c r="X33" s="100">
        <f t="shared" si="74"/>
        <v>0</v>
      </c>
      <c r="Y33" s="100">
        <f t="shared" si="74"/>
        <v>0</v>
      </c>
      <c r="Z33" s="100">
        <f t="shared" si="74"/>
        <v>0</v>
      </c>
      <c r="AA33" s="100">
        <f t="shared" si="74"/>
        <v>0</v>
      </c>
      <c r="AB33" s="100">
        <f t="shared" si="74"/>
        <v>0</v>
      </c>
      <c r="AC33" s="100">
        <f t="shared" si="74"/>
        <v>0</v>
      </c>
      <c r="AE33" s="100">
        <f t="shared" ref="AE33:AL33" si="75">IFERROR(AE32/AE$6,0)</f>
        <v>0</v>
      </c>
      <c r="AF33" s="100">
        <f t="shared" si="75"/>
        <v>0</v>
      </c>
      <c r="AG33" s="100">
        <f t="shared" si="75"/>
        <v>0</v>
      </c>
      <c r="AH33" s="100">
        <f t="shared" si="75"/>
        <v>0</v>
      </c>
      <c r="AI33" s="100">
        <f t="shared" si="75"/>
        <v>0</v>
      </c>
      <c r="AJ33" s="100">
        <f t="shared" si="75"/>
        <v>0</v>
      </c>
      <c r="AK33" s="100">
        <f t="shared" si="75"/>
        <v>0</v>
      </c>
      <c r="AL33" s="100">
        <f t="shared" si="75"/>
        <v>0</v>
      </c>
      <c r="AN33" s="100">
        <f t="shared" ref="AN33:AU33" si="76">IFERROR(AN32/AN$6,0)</f>
        <v>0</v>
      </c>
      <c r="AO33" s="100">
        <f t="shared" si="76"/>
        <v>0</v>
      </c>
      <c r="AP33" s="100">
        <f t="shared" si="76"/>
        <v>0</v>
      </c>
      <c r="AQ33" s="100">
        <f t="shared" si="76"/>
        <v>0</v>
      </c>
      <c r="AR33" s="100">
        <f t="shared" si="76"/>
        <v>0</v>
      </c>
      <c r="AS33" s="100">
        <f t="shared" si="76"/>
        <v>0</v>
      </c>
      <c r="AT33" s="100">
        <f t="shared" si="76"/>
        <v>0</v>
      </c>
      <c r="AU33" s="100">
        <f t="shared" si="76"/>
        <v>0</v>
      </c>
      <c r="AW33" s="100">
        <f t="shared" ref="AW33:BD33" si="77">IFERROR(AW32/AW$6,0)</f>
        <v>0</v>
      </c>
      <c r="AX33" s="100">
        <f t="shared" si="77"/>
        <v>0</v>
      </c>
      <c r="AY33" s="100">
        <f t="shared" si="77"/>
        <v>0</v>
      </c>
      <c r="AZ33" s="100">
        <f t="shared" si="77"/>
        <v>0</v>
      </c>
      <c r="BA33" s="100">
        <f t="shared" si="77"/>
        <v>0</v>
      </c>
      <c r="BB33" s="100">
        <f t="shared" si="77"/>
        <v>0</v>
      </c>
      <c r="BC33" s="100">
        <f t="shared" si="77"/>
        <v>0</v>
      </c>
      <c r="BD33" s="100">
        <f t="shared" si="77"/>
        <v>0</v>
      </c>
    </row>
    <row r="35" spans="2:56" x14ac:dyDescent="0.25">
      <c r="B35" s="54" t="s">
        <v>142</v>
      </c>
      <c r="C35" s="94" t="s">
        <v>63</v>
      </c>
      <c r="D35" s="101">
        <f>(D22+D32)-SUM('4. Investments'!F420,'4. Investments'!F445)+D40</f>
        <v>0</v>
      </c>
      <c r="E35" s="101">
        <f>(E22+E32)-SUM('4. Investments'!G420,'4. Investments'!G445)+E40</f>
        <v>0</v>
      </c>
      <c r="F35" s="101">
        <f>(F22+F32)-SUM('4. Investments'!H420,'4. Investments'!H445)+F40</f>
        <v>0</v>
      </c>
      <c r="G35" s="101">
        <f>(G22+G32)-SUM('4. Investments'!M420,'4. Investments'!M445)+G40</f>
        <v>0</v>
      </c>
      <c r="H35" s="101">
        <f>(H22+H32)-SUM('4. Investments'!R420,'4. Investments'!R445)+H40</f>
        <v>0</v>
      </c>
      <c r="I35" s="101">
        <f>(I22+I32)-SUM('4. Investments'!S420,'4. Investments'!S445)+I40</f>
        <v>0</v>
      </c>
      <c r="J35" s="101">
        <f>(J22+J32)-SUM('4. Investments'!T420,'4. Investments'!T445)+J40</f>
        <v>0</v>
      </c>
      <c r="K35" s="101">
        <f>(K22+K32)-SUM('4. Investments'!U420,'4. Investments'!U445)+K40</f>
        <v>0</v>
      </c>
      <c r="L35" s="37"/>
      <c r="M35" s="101">
        <f>(M22+M32)-SUM('4. Investments'!F35,'4. Investments'!F60)+M40</f>
        <v>0</v>
      </c>
      <c r="N35" s="101">
        <f>(N22+N32)-SUM('4. Investments'!G35,'4. Investments'!G60)+N40</f>
        <v>0</v>
      </c>
      <c r="O35" s="101">
        <f>(O22+O32)-SUM('4. Investments'!H35,'4. Investments'!H60)+O40</f>
        <v>0</v>
      </c>
      <c r="P35" s="101">
        <f>(P22+P32)-SUM('4. Investments'!M35,'4. Investments'!M60)+P40</f>
        <v>0</v>
      </c>
      <c r="Q35" s="101">
        <f>(Q22+Q32)-SUM('4. Investments'!R35,'4. Investments'!R60)+Q40</f>
        <v>0</v>
      </c>
      <c r="R35" s="101">
        <f>(R22+R32)-SUM('4. Investments'!S35,'4. Investments'!S60)+R40</f>
        <v>0</v>
      </c>
      <c r="S35" s="101">
        <f>(S22+S32)-SUM('4. Investments'!T35,'4. Investments'!T60)+S40</f>
        <v>0</v>
      </c>
      <c r="T35" s="101">
        <f>(T22+T32)-SUM('4. Investments'!U35,'4. Investments'!U60)+T40</f>
        <v>0</v>
      </c>
      <c r="V35" s="101">
        <f>(V22+V32)-SUM('4. Investments'!F112,'4. Investments'!F137)+V40</f>
        <v>0</v>
      </c>
      <c r="W35" s="101">
        <f>(W22+W32)-SUM('4. Investments'!G112,'4. Investments'!G137)+W40</f>
        <v>0</v>
      </c>
      <c r="X35" s="101">
        <f>(X22+X32)-SUM('4. Investments'!H112,'4. Investments'!H137)+X40</f>
        <v>0</v>
      </c>
      <c r="Y35" s="101">
        <f>(Y22+Y32)-SUM('4. Investments'!M112,'4. Investments'!M137)+Y40</f>
        <v>0</v>
      </c>
      <c r="Z35" s="101">
        <f>(Z22+Z32)-SUM('4. Investments'!R112,'4. Investments'!R137)+Z40</f>
        <v>0</v>
      </c>
      <c r="AA35" s="101">
        <f>(AA22+AA32)-SUM('4. Investments'!S112,'4. Investments'!S137)+AA40</f>
        <v>0</v>
      </c>
      <c r="AB35" s="101">
        <f>(AB22+AB32)-SUM('4. Investments'!T112,'4. Investments'!T137)+AB40</f>
        <v>0</v>
      </c>
      <c r="AC35" s="101">
        <f>(AC22+AC32)-SUM('4. Investments'!U112,'4. Investments'!U137)+AC40</f>
        <v>0</v>
      </c>
      <c r="AE35" s="101">
        <f>(AE22+AE32)-SUM('4. Investments'!F189,'4. Investments'!F214)+AE40</f>
        <v>0</v>
      </c>
      <c r="AF35" s="101">
        <f>(AF22+AF32)-SUM('4. Investments'!G189,'4. Investments'!G214)+AF40</f>
        <v>0</v>
      </c>
      <c r="AG35" s="101">
        <f>(AG22+AG32)-SUM('4. Investments'!H189,'4. Investments'!H214)+AG40</f>
        <v>0</v>
      </c>
      <c r="AH35" s="101">
        <f>(AH22+AH32)-SUM('4. Investments'!M189,'4. Investments'!M214)+AH40</f>
        <v>0</v>
      </c>
      <c r="AI35" s="101">
        <f>(AI22+AI32)-SUM('4. Investments'!R189,'4. Investments'!R214)+AI40</f>
        <v>0</v>
      </c>
      <c r="AJ35" s="101">
        <f>(AJ22+AJ32)-SUM('4. Investments'!S189,'4. Investments'!S214)+AJ40</f>
        <v>0</v>
      </c>
      <c r="AK35" s="101">
        <f>(AK22+AK32)-SUM('4. Investments'!T189,'4. Investments'!T214)+AK40</f>
        <v>0</v>
      </c>
      <c r="AL35" s="101">
        <f>(AL22+AL32)-SUM('4. Investments'!U189,'4. Investments'!U214)+AL40</f>
        <v>0</v>
      </c>
      <c r="AN35" s="101">
        <f>(AN22+AN32)-SUM('4. Investments'!F266,'4. Investments'!F291)+AN40</f>
        <v>0</v>
      </c>
      <c r="AO35" s="101">
        <f>(AO22+AO32)-SUM('4. Investments'!G266,'4. Investments'!G291)+AO40</f>
        <v>0</v>
      </c>
      <c r="AP35" s="101">
        <f>(AP22+AP32)-SUM('4. Investments'!H266,'4. Investments'!H291)+AP40</f>
        <v>0</v>
      </c>
      <c r="AQ35" s="101">
        <f>(AQ22+AQ32)-SUM('4. Investments'!M266,'4. Investments'!M291)+AQ40</f>
        <v>0</v>
      </c>
      <c r="AR35" s="101">
        <f>(AR22+AR32)-SUM('4. Investments'!R266,'4. Investments'!R291)+AR40</f>
        <v>0</v>
      </c>
      <c r="AS35" s="101">
        <f>(AS22+AS32)-SUM('4. Investments'!S266,'4. Investments'!S291)+AS40</f>
        <v>0</v>
      </c>
      <c r="AT35" s="101">
        <f>(AT22+AT32)-SUM('4. Investments'!T266,'4. Investments'!T291)+AT40</f>
        <v>0</v>
      </c>
      <c r="AU35" s="101">
        <f>(AU22+AU32)-SUM('4. Investments'!U266,'4. Investments'!U291)+AU40</f>
        <v>0</v>
      </c>
      <c r="AW35" s="101">
        <f>(AW22+AW32)-SUM('4. Investments'!F343,'4. Investments'!F368)+AW40</f>
        <v>0</v>
      </c>
      <c r="AX35" s="101">
        <f>(AX22+AX32)-SUM('4. Investments'!G343,'4. Investments'!G368)+AX40</f>
        <v>0</v>
      </c>
      <c r="AY35" s="101">
        <f>(AY22+AY32)-SUM('4. Investments'!H343,'4. Investments'!H368)+AY40</f>
        <v>0</v>
      </c>
      <c r="AZ35" s="101">
        <f>(AZ22+AZ32)-SUM('4. Investments'!M343,'4. Investments'!M368)+AZ40</f>
        <v>0</v>
      </c>
      <c r="BA35" s="101">
        <f>(BA22+BA32)-SUM('4. Investments'!R343,'4. Investments'!R368)+BA40</f>
        <v>0</v>
      </c>
      <c r="BB35" s="101">
        <f>(BB22+BB32)-SUM('4. Investments'!S343,'4. Investments'!S368)+BB40</f>
        <v>0</v>
      </c>
      <c r="BC35" s="101">
        <f>(BC22+BC32)-SUM('4. Investments'!T343,'4. Investments'!T368)+BC40</f>
        <v>0</v>
      </c>
      <c r="BD35" s="101">
        <f>(BD22+BD32)-SUM('4. Investments'!U343,'4. Investments'!U368)+BD40</f>
        <v>0</v>
      </c>
    </row>
    <row r="36" spans="2:56" x14ac:dyDescent="0.25">
      <c r="B36" s="4" t="s">
        <v>143</v>
      </c>
      <c r="C36" s="97" t="s">
        <v>63</v>
      </c>
      <c r="D36" s="102">
        <f>D35</f>
        <v>0</v>
      </c>
      <c r="E36" s="102">
        <f>E35+D36</f>
        <v>0</v>
      </c>
      <c r="F36" s="102">
        <f t="shared" ref="F36" si="78">F35+E36</f>
        <v>0</v>
      </c>
      <c r="G36" s="102">
        <f>G35+F36</f>
        <v>0</v>
      </c>
      <c r="H36" s="102">
        <f t="shared" ref="H36:K36" si="79">H35+G36</f>
        <v>0</v>
      </c>
      <c r="I36" s="102">
        <f t="shared" si="79"/>
        <v>0</v>
      </c>
      <c r="J36" s="102">
        <f t="shared" si="79"/>
        <v>0</v>
      </c>
      <c r="K36" s="102">
        <f t="shared" si="79"/>
        <v>0</v>
      </c>
      <c r="M36" s="102">
        <f>M35</f>
        <v>0</v>
      </c>
      <c r="N36" s="102">
        <f>N35+M36</f>
        <v>0</v>
      </c>
      <c r="O36" s="102">
        <f t="shared" ref="O36" si="80">O35+N36</f>
        <v>0</v>
      </c>
      <c r="P36" s="102">
        <f>P35+O36</f>
        <v>0</v>
      </c>
      <c r="Q36" s="102">
        <f t="shared" ref="Q36" si="81">Q35+P36</f>
        <v>0</v>
      </c>
      <c r="R36" s="102">
        <f t="shared" ref="R36" si="82">R35+Q36</f>
        <v>0</v>
      </c>
      <c r="S36" s="102">
        <f t="shared" ref="S36" si="83">S35+R36</f>
        <v>0</v>
      </c>
      <c r="T36" s="102">
        <f t="shared" ref="T36" si="84">T35+S36</f>
        <v>0</v>
      </c>
      <c r="V36" s="102">
        <f>V35</f>
        <v>0</v>
      </c>
      <c r="W36" s="102">
        <f>W35+V36</f>
        <v>0</v>
      </c>
      <c r="X36" s="102">
        <f t="shared" ref="X36" si="85">X35+W36</f>
        <v>0</v>
      </c>
      <c r="Y36" s="102">
        <f>Y35+X36</f>
        <v>0</v>
      </c>
      <c r="Z36" s="102">
        <f t="shared" ref="Z36" si="86">Z35+Y36</f>
        <v>0</v>
      </c>
      <c r="AA36" s="102">
        <f t="shared" ref="AA36" si="87">AA35+Z36</f>
        <v>0</v>
      </c>
      <c r="AB36" s="102">
        <f t="shared" ref="AB36" si="88">AB35+AA36</f>
        <v>0</v>
      </c>
      <c r="AC36" s="102">
        <f t="shared" ref="AC36" si="89">AC35+AB36</f>
        <v>0</v>
      </c>
      <c r="AE36" s="102">
        <f>AE35</f>
        <v>0</v>
      </c>
      <c r="AF36" s="102">
        <f>AF35+AE36</f>
        <v>0</v>
      </c>
      <c r="AG36" s="102">
        <f t="shared" ref="AG36" si="90">AG35+AF36</f>
        <v>0</v>
      </c>
      <c r="AH36" s="102">
        <f>AH35+AG36</f>
        <v>0</v>
      </c>
      <c r="AI36" s="102">
        <f t="shared" ref="AI36" si="91">AI35+AH36</f>
        <v>0</v>
      </c>
      <c r="AJ36" s="102">
        <f t="shared" ref="AJ36" si="92">AJ35+AI36</f>
        <v>0</v>
      </c>
      <c r="AK36" s="102">
        <f t="shared" ref="AK36" si="93">AK35+AJ36</f>
        <v>0</v>
      </c>
      <c r="AL36" s="102">
        <f t="shared" ref="AL36" si="94">AL35+AK36</f>
        <v>0</v>
      </c>
      <c r="AN36" s="102">
        <f>AN35</f>
        <v>0</v>
      </c>
      <c r="AO36" s="102">
        <f>AO35+AN36</f>
        <v>0</v>
      </c>
      <c r="AP36" s="102">
        <f t="shared" ref="AP36" si="95">AP35+AO36</f>
        <v>0</v>
      </c>
      <c r="AQ36" s="102">
        <f>AQ35+AP36</f>
        <v>0</v>
      </c>
      <c r="AR36" s="102">
        <f t="shared" ref="AR36" si="96">AR35+AQ36</f>
        <v>0</v>
      </c>
      <c r="AS36" s="102">
        <f t="shared" ref="AS36" si="97">AS35+AR36</f>
        <v>0</v>
      </c>
      <c r="AT36" s="102">
        <f t="shared" ref="AT36" si="98">AT35+AS36</f>
        <v>0</v>
      </c>
      <c r="AU36" s="102">
        <f t="shared" ref="AU36" si="99">AU35+AT36</f>
        <v>0</v>
      </c>
      <c r="AW36" s="102">
        <f>AW35</f>
        <v>0</v>
      </c>
      <c r="AX36" s="102">
        <f>AX35+AW36</f>
        <v>0</v>
      </c>
      <c r="AY36" s="102">
        <f t="shared" ref="AY36" si="100">AY35+AX36</f>
        <v>0</v>
      </c>
      <c r="AZ36" s="102">
        <f>AZ35+AY36</f>
        <v>0</v>
      </c>
      <c r="BA36" s="102">
        <f t="shared" ref="BA36" si="101">BA35+AZ36</f>
        <v>0</v>
      </c>
      <c r="BB36" s="102">
        <f t="shared" ref="BB36" si="102">BB35+BA36</f>
        <v>0</v>
      </c>
      <c r="BC36" s="102">
        <f t="shared" ref="BC36" si="103">BC35+BB36</f>
        <v>0</v>
      </c>
      <c r="BD36" s="102">
        <f t="shared" ref="BD36" si="104">BD35+BC36</f>
        <v>0</v>
      </c>
    </row>
    <row r="37" spans="2:56" x14ac:dyDescent="0.25">
      <c r="B37" s="54"/>
      <c r="C37" s="91"/>
      <c r="D37" s="54"/>
      <c r="E37" s="54"/>
      <c r="F37" s="54"/>
      <c r="G37" s="54"/>
      <c r="H37" s="54"/>
      <c r="I37" s="54"/>
      <c r="J37" s="54"/>
      <c r="K37" s="54"/>
      <c r="M37" s="54"/>
      <c r="N37" s="54"/>
      <c r="O37" s="54"/>
      <c r="P37" s="54"/>
      <c r="Q37" s="54"/>
      <c r="R37" s="54"/>
      <c r="S37" s="54"/>
      <c r="T37" s="54"/>
      <c r="V37" s="54"/>
      <c r="W37" s="54"/>
      <c r="X37" s="54"/>
      <c r="Y37" s="54"/>
      <c r="Z37" s="54"/>
      <c r="AA37" s="54"/>
      <c r="AB37" s="54"/>
      <c r="AC37" s="54"/>
      <c r="AE37" s="54"/>
      <c r="AF37" s="54"/>
      <c r="AG37" s="54"/>
      <c r="AH37" s="54"/>
      <c r="AI37" s="54"/>
      <c r="AJ37" s="54"/>
      <c r="AK37" s="54"/>
      <c r="AL37" s="54"/>
      <c r="AN37" s="54"/>
      <c r="AO37" s="54"/>
      <c r="AP37" s="54"/>
      <c r="AQ37" s="54"/>
      <c r="AR37" s="54"/>
      <c r="AS37" s="54"/>
      <c r="AT37" s="54"/>
      <c r="AU37" s="54"/>
      <c r="AW37" s="54"/>
      <c r="AX37" s="54"/>
      <c r="AY37" s="54"/>
      <c r="AZ37" s="54"/>
      <c r="BA37" s="54"/>
      <c r="BB37" s="54"/>
      <c r="BC37" s="54"/>
      <c r="BD37" s="54"/>
    </row>
    <row r="38" spans="2:56" x14ac:dyDescent="0.25">
      <c r="B38" s="54"/>
      <c r="C38" s="91"/>
      <c r="D38" s="54"/>
      <c r="E38" s="54"/>
      <c r="F38" s="54"/>
      <c r="G38" s="54"/>
      <c r="H38" s="54"/>
      <c r="I38" s="54"/>
      <c r="J38" s="54"/>
      <c r="K38" s="54"/>
      <c r="M38" s="54"/>
      <c r="N38" s="54"/>
      <c r="O38" s="54"/>
      <c r="P38" s="54"/>
      <c r="Q38" s="54"/>
      <c r="R38" s="54"/>
      <c r="S38" s="54"/>
      <c r="T38" s="54"/>
      <c r="V38" s="54"/>
      <c r="W38" s="54"/>
      <c r="X38" s="54"/>
      <c r="Y38" s="54"/>
      <c r="Z38" s="54"/>
      <c r="AA38" s="54"/>
      <c r="AB38" s="54"/>
      <c r="AC38" s="54"/>
      <c r="AE38" s="54"/>
      <c r="AF38" s="54"/>
      <c r="AG38" s="54"/>
      <c r="AH38" s="54"/>
      <c r="AI38" s="54"/>
      <c r="AJ38" s="54"/>
      <c r="AK38" s="54"/>
      <c r="AL38" s="54"/>
      <c r="AN38" s="54"/>
      <c r="AO38" s="54"/>
      <c r="AP38" s="54"/>
      <c r="AQ38" s="54"/>
      <c r="AR38" s="54"/>
      <c r="AS38" s="54"/>
      <c r="AT38" s="54"/>
      <c r="AU38" s="54"/>
      <c r="AW38" s="54"/>
      <c r="AX38" s="54"/>
      <c r="AY38" s="54"/>
      <c r="AZ38" s="54"/>
      <c r="BA38" s="54"/>
      <c r="BB38" s="54"/>
      <c r="BC38" s="54"/>
      <c r="BD38" s="54"/>
    </row>
    <row r="39" spans="2:56" x14ac:dyDescent="0.25">
      <c r="B39" s="54" t="s">
        <v>144</v>
      </c>
      <c r="C39" s="94" t="s">
        <v>63</v>
      </c>
      <c r="D39" s="101">
        <f>SUM('5. Balance Sheet'!F422,'5. Balance Sheet'!F441)-SUM('5. Balance Sheet'!F460,'5. Balance Sheet'!F479)</f>
        <v>0</v>
      </c>
      <c r="E39" s="101">
        <f>SUM('5. Balance Sheet'!G422,'5. Balance Sheet'!G441)-SUM('5. Balance Sheet'!G460,'5. Balance Sheet'!G479)</f>
        <v>0</v>
      </c>
      <c r="F39" s="101">
        <f>SUM('5. Balance Sheet'!H422,'5. Balance Sheet'!H441)-SUM('5. Balance Sheet'!H460,'5. Balance Sheet'!H479)</f>
        <v>0</v>
      </c>
      <c r="G39" s="101">
        <f>SUM('5. Balance Sheet'!M422,'5. Balance Sheet'!M441)-SUM('5. Balance Sheet'!M460,'5. Balance Sheet'!M479)</f>
        <v>0</v>
      </c>
      <c r="H39" s="101">
        <f>SUM('5. Balance Sheet'!R422,'5. Balance Sheet'!R441)-SUM('5. Balance Sheet'!R460,'5. Balance Sheet'!R479)</f>
        <v>0</v>
      </c>
      <c r="I39" s="101">
        <f>SUM('5. Balance Sheet'!S422,'5. Balance Sheet'!S441)-SUM('5. Balance Sheet'!S460,'5. Balance Sheet'!S479)</f>
        <v>0</v>
      </c>
      <c r="J39" s="101">
        <f>SUM('5. Balance Sheet'!T422,'5. Balance Sheet'!T441)-SUM('5. Balance Sheet'!T460,'5. Balance Sheet'!T479)</f>
        <v>0</v>
      </c>
      <c r="K39" s="101">
        <f>SUM('5. Balance Sheet'!U422,'5. Balance Sheet'!U441)-SUM('5. Balance Sheet'!U460,'5. Balance Sheet'!U479)</f>
        <v>0</v>
      </c>
      <c r="M39" s="101">
        <f>SUM('5. Balance Sheet'!F22,'5. Balance Sheet'!F41)-SUM('5. Balance Sheet'!F60,'5. Balance Sheet'!F79)</f>
        <v>0</v>
      </c>
      <c r="N39" s="101">
        <f>SUM('5. Balance Sheet'!G22,'5. Balance Sheet'!G41)-SUM('5. Balance Sheet'!G60,'5. Balance Sheet'!G79)</f>
        <v>0</v>
      </c>
      <c r="O39" s="101">
        <f>SUM('5. Balance Sheet'!H22,'5. Balance Sheet'!H41)-SUM('5. Balance Sheet'!H60,'5. Balance Sheet'!H79)</f>
        <v>0</v>
      </c>
      <c r="P39" s="101">
        <f>SUM('5. Balance Sheet'!M22,'5. Balance Sheet'!M41)-SUM('5. Balance Sheet'!M60,'5. Balance Sheet'!M79)</f>
        <v>0</v>
      </c>
      <c r="Q39" s="101">
        <f>SUM('5. Balance Sheet'!R22,'5. Balance Sheet'!R41)-SUM('5. Balance Sheet'!R60,'5. Balance Sheet'!R79)</f>
        <v>0</v>
      </c>
      <c r="R39" s="101">
        <f>SUM('5. Balance Sheet'!S22,'5. Balance Sheet'!S41)-SUM('5. Balance Sheet'!S60,'5. Balance Sheet'!S79)</f>
        <v>0</v>
      </c>
      <c r="S39" s="101">
        <f>SUM('5. Balance Sheet'!T22,'5. Balance Sheet'!T41)-SUM('5. Balance Sheet'!T60,'5. Balance Sheet'!T79)</f>
        <v>0</v>
      </c>
      <c r="T39" s="101">
        <f>SUM('5. Balance Sheet'!U22,'5. Balance Sheet'!U41)-SUM('5. Balance Sheet'!U60,'5. Balance Sheet'!U79)</f>
        <v>0</v>
      </c>
      <c r="V39" s="101">
        <f>SUM('5. Balance Sheet'!F102,'5. Balance Sheet'!F121)-SUM('5. Balance Sheet'!F140,'5. Balance Sheet'!F159)</f>
        <v>0</v>
      </c>
      <c r="W39" s="101">
        <f>SUM('5. Balance Sheet'!G102,'5. Balance Sheet'!G121)-SUM('5. Balance Sheet'!G140,'5. Balance Sheet'!G159)</f>
        <v>0</v>
      </c>
      <c r="X39" s="101">
        <f>SUM('5. Balance Sheet'!H102,'5. Balance Sheet'!H121)-SUM('5. Balance Sheet'!H140,'5. Balance Sheet'!H159)</f>
        <v>0</v>
      </c>
      <c r="Y39" s="101">
        <f>SUM('5. Balance Sheet'!M102,'5. Balance Sheet'!M121)-SUM('5. Balance Sheet'!M140,'5. Balance Sheet'!M159)</f>
        <v>0</v>
      </c>
      <c r="Z39" s="101">
        <f>SUM('5. Balance Sheet'!R102,'5. Balance Sheet'!R121)-SUM('5. Balance Sheet'!R140,'5. Balance Sheet'!R159)</f>
        <v>0</v>
      </c>
      <c r="AA39" s="101">
        <f>SUM('5. Balance Sheet'!S102,'5. Balance Sheet'!S121)-SUM('5. Balance Sheet'!S140,'5. Balance Sheet'!S159)</f>
        <v>0</v>
      </c>
      <c r="AB39" s="101">
        <f>SUM('5. Balance Sheet'!T102,'5. Balance Sheet'!T121)-SUM('5. Balance Sheet'!T140,'5. Balance Sheet'!T159)</f>
        <v>0</v>
      </c>
      <c r="AC39" s="101">
        <f>SUM('5. Balance Sheet'!U102,'5. Balance Sheet'!U121)-SUM('5. Balance Sheet'!U140,'5. Balance Sheet'!U159)</f>
        <v>0</v>
      </c>
      <c r="AE39" s="101">
        <f>SUM('5. Balance Sheet'!F182,'5. Balance Sheet'!F201)-SUM('5. Balance Sheet'!F220,'5. Balance Sheet'!F239)</f>
        <v>0</v>
      </c>
      <c r="AF39" s="101">
        <f>SUM('5. Balance Sheet'!G182,'5. Balance Sheet'!G201)-SUM('5. Balance Sheet'!G220,'5. Balance Sheet'!G239)</f>
        <v>0</v>
      </c>
      <c r="AG39" s="101">
        <f>SUM('5. Balance Sheet'!H182,'5. Balance Sheet'!H201)-SUM('5. Balance Sheet'!H220,'5. Balance Sheet'!H239)</f>
        <v>0</v>
      </c>
      <c r="AH39" s="101">
        <f>SUM('5. Balance Sheet'!M182,'5. Balance Sheet'!M201)-SUM('5. Balance Sheet'!M220,'5. Balance Sheet'!M239)</f>
        <v>0</v>
      </c>
      <c r="AI39" s="101">
        <f>SUM('5. Balance Sheet'!R182,'5. Balance Sheet'!R201)-SUM('5. Balance Sheet'!R220,'5. Balance Sheet'!R239)</f>
        <v>0</v>
      </c>
      <c r="AJ39" s="101">
        <f>SUM('5. Balance Sheet'!S182,'5. Balance Sheet'!S201)-SUM('5. Balance Sheet'!S220,'5. Balance Sheet'!S239)</f>
        <v>0</v>
      </c>
      <c r="AK39" s="101">
        <f>SUM('5. Balance Sheet'!T182,'5. Balance Sheet'!T201)-SUM('5. Balance Sheet'!T220,'5. Balance Sheet'!T239)</f>
        <v>0</v>
      </c>
      <c r="AL39" s="101">
        <f>SUM('5. Balance Sheet'!U182,'5. Balance Sheet'!U201)-SUM('5. Balance Sheet'!U220,'5. Balance Sheet'!U239)</f>
        <v>0</v>
      </c>
      <c r="AN39" s="101">
        <f>SUM('5. Balance Sheet'!F262,'5. Balance Sheet'!F281)-SUM('5. Balance Sheet'!F300,'5. Balance Sheet'!F319)</f>
        <v>0</v>
      </c>
      <c r="AO39" s="101">
        <f>SUM('5. Balance Sheet'!G262,'5. Balance Sheet'!G281)-SUM('5. Balance Sheet'!G300,'5. Balance Sheet'!G319)</f>
        <v>0</v>
      </c>
      <c r="AP39" s="101">
        <f>SUM('5. Balance Sheet'!H262,'5. Balance Sheet'!H281)-SUM('5. Balance Sheet'!H300,'5. Balance Sheet'!H319)</f>
        <v>0</v>
      </c>
      <c r="AQ39" s="101">
        <f>SUM('5. Balance Sheet'!M262,'5. Balance Sheet'!M281)-SUM('5. Balance Sheet'!M300,'5. Balance Sheet'!M319)</f>
        <v>0</v>
      </c>
      <c r="AR39" s="101">
        <f>SUM('5. Balance Sheet'!R262,'5. Balance Sheet'!R281)-SUM('5. Balance Sheet'!R300,'5. Balance Sheet'!R319)</f>
        <v>0</v>
      </c>
      <c r="AS39" s="101">
        <f>SUM('5. Balance Sheet'!S262,'5. Balance Sheet'!S281)-SUM('5. Balance Sheet'!S300,'5. Balance Sheet'!S319)</f>
        <v>0</v>
      </c>
      <c r="AT39" s="101">
        <f>SUM('5. Balance Sheet'!T262,'5. Balance Sheet'!T281)-SUM('5. Balance Sheet'!T300,'5. Balance Sheet'!T319)</f>
        <v>0</v>
      </c>
      <c r="AU39" s="101">
        <f>SUM('5. Balance Sheet'!U262,'5. Balance Sheet'!U281)-SUM('5. Balance Sheet'!U300,'5. Balance Sheet'!U319)</f>
        <v>0</v>
      </c>
      <c r="AW39" s="101">
        <f>SUM('5. Balance Sheet'!F342,'5. Balance Sheet'!F361)-SUM('5. Balance Sheet'!F380,'5. Balance Sheet'!F399)</f>
        <v>0</v>
      </c>
      <c r="AX39" s="101">
        <f>SUM('5. Balance Sheet'!G342,'5. Balance Sheet'!G361)-SUM('5. Balance Sheet'!G380,'5. Balance Sheet'!G399)</f>
        <v>0</v>
      </c>
      <c r="AY39" s="101">
        <f>SUM('5. Balance Sheet'!H342,'5. Balance Sheet'!H361)-SUM('5. Balance Sheet'!H380,'5. Balance Sheet'!H399)</f>
        <v>0</v>
      </c>
      <c r="AZ39" s="101">
        <f>SUM('5. Balance Sheet'!M342,'5. Balance Sheet'!M361)-SUM('5. Balance Sheet'!M380,'5. Balance Sheet'!M399)</f>
        <v>0</v>
      </c>
      <c r="BA39" s="101">
        <f>SUM('5. Balance Sheet'!R342,'5. Balance Sheet'!R361)-SUM('5. Balance Sheet'!R380,'5. Balance Sheet'!R399)</f>
        <v>0</v>
      </c>
      <c r="BB39" s="101">
        <f>SUM('5. Balance Sheet'!S342,'5. Balance Sheet'!S361)-SUM('5. Balance Sheet'!S380,'5. Balance Sheet'!S399)</f>
        <v>0</v>
      </c>
      <c r="BC39" s="101">
        <f>SUM('5. Balance Sheet'!T342,'5. Balance Sheet'!T361)-SUM('5. Balance Sheet'!T380,'5. Balance Sheet'!T399)</f>
        <v>0</v>
      </c>
      <c r="BD39" s="101">
        <f>SUM('5. Balance Sheet'!U342,'5. Balance Sheet'!U361)-SUM('5. Balance Sheet'!U380,'5. Balance Sheet'!U399)</f>
        <v>0</v>
      </c>
    </row>
    <row r="40" spans="2:56" x14ac:dyDescent="0.25">
      <c r="B40" s="54" t="s">
        <v>33</v>
      </c>
      <c r="C40" s="94" t="s">
        <v>63</v>
      </c>
      <c r="D40" s="101">
        <v>0</v>
      </c>
      <c r="E40" s="101">
        <f>E39-D39</f>
        <v>0</v>
      </c>
      <c r="F40" s="101">
        <f t="shared" ref="F40" si="105">F39-E39</f>
        <v>0</v>
      </c>
      <c r="G40" s="101">
        <f>G39-F39</f>
        <v>0</v>
      </c>
      <c r="H40" s="101">
        <f t="shared" ref="H40:K40" si="106">H39-G39</f>
        <v>0</v>
      </c>
      <c r="I40" s="101">
        <f t="shared" si="106"/>
        <v>0</v>
      </c>
      <c r="J40" s="101">
        <f t="shared" si="106"/>
        <v>0</v>
      </c>
      <c r="K40" s="101">
        <f t="shared" si="106"/>
        <v>0</v>
      </c>
      <c r="M40" s="101">
        <v>0</v>
      </c>
      <c r="N40" s="101">
        <f>N39-M39</f>
        <v>0</v>
      </c>
      <c r="O40" s="101">
        <f t="shared" ref="O40" si="107">O39-N39</f>
        <v>0</v>
      </c>
      <c r="P40" s="101">
        <f>P39-O39</f>
        <v>0</v>
      </c>
      <c r="Q40" s="101">
        <f t="shared" ref="Q40" si="108">Q39-P39</f>
        <v>0</v>
      </c>
      <c r="R40" s="101">
        <f t="shared" ref="R40" si="109">R39-Q39</f>
        <v>0</v>
      </c>
      <c r="S40" s="101">
        <f t="shared" ref="S40" si="110">S39-R39</f>
        <v>0</v>
      </c>
      <c r="T40" s="101">
        <f t="shared" ref="T40" si="111">T39-S39</f>
        <v>0</v>
      </c>
      <c r="V40" s="101">
        <v>0</v>
      </c>
      <c r="W40" s="101">
        <f>W39-V39</f>
        <v>0</v>
      </c>
      <c r="X40" s="101">
        <f t="shared" ref="X40" si="112">X39-W39</f>
        <v>0</v>
      </c>
      <c r="Y40" s="101">
        <f>Y39-X39</f>
        <v>0</v>
      </c>
      <c r="Z40" s="101">
        <f t="shared" ref="Z40" si="113">Z39-Y39</f>
        <v>0</v>
      </c>
      <c r="AA40" s="101">
        <f t="shared" ref="AA40" si="114">AA39-Z39</f>
        <v>0</v>
      </c>
      <c r="AB40" s="101">
        <f t="shared" ref="AB40" si="115">AB39-AA39</f>
        <v>0</v>
      </c>
      <c r="AC40" s="101">
        <f t="shared" ref="AC40" si="116">AC39-AB39</f>
        <v>0</v>
      </c>
      <c r="AE40" s="101">
        <v>0</v>
      </c>
      <c r="AF40" s="101">
        <f>AF39-AE39</f>
        <v>0</v>
      </c>
      <c r="AG40" s="101">
        <f t="shared" ref="AG40" si="117">AG39-AF39</f>
        <v>0</v>
      </c>
      <c r="AH40" s="101">
        <f>AH39-AG39</f>
        <v>0</v>
      </c>
      <c r="AI40" s="101">
        <f t="shared" ref="AI40" si="118">AI39-AH39</f>
        <v>0</v>
      </c>
      <c r="AJ40" s="101">
        <f t="shared" ref="AJ40" si="119">AJ39-AI39</f>
        <v>0</v>
      </c>
      <c r="AK40" s="101">
        <f t="shared" ref="AK40" si="120">AK39-AJ39</f>
        <v>0</v>
      </c>
      <c r="AL40" s="101">
        <f t="shared" ref="AL40" si="121">AL39-AK39</f>
        <v>0</v>
      </c>
      <c r="AN40" s="101">
        <v>0</v>
      </c>
      <c r="AO40" s="101">
        <f>AO39-AN39</f>
        <v>0</v>
      </c>
      <c r="AP40" s="101">
        <f t="shared" ref="AP40" si="122">AP39-AO39</f>
        <v>0</v>
      </c>
      <c r="AQ40" s="101">
        <f>AQ39-AP39</f>
        <v>0</v>
      </c>
      <c r="AR40" s="101">
        <f t="shared" ref="AR40" si="123">AR39-AQ39</f>
        <v>0</v>
      </c>
      <c r="AS40" s="101">
        <f t="shared" ref="AS40" si="124">AS39-AR39</f>
        <v>0</v>
      </c>
      <c r="AT40" s="101">
        <f t="shared" ref="AT40" si="125">AT39-AS39</f>
        <v>0</v>
      </c>
      <c r="AU40" s="101">
        <f t="shared" ref="AU40" si="126">AU39-AT39</f>
        <v>0</v>
      </c>
      <c r="AW40" s="101">
        <v>0</v>
      </c>
      <c r="AX40" s="101">
        <f>AX39-AW39</f>
        <v>0</v>
      </c>
      <c r="AY40" s="101">
        <f t="shared" ref="AY40" si="127">AY39-AX39</f>
        <v>0</v>
      </c>
      <c r="AZ40" s="101">
        <f>AZ39-AY39</f>
        <v>0</v>
      </c>
      <c r="BA40" s="101">
        <f t="shared" ref="BA40" si="128">BA39-AZ39</f>
        <v>0</v>
      </c>
      <c r="BB40" s="101">
        <f t="shared" ref="BB40" si="129">BB39-BA39</f>
        <v>0</v>
      </c>
      <c r="BC40" s="101">
        <f t="shared" ref="BC40" si="130">BC39-BB39</f>
        <v>0</v>
      </c>
      <c r="BD40" s="101">
        <f t="shared" ref="BD40" si="131">BD39-BC39</f>
        <v>0</v>
      </c>
    </row>
    <row r="41" spans="2:56" x14ac:dyDescent="0.25">
      <c r="B41" s="54" t="s">
        <v>145</v>
      </c>
      <c r="C41" s="94" t="s">
        <v>63</v>
      </c>
      <c r="D41" s="101">
        <f>SUM(D28:D29)</f>
        <v>0</v>
      </c>
      <c r="E41" s="101">
        <f t="shared" ref="E41:K41" si="132">SUM(E28:E29)</f>
        <v>0</v>
      </c>
      <c r="F41" s="101">
        <f t="shared" si="132"/>
        <v>0</v>
      </c>
      <c r="G41" s="101">
        <f t="shared" si="132"/>
        <v>0</v>
      </c>
      <c r="H41" s="101">
        <f t="shared" si="132"/>
        <v>0</v>
      </c>
      <c r="I41" s="101">
        <f t="shared" si="132"/>
        <v>0</v>
      </c>
      <c r="J41" s="101">
        <f t="shared" si="132"/>
        <v>0</v>
      </c>
      <c r="K41" s="101">
        <f t="shared" si="132"/>
        <v>0</v>
      </c>
      <c r="M41" s="101">
        <f>SUM(M28:M29)</f>
        <v>0</v>
      </c>
      <c r="N41" s="101">
        <f t="shared" ref="N41:T41" si="133">SUM(N28:N29)</f>
        <v>0</v>
      </c>
      <c r="O41" s="101">
        <f t="shared" si="133"/>
        <v>0</v>
      </c>
      <c r="P41" s="101">
        <f t="shared" si="133"/>
        <v>0</v>
      </c>
      <c r="Q41" s="101">
        <f t="shared" si="133"/>
        <v>0</v>
      </c>
      <c r="R41" s="101">
        <f t="shared" si="133"/>
        <v>0</v>
      </c>
      <c r="S41" s="101">
        <f t="shared" si="133"/>
        <v>0</v>
      </c>
      <c r="T41" s="101">
        <f t="shared" si="133"/>
        <v>0</v>
      </c>
      <c r="V41" s="101">
        <f>SUM(V28:V29)</f>
        <v>0</v>
      </c>
      <c r="W41" s="101">
        <f t="shared" ref="W41:AC41" si="134">SUM(W28:W29)</f>
        <v>0</v>
      </c>
      <c r="X41" s="101">
        <f t="shared" si="134"/>
        <v>0</v>
      </c>
      <c r="Y41" s="101">
        <f t="shared" si="134"/>
        <v>0</v>
      </c>
      <c r="Z41" s="101">
        <f t="shared" si="134"/>
        <v>0</v>
      </c>
      <c r="AA41" s="101">
        <f t="shared" si="134"/>
        <v>0</v>
      </c>
      <c r="AB41" s="101">
        <f t="shared" si="134"/>
        <v>0</v>
      </c>
      <c r="AC41" s="101">
        <f t="shared" si="134"/>
        <v>0</v>
      </c>
      <c r="AE41" s="101">
        <f>SUM(AE28:AE29)</f>
        <v>0</v>
      </c>
      <c r="AF41" s="101">
        <f t="shared" ref="AF41:AL41" si="135">SUM(AF28:AF29)</f>
        <v>0</v>
      </c>
      <c r="AG41" s="101">
        <f t="shared" si="135"/>
        <v>0</v>
      </c>
      <c r="AH41" s="101">
        <f t="shared" si="135"/>
        <v>0</v>
      </c>
      <c r="AI41" s="101">
        <f t="shared" si="135"/>
        <v>0</v>
      </c>
      <c r="AJ41" s="101">
        <f t="shared" si="135"/>
        <v>0</v>
      </c>
      <c r="AK41" s="101">
        <f t="shared" si="135"/>
        <v>0</v>
      </c>
      <c r="AL41" s="101">
        <f t="shared" si="135"/>
        <v>0</v>
      </c>
      <c r="AN41" s="101">
        <f>SUM(AN28:AN29)</f>
        <v>0</v>
      </c>
      <c r="AO41" s="101">
        <f t="shared" ref="AO41:AU41" si="136">SUM(AO28:AO29)</f>
        <v>0</v>
      </c>
      <c r="AP41" s="101">
        <f t="shared" si="136"/>
        <v>0</v>
      </c>
      <c r="AQ41" s="101">
        <f t="shared" si="136"/>
        <v>0</v>
      </c>
      <c r="AR41" s="101">
        <f t="shared" si="136"/>
        <v>0</v>
      </c>
      <c r="AS41" s="101">
        <f t="shared" si="136"/>
        <v>0</v>
      </c>
      <c r="AT41" s="101">
        <f t="shared" si="136"/>
        <v>0</v>
      </c>
      <c r="AU41" s="101">
        <f t="shared" si="136"/>
        <v>0</v>
      </c>
      <c r="AW41" s="101">
        <f>SUM(AW28:AW29)</f>
        <v>0</v>
      </c>
      <c r="AX41" s="101">
        <f t="shared" ref="AX41:BD41" si="137">SUM(AX28:AX29)</f>
        <v>0</v>
      </c>
      <c r="AY41" s="101">
        <f t="shared" si="137"/>
        <v>0</v>
      </c>
      <c r="AZ41" s="101">
        <f t="shared" si="137"/>
        <v>0</v>
      </c>
      <c r="BA41" s="101">
        <f t="shared" si="137"/>
        <v>0</v>
      </c>
      <c r="BB41" s="101">
        <f t="shared" si="137"/>
        <v>0</v>
      </c>
      <c r="BC41" s="101">
        <f t="shared" si="137"/>
        <v>0</v>
      </c>
      <c r="BD41" s="101">
        <f t="shared" si="137"/>
        <v>0</v>
      </c>
    </row>
    <row r="42" spans="2:56" x14ac:dyDescent="0.25">
      <c r="B42" s="54" t="s">
        <v>146</v>
      </c>
      <c r="C42" s="98" t="s">
        <v>152</v>
      </c>
      <c r="D42" s="88">
        <f>IFERROR(D32/D41,0)</f>
        <v>0</v>
      </c>
      <c r="E42" s="88">
        <f t="shared" ref="E42:K42" si="138">IFERROR(E32/E41,0)</f>
        <v>0</v>
      </c>
      <c r="F42" s="88">
        <f t="shared" si="138"/>
        <v>0</v>
      </c>
      <c r="G42" s="88">
        <f t="shared" si="138"/>
        <v>0</v>
      </c>
      <c r="H42" s="88">
        <f t="shared" si="138"/>
        <v>0</v>
      </c>
      <c r="I42" s="88">
        <f t="shared" si="138"/>
        <v>0</v>
      </c>
      <c r="J42" s="88">
        <f t="shared" si="138"/>
        <v>0</v>
      </c>
      <c r="K42" s="88">
        <f t="shared" si="138"/>
        <v>0</v>
      </c>
      <c r="M42" s="88">
        <f>IFERROR(M32/M41,0)</f>
        <v>0</v>
      </c>
      <c r="N42" s="88">
        <f t="shared" ref="N42" si="139">IFERROR(N32/N41,0)</f>
        <v>0</v>
      </c>
      <c r="O42" s="88">
        <f t="shared" ref="O42" si="140">IFERROR(O32/O41,0)</f>
        <v>0</v>
      </c>
      <c r="P42" s="88">
        <f t="shared" ref="P42" si="141">IFERROR(P32/P41,0)</f>
        <v>0</v>
      </c>
      <c r="Q42" s="88">
        <f t="shared" ref="Q42" si="142">IFERROR(Q32/Q41,0)</f>
        <v>0</v>
      </c>
      <c r="R42" s="88">
        <f t="shared" ref="R42" si="143">IFERROR(R32/R41,0)</f>
        <v>0</v>
      </c>
      <c r="S42" s="88">
        <f t="shared" ref="S42" si="144">IFERROR(S32/S41,0)</f>
        <v>0</v>
      </c>
      <c r="T42" s="88">
        <f t="shared" ref="T42" si="145">IFERROR(T32/T41,0)</f>
        <v>0</v>
      </c>
      <c r="V42" s="88">
        <f>IFERROR(V32/V41,0)</f>
        <v>0</v>
      </c>
      <c r="W42" s="88">
        <f t="shared" ref="W42" si="146">IFERROR(W32/W41,0)</f>
        <v>0</v>
      </c>
      <c r="X42" s="88">
        <f t="shared" ref="X42" si="147">IFERROR(X32/X41,0)</f>
        <v>0</v>
      </c>
      <c r="Y42" s="88">
        <f t="shared" ref="Y42" si="148">IFERROR(Y32/Y41,0)</f>
        <v>0</v>
      </c>
      <c r="Z42" s="88">
        <f t="shared" ref="Z42" si="149">IFERROR(Z32/Z41,0)</f>
        <v>0</v>
      </c>
      <c r="AA42" s="88">
        <f t="shared" ref="AA42" si="150">IFERROR(AA32/AA41,0)</f>
        <v>0</v>
      </c>
      <c r="AB42" s="88">
        <f t="shared" ref="AB42" si="151">IFERROR(AB32/AB41,0)</f>
        <v>0</v>
      </c>
      <c r="AC42" s="88">
        <f t="shared" ref="AC42" si="152">IFERROR(AC32/AC41,0)</f>
        <v>0</v>
      </c>
      <c r="AE42" s="88">
        <f>IFERROR(AE32/AE41,0)</f>
        <v>0</v>
      </c>
      <c r="AF42" s="88">
        <f t="shared" ref="AF42" si="153">IFERROR(AF32/AF41,0)</f>
        <v>0</v>
      </c>
      <c r="AG42" s="88">
        <f t="shared" ref="AG42" si="154">IFERROR(AG32/AG41,0)</f>
        <v>0</v>
      </c>
      <c r="AH42" s="88">
        <f t="shared" ref="AH42" si="155">IFERROR(AH32/AH41,0)</f>
        <v>0</v>
      </c>
      <c r="AI42" s="88">
        <f t="shared" ref="AI42" si="156">IFERROR(AI32/AI41,0)</f>
        <v>0</v>
      </c>
      <c r="AJ42" s="88">
        <f t="shared" ref="AJ42" si="157">IFERROR(AJ32/AJ41,0)</f>
        <v>0</v>
      </c>
      <c r="AK42" s="88">
        <f t="shared" ref="AK42" si="158">IFERROR(AK32/AK41,0)</f>
        <v>0</v>
      </c>
      <c r="AL42" s="88">
        <f t="shared" ref="AL42" si="159">IFERROR(AL32/AL41,0)</f>
        <v>0</v>
      </c>
      <c r="AN42" s="88">
        <f>IFERROR(AN32/AN41,0)</f>
        <v>0</v>
      </c>
      <c r="AO42" s="88">
        <f t="shared" ref="AO42" si="160">IFERROR(AO32/AO41,0)</f>
        <v>0</v>
      </c>
      <c r="AP42" s="88">
        <f t="shared" ref="AP42" si="161">IFERROR(AP32/AP41,0)</f>
        <v>0</v>
      </c>
      <c r="AQ42" s="88">
        <f t="shared" ref="AQ42" si="162">IFERROR(AQ32/AQ41,0)</f>
        <v>0</v>
      </c>
      <c r="AR42" s="88">
        <f t="shared" ref="AR42" si="163">IFERROR(AR32/AR41,0)</f>
        <v>0</v>
      </c>
      <c r="AS42" s="88">
        <f t="shared" ref="AS42" si="164">IFERROR(AS32/AS41,0)</f>
        <v>0</v>
      </c>
      <c r="AT42" s="88">
        <f t="shared" ref="AT42" si="165">IFERROR(AT32/AT41,0)</f>
        <v>0</v>
      </c>
      <c r="AU42" s="88">
        <f t="shared" ref="AU42" si="166">IFERROR(AU32/AU41,0)</f>
        <v>0</v>
      </c>
      <c r="AW42" s="88">
        <f>IFERROR(AW32/AW41,0)</f>
        <v>0</v>
      </c>
      <c r="AX42" s="88">
        <f t="shared" ref="AX42" si="167">IFERROR(AX32/AX41,0)</f>
        <v>0</v>
      </c>
      <c r="AY42" s="88">
        <f t="shared" ref="AY42" si="168">IFERROR(AY32/AY41,0)</f>
        <v>0</v>
      </c>
      <c r="AZ42" s="88">
        <f t="shared" ref="AZ42" si="169">IFERROR(AZ32/AZ41,0)</f>
        <v>0</v>
      </c>
      <c r="BA42" s="88">
        <f t="shared" ref="BA42" si="170">IFERROR(BA32/BA41,0)</f>
        <v>0</v>
      </c>
      <c r="BB42" s="88">
        <f t="shared" ref="BB42" si="171">IFERROR(BB32/BB41,0)</f>
        <v>0</v>
      </c>
      <c r="BC42" s="88">
        <f t="shared" ref="BC42" si="172">IFERROR(BC32/BC41,0)</f>
        <v>0</v>
      </c>
      <c r="BD42" s="88">
        <f t="shared" ref="BD42" si="173">IFERROR(BD32/BD41,0)</f>
        <v>0</v>
      </c>
    </row>
    <row r="43" spans="2:56" x14ac:dyDescent="0.25">
      <c r="B43" s="54"/>
      <c r="C43" s="91"/>
      <c r="D43" s="54"/>
      <c r="E43" s="54"/>
      <c r="F43" s="54"/>
      <c r="G43" s="54"/>
      <c r="H43" s="54"/>
      <c r="I43" s="54"/>
      <c r="J43" s="54"/>
      <c r="K43" s="54"/>
      <c r="M43" s="54"/>
      <c r="N43" s="54"/>
      <c r="O43" s="54"/>
      <c r="P43" s="54"/>
      <c r="Q43" s="54"/>
      <c r="R43" s="54"/>
      <c r="S43" s="54"/>
      <c r="T43" s="54"/>
      <c r="V43" s="54"/>
      <c r="W43" s="54"/>
      <c r="X43" s="54"/>
      <c r="Y43" s="54"/>
      <c r="Z43" s="54"/>
      <c r="AA43" s="54"/>
      <c r="AB43" s="54"/>
      <c r="AC43" s="54"/>
      <c r="AE43" s="54"/>
      <c r="AF43" s="54"/>
      <c r="AG43" s="54"/>
      <c r="AH43" s="54"/>
      <c r="AI43" s="54"/>
      <c r="AJ43" s="54"/>
      <c r="AK43" s="54"/>
      <c r="AL43" s="54"/>
      <c r="AN43" s="54"/>
      <c r="AO43" s="54"/>
      <c r="AP43" s="54"/>
      <c r="AQ43" s="54"/>
      <c r="AR43" s="54"/>
      <c r="AS43" s="54"/>
      <c r="AT43" s="54"/>
      <c r="AU43" s="54"/>
      <c r="AW43" s="54"/>
      <c r="AX43" s="54"/>
      <c r="AY43" s="54"/>
      <c r="AZ43" s="54"/>
      <c r="BA43" s="54"/>
      <c r="BB43" s="54"/>
      <c r="BC43" s="54"/>
      <c r="BD43" s="54"/>
    </row>
    <row r="44" spans="2:56" x14ac:dyDescent="0.25">
      <c r="B44" s="54" t="s">
        <v>147</v>
      </c>
      <c r="C44" s="94" t="s">
        <v>63</v>
      </c>
      <c r="D44" s="101">
        <f>NPV(wacc,G32:K32)</f>
        <v>0</v>
      </c>
      <c r="E44" s="54"/>
      <c r="F44" s="54"/>
      <c r="G44" s="54"/>
      <c r="H44" s="54"/>
      <c r="I44" s="54"/>
      <c r="J44" s="54"/>
      <c r="K44" s="54"/>
      <c r="M44" s="101">
        <f>NPV(wacc,P32:T32)</f>
        <v>0</v>
      </c>
      <c r="N44" s="54"/>
      <c r="O44" s="54"/>
      <c r="P44" s="54"/>
      <c r="Q44" s="54"/>
      <c r="R44" s="54"/>
      <c r="S44" s="54"/>
      <c r="T44" s="54"/>
      <c r="V44" s="101">
        <f>NPV(wacc,Y32:AC32)</f>
        <v>0</v>
      </c>
      <c r="W44" s="54"/>
      <c r="X44" s="54"/>
      <c r="Y44" s="54"/>
      <c r="Z44" s="54"/>
      <c r="AA44" s="54"/>
      <c r="AB44" s="54"/>
      <c r="AC44" s="54"/>
      <c r="AE44" s="101">
        <f>NPV(wacc,AH32:AL32)</f>
        <v>0</v>
      </c>
      <c r="AF44" s="54"/>
      <c r="AG44" s="54"/>
      <c r="AH44" s="54"/>
      <c r="AI44" s="54"/>
      <c r="AJ44" s="54"/>
      <c r="AK44" s="54"/>
      <c r="AL44" s="54"/>
      <c r="AN44" s="101">
        <f>NPV(wacc,AQ32:AU32)</f>
        <v>0</v>
      </c>
      <c r="AO44" s="54"/>
      <c r="AP44" s="54"/>
      <c r="AQ44" s="54"/>
      <c r="AR44" s="54"/>
      <c r="AS44" s="54"/>
      <c r="AT44" s="54"/>
      <c r="AU44" s="54"/>
      <c r="AW44" s="101">
        <f>NPV(wacc,AZ32:BD32)</f>
        <v>0</v>
      </c>
      <c r="AX44" s="54"/>
      <c r="AY44" s="54"/>
      <c r="AZ44" s="54"/>
      <c r="BA44" s="54"/>
      <c r="BB44" s="54"/>
      <c r="BC44" s="54"/>
      <c r="BD44" s="54"/>
    </row>
    <row r="45" spans="2:56" x14ac:dyDescent="0.25">
      <c r="B45" s="54" t="s">
        <v>148</v>
      </c>
      <c r="C45" s="94" t="s">
        <v>63</v>
      </c>
      <c r="D45" s="101">
        <f>(K32*(1+tv_growth)/(wacc-tv_growth))/(1+wacc)^5</f>
        <v>0</v>
      </c>
      <c r="E45" s="54"/>
      <c r="F45" s="54"/>
      <c r="G45" s="54"/>
      <c r="H45" s="54"/>
      <c r="I45" s="54"/>
      <c r="J45" s="54"/>
      <c r="K45" s="54"/>
      <c r="M45" s="101">
        <f>(T32*(1+tv_growth)/(wacc-tv_growth))/(1+wacc)^5</f>
        <v>0</v>
      </c>
      <c r="N45" s="54"/>
      <c r="O45" s="54"/>
      <c r="P45" s="54"/>
      <c r="Q45" s="54"/>
      <c r="R45" s="54"/>
      <c r="S45" s="54"/>
      <c r="T45" s="54"/>
      <c r="V45" s="101">
        <f>(AC32*(1+tv_growth)/(wacc-tv_growth))/(1+wacc)^5</f>
        <v>0</v>
      </c>
      <c r="W45" s="54"/>
      <c r="X45" s="54"/>
      <c r="Y45" s="54"/>
      <c r="Z45" s="54"/>
      <c r="AA45" s="54"/>
      <c r="AB45" s="54"/>
      <c r="AC45" s="54"/>
      <c r="AE45" s="101">
        <f>(AL32*(1+tv_growth)/(wacc-tv_growth))/(1+wacc)^5</f>
        <v>0</v>
      </c>
      <c r="AF45" s="54"/>
      <c r="AG45" s="54"/>
      <c r="AH45" s="54"/>
      <c r="AI45" s="54"/>
      <c r="AJ45" s="54"/>
      <c r="AK45" s="54"/>
      <c r="AL45" s="54"/>
      <c r="AN45" s="101">
        <f>(AU32*(1+tv_growth)/(wacc-tv_growth))/(1+wacc)^5</f>
        <v>0</v>
      </c>
      <c r="AO45" s="54"/>
      <c r="AP45" s="54"/>
      <c r="AQ45" s="54"/>
      <c r="AR45" s="54"/>
      <c r="AS45" s="54"/>
      <c r="AT45" s="54"/>
      <c r="AU45" s="54"/>
      <c r="AW45" s="101">
        <f>(BD32*(1+tv_growth)/(wacc-tv_growth))/(1+wacc)^5</f>
        <v>0</v>
      </c>
      <c r="AX45" s="54"/>
      <c r="AY45" s="54"/>
      <c r="AZ45" s="54"/>
      <c r="BA45" s="54"/>
      <c r="BB45" s="54"/>
      <c r="BC45" s="54"/>
      <c r="BD45" s="54"/>
    </row>
    <row r="46" spans="2:56" ht="15.75" thickBot="1" x14ac:dyDescent="0.3">
      <c r="B46" s="54" t="s">
        <v>149</v>
      </c>
      <c r="C46" s="94" t="s">
        <v>63</v>
      </c>
      <c r="D46" s="103">
        <f>SUM(D44:D45)</f>
        <v>0</v>
      </c>
      <c r="E46" s="54"/>
      <c r="F46" s="54"/>
      <c r="G46" s="54"/>
      <c r="H46" s="54"/>
      <c r="I46" s="54"/>
      <c r="J46" s="54"/>
      <c r="K46" s="54"/>
      <c r="M46" s="103">
        <f>SUM(M44:M45)</f>
        <v>0</v>
      </c>
      <c r="N46" s="54"/>
      <c r="O46" s="54"/>
      <c r="P46" s="54"/>
      <c r="Q46" s="54"/>
      <c r="R46" s="54"/>
      <c r="S46" s="54"/>
      <c r="T46" s="54"/>
      <c r="V46" s="103">
        <f>SUM(V44:V45)</f>
        <v>0</v>
      </c>
      <c r="W46" s="54"/>
      <c r="X46" s="54"/>
      <c r="Y46" s="54"/>
      <c r="Z46" s="54"/>
      <c r="AA46" s="54"/>
      <c r="AB46" s="54"/>
      <c r="AC46" s="54"/>
      <c r="AE46" s="103">
        <f>SUM(AE44:AE45)</f>
        <v>0</v>
      </c>
      <c r="AF46" s="54"/>
      <c r="AG46" s="54"/>
      <c r="AH46" s="54"/>
      <c r="AI46" s="54"/>
      <c r="AJ46" s="54"/>
      <c r="AK46" s="54"/>
      <c r="AL46" s="54"/>
      <c r="AN46" s="103">
        <f>SUM(AN44:AN45)</f>
        <v>0</v>
      </c>
      <c r="AO46" s="54"/>
      <c r="AP46" s="54"/>
      <c r="AQ46" s="54"/>
      <c r="AR46" s="54"/>
      <c r="AS46" s="54"/>
      <c r="AT46" s="54"/>
      <c r="AU46" s="54"/>
      <c r="AW46" s="103">
        <f>SUM(AW44:AW45)</f>
        <v>0</v>
      </c>
      <c r="AX46" s="54"/>
      <c r="AY46" s="54"/>
      <c r="AZ46" s="54"/>
      <c r="BA46" s="54"/>
      <c r="BB46" s="54"/>
      <c r="BC46" s="54"/>
      <c r="BD46" s="54"/>
    </row>
    <row r="47" spans="2:56" ht="15.75" thickTop="1" x14ac:dyDescent="0.25">
      <c r="B47" s="54"/>
      <c r="C47" s="91"/>
      <c r="D47" s="54"/>
      <c r="E47" s="54"/>
      <c r="F47" s="54"/>
      <c r="G47" s="54"/>
      <c r="H47" s="54"/>
      <c r="I47" s="54"/>
      <c r="J47" s="54"/>
      <c r="K47" s="54"/>
      <c r="M47" s="54"/>
      <c r="N47" s="54"/>
      <c r="O47" s="54"/>
      <c r="P47" s="54"/>
      <c r="Q47" s="54"/>
      <c r="R47" s="54"/>
      <c r="S47" s="54"/>
      <c r="T47" s="54"/>
      <c r="V47" s="54"/>
      <c r="W47" s="54"/>
      <c r="X47" s="54"/>
      <c r="Y47" s="54"/>
      <c r="Z47" s="54"/>
      <c r="AA47" s="54"/>
      <c r="AB47" s="54"/>
      <c r="AC47" s="54"/>
      <c r="AE47" s="54"/>
      <c r="AF47" s="54"/>
      <c r="AG47" s="54"/>
      <c r="AH47" s="54"/>
      <c r="AI47" s="54"/>
      <c r="AJ47" s="54"/>
      <c r="AK47" s="54"/>
      <c r="AL47" s="54"/>
      <c r="AN47" s="54"/>
      <c r="AO47" s="54"/>
      <c r="AP47" s="54"/>
      <c r="AQ47" s="54"/>
      <c r="AR47" s="54"/>
      <c r="AS47" s="54"/>
      <c r="AT47" s="54"/>
      <c r="AU47" s="54"/>
      <c r="AW47" s="54"/>
      <c r="AX47" s="54"/>
      <c r="AY47" s="54"/>
      <c r="AZ47" s="54"/>
      <c r="BA47" s="54"/>
      <c r="BB47" s="54"/>
      <c r="BC47" s="54"/>
      <c r="BD47" s="54"/>
    </row>
    <row r="48" spans="2:56" x14ac:dyDescent="0.25">
      <c r="B48" s="4" t="s">
        <v>150</v>
      </c>
      <c r="C48" s="99" t="s">
        <v>151</v>
      </c>
      <c r="D48" s="101" cm="1">
        <f t="array" ref="D48">IFERROR(MATCH(TRUE,G32:K32&gt;=0,0),"5+")</f>
        <v>1</v>
      </c>
      <c r="E48" s="54"/>
      <c r="F48" s="54"/>
      <c r="G48" s="54"/>
      <c r="H48" s="54"/>
      <c r="I48" s="54"/>
      <c r="J48" s="54"/>
      <c r="K48" s="54"/>
      <c r="M48" s="101" cm="1">
        <f t="array" ref="M48">IFERROR(MATCH(TRUE,P32:T32&gt;=0,0),"5+")</f>
        <v>1</v>
      </c>
      <c r="N48" s="54"/>
      <c r="O48" s="54"/>
      <c r="P48" s="54"/>
      <c r="Q48" s="54"/>
      <c r="R48" s="54"/>
      <c r="S48" s="54"/>
      <c r="T48" s="54"/>
      <c r="V48" s="101" cm="1">
        <f t="array" ref="V48">IFERROR(MATCH(TRUE,Y32:AC32&gt;=0,0),"5+")</f>
        <v>1</v>
      </c>
      <c r="W48" s="54"/>
      <c r="X48" s="54"/>
      <c r="Y48" s="54"/>
      <c r="Z48" s="54"/>
      <c r="AA48" s="54"/>
      <c r="AB48" s="54"/>
      <c r="AC48" s="54"/>
      <c r="AE48" s="101" cm="1">
        <f t="array" ref="AE48">IFERROR(MATCH(TRUE,AH32:AL32&gt;=0,0),"5+")</f>
        <v>1</v>
      </c>
      <c r="AF48" s="54"/>
      <c r="AG48" s="54"/>
      <c r="AH48" s="54"/>
      <c r="AI48" s="54"/>
      <c r="AJ48" s="54"/>
      <c r="AK48" s="54"/>
      <c r="AL48" s="54"/>
      <c r="AN48" s="101" cm="1">
        <f t="array" ref="AN48">IFERROR(MATCH(TRUE,AQ32:AU32&gt;=0,0),"5+")</f>
        <v>1</v>
      </c>
      <c r="AO48" s="54"/>
      <c r="AP48" s="54"/>
      <c r="AQ48" s="54"/>
      <c r="AR48" s="54"/>
      <c r="AS48" s="54"/>
      <c r="AT48" s="54"/>
      <c r="AU48" s="54"/>
      <c r="AW48" s="101" cm="1">
        <f t="array" ref="AW48">IFERROR(MATCH(TRUE,AZ32:BD32&gt;=0,0),"5+")</f>
        <v>1</v>
      </c>
      <c r="AX48" s="54"/>
      <c r="AY48" s="54"/>
      <c r="AZ48" s="54"/>
      <c r="BA48" s="54"/>
      <c r="BB48" s="54"/>
      <c r="BC48" s="54"/>
      <c r="BD48" s="5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1E0EA-28FD-4E57-861A-CAC2D7973448}">
  <sheetPr>
    <tabColor theme="9" tint="0.79998168889431442"/>
  </sheetPr>
  <dimension ref="B3:AJ600"/>
  <sheetViews>
    <sheetView showGridLines="0" zoomScale="80" zoomScaleNormal="80" workbookViewId="0">
      <selection activeCell="X510" sqref="X510"/>
    </sheetView>
  </sheetViews>
  <sheetFormatPr defaultRowHeight="15" outlineLevelRow="1" outlineLevelCol="1" x14ac:dyDescent="0.25"/>
  <cols>
    <col min="1" max="1" width="3.85546875" customWidth="1"/>
    <col min="2" max="3" width="5.7109375" customWidth="1"/>
    <col min="4" max="4" width="3.85546875" customWidth="1"/>
    <col min="5" max="5" width="14.140625" customWidth="1"/>
    <col min="6" max="8" width="7.7109375" customWidth="1"/>
    <col min="9" max="12" width="7.7109375" customWidth="1" outlineLevel="1"/>
    <col min="13" max="13" width="7.7109375" customWidth="1"/>
    <col min="14" max="17" width="7.7109375" customWidth="1" outlineLevel="1"/>
    <col min="18" max="21" width="8.5703125" bestFit="1" customWidth="1"/>
    <col min="23" max="23" width="14.42578125" bestFit="1" customWidth="1"/>
  </cols>
  <sheetData>
    <row r="3" spans="2:36" ht="18.75" x14ac:dyDescent="0.3">
      <c r="B3" s="4" t="s">
        <v>34</v>
      </c>
      <c r="C3" s="4" t="s">
        <v>387</v>
      </c>
      <c r="E3" s="53" t="str">
        <f>"Scenario 1: "&amp;Inputs!B22</f>
        <v>Scenario 1: Scenario 1</v>
      </c>
      <c r="F3" s="49"/>
      <c r="G3" s="49"/>
      <c r="H3" s="49"/>
      <c r="I3" s="49"/>
      <c r="J3" s="49"/>
      <c r="K3" s="49"/>
      <c r="L3" s="49"/>
      <c r="M3" s="49"/>
      <c r="N3" s="49"/>
      <c r="O3" s="49"/>
      <c r="P3" s="49"/>
      <c r="Q3" s="49"/>
      <c r="R3" s="49"/>
      <c r="S3" s="49"/>
      <c r="T3" s="49"/>
      <c r="U3" s="49"/>
    </row>
    <row r="4" spans="2:36" hidden="1" outlineLevel="1" x14ac:dyDescent="0.25">
      <c r="E4" s="52" t="str">
        <f>Inputs!C22</f>
        <v>Scenario 1 Description</v>
      </c>
    </row>
    <row r="5" spans="2:36" hidden="1" outlineLevel="1" x14ac:dyDescent="0.25"/>
    <row r="6" spans="2:36" hidden="1" outlineLevel="1" x14ac:dyDescent="0.25"/>
    <row r="7" spans="2:36" hidden="1" outlineLevel="1" x14ac:dyDescent="0.25">
      <c r="E7" s="4" t="s">
        <v>23</v>
      </c>
      <c r="W7" s="4" t="s">
        <v>23</v>
      </c>
    </row>
    <row r="8" spans="2:36" hidden="1" outlineLevel="1" x14ac:dyDescent="0.25">
      <c r="E8" s="6" t="s">
        <v>25</v>
      </c>
      <c r="W8" s="61" t="s">
        <v>62</v>
      </c>
    </row>
    <row r="9" spans="2:36" hidden="1" outlineLevel="1" x14ac:dyDescent="0.25"/>
    <row r="10" spans="2:36" hidden="1" outlineLevel="1" x14ac:dyDescent="0.25">
      <c r="F10" s="12">
        <f>Inputs!$C$7</f>
        <v>2023</v>
      </c>
      <c r="G10" s="12">
        <f>Inputs!$C$8</f>
        <v>2024</v>
      </c>
      <c r="H10" s="12">
        <f>Inputs!$C$9</f>
        <v>2025</v>
      </c>
      <c r="I10" s="13" t="s">
        <v>1</v>
      </c>
      <c r="J10" s="13" t="s">
        <v>2</v>
      </c>
      <c r="K10" s="13" t="s">
        <v>3</v>
      </c>
      <c r="L10" s="13" t="s">
        <v>4</v>
      </c>
      <c r="M10" s="13">
        <f>Inputs!$C$10</f>
        <v>2026</v>
      </c>
      <c r="N10" s="14" t="s">
        <v>1</v>
      </c>
      <c r="O10" s="14" t="s">
        <v>2</v>
      </c>
      <c r="P10" s="14" t="s">
        <v>3</v>
      </c>
      <c r="Q10" s="14" t="s">
        <v>4</v>
      </c>
      <c r="R10" s="15">
        <f>Inputs!$C$11</f>
        <v>2027</v>
      </c>
      <c r="S10" s="16">
        <f>Inputs!$C$12</f>
        <v>2028</v>
      </c>
      <c r="T10" s="16">
        <f>Inputs!$C$13</f>
        <v>2029</v>
      </c>
      <c r="U10" s="16">
        <f>Inputs!$C$14</f>
        <v>2030</v>
      </c>
      <c r="X10" s="13" t="s">
        <v>1</v>
      </c>
      <c r="Y10" s="13" t="s">
        <v>2</v>
      </c>
      <c r="Z10" s="13" t="s">
        <v>3</v>
      </c>
      <c r="AA10" s="13" t="s">
        <v>4</v>
      </c>
      <c r="AB10" s="13">
        <f>Inputs!$C$10</f>
        <v>2026</v>
      </c>
      <c r="AC10" s="14" t="s">
        <v>1</v>
      </c>
      <c r="AD10" s="14" t="s">
        <v>2</v>
      </c>
      <c r="AE10" s="14" t="s">
        <v>3</v>
      </c>
      <c r="AF10" s="14" t="s">
        <v>4</v>
      </c>
      <c r="AG10" s="15">
        <f>Inputs!$C$11</f>
        <v>2027</v>
      </c>
      <c r="AH10" s="16">
        <f>Inputs!$C$12</f>
        <v>2028</v>
      </c>
      <c r="AI10" s="16">
        <f>Inputs!$C$13</f>
        <v>2029</v>
      </c>
      <c r="AJ10" s="16">
        <f>Inputs!$C$14</f>
        <v>2030</v>
      </c>
    </row>
    <row r="11" spans="2:36" hidden="1" outlineLevel="1" x14ac:dyDescent="0.25">
      <c r="F11" s="71" t="s">
        <v>63</v>
      </c>
      <c r="G11" s="71" t="s">
        <v>63</v>
      </c>
      <c r="H11" s="71" t="s">
        <v>63</v>
      </c>
      <c r="I11" s="71" t="s">
        <v>63</v>
      </c>
      <c r="J11" s="71" t="s">
        <v>63</v>
      </c>
      <c r="K11" s="71" t="s">
        <v>63</v>
      </c>
      <c r="L11" s="71" t="s">
        <v>63</v>
      </c>
      <c r="M11" s="71" t="s">
        <v>63</v>
      </c>
      <c r="N11" s="71" t="s">
        <v>63</v>
      </c>
      <c r="O11" s="71" t="s">
        <v>63</v>
      </c>
      <c r="P11" s="71" t="s">
        <v>63</v>
      </c>
      <c r="Q11" s="71" t="s">
        <v>63</v>
      </c>
      <c r="R11" s="71" t="s">
        <v>63</v>
      </c>
      <c r="S11" s="71" t="s">
        <v>63</v>
      </c>
      <c r="T11" s="71" t="s">
        <v>63</v>
      </c>
      <c r="U11" s="71" t="s">
        <v>63</v>
      </c>
      <c r="X11" s="63" t="s">
        <v>30</v>
      </c>
      <c r="Y11" s="63" t="s">
        <v>30</v>
      </c>
      <c r="Z11" s="63" t="s">
        <v>30</v>
      </c>
      <c r="AA11" s="63" t="s">
        <v>30</v>
      </c>
      <c r="AB11" s="62"/>
      <c r="AC11" s="63" t="s">
        <v>30</v>
      </c>
      <c r="AD11" s="63" t="s">
        <v>30</v>
      </c>
      <c r="AE11" s="63" t="s">
        <v>30</v>
      </c>
      <c r="AF11" s="63" t="s">
        <v>30</v>
      </c>
      <c r="AG11" s="62"/>
      <c r="AH11" s="63" t="s">
        <v>30</v>
      </c>
      <c r="AI11" s="63" t="s">
        <v>30</v>
      </c>
      <c r="AJ11" s="63" t="s">
        <v>30</v>
      </c>
    </row>
    <row r="12" spans="2:36" hidden="1" outlineLevel="1" x14ac:dyDescent="0.25">
      <c r="B12" s="229" t="s">
        <v>195</v>
      </c>
      <c r="C12" s="229" t="s">
        <v>195</v>
      </c>
      <c r="E12" s="78" t="s">
        <v>67</v>
      </c>
      <c r="F12" s="21">
        <f>F512</f>
        <v>0</v>
      </c>
      <c r="G12" s="21">
        <f t="shared" ref="G12:H12" si="0">G512</f>
        <v>0</v>
      </c>
      <c r="H12" s="21">
        <f t="shared" si="0"/>
        <v>0</v>
      </c>
      <c r="I12" s="10">
        <f>IF(X12="",I512,X12)</f>
        <v>0</v>
      </c>
      <c r="J12" s="10">
        <f t="shared" ref="J12:L12" si="1">IF(Y12="",J512,Y12)</f>
        <v>0</v>
      </c>
      <c r="K12" s="10">
        <f t="shared" si="1"/>
        <v>0</v>
      </c>
      <c r="L12" s="10">
        <f t="shared" si="1"/>
        <v>0</v>
      </c>
      <c r="M12" s="17">
        <f t="shared" ref="M12:M18" si="2">SUM(I12:L12)</f>
        <v>0</v>
      </c>
      <c r="N12" s="10">
        <f t="shared" ref="N12:Q18" si="3">IF(AC12="",N512,AC12)</f>
        <v>0</v>
      </c>
      <c r="O12" s="10">
        <f t="shared" si="3"/>
        <v>0</v>
      </c>
      <c r="P12" s="10">
        <f t="shared" si="3"/>
        <v>0</v>
      </c>
      <c r="Q12" s="10">
        <f t="shared" si="3"/>
        <v>0</v>
      </c>
      <c r="R12" s="22">
        <f t="shared" ref="R12:R18" si="4">SUM(N12:Q12)</f>
        <v>0</v>
      </c>
      <c r="S12" s="23">
        <f t="shared" ref="S12:U18" si="5">IF(AH12="",S512,AH12)</f>
        <v>0</v>
      </c>
      <c r="T12" s="23">
        <f t="shared" si="5"/>
        <v>0</v>
      </c>
      <c r="U12" s="23">
        <f t="shared" si="5"/>
        <v>0</v>
      </c>
      <c r="W12" s="79" t="str">
        <f>E12</f>
        <v>Product Line 1</v>
      </c>
      <c r="X12" s="64"/>
      <c r="Y12" s="64"/>
      <c r="Z12" s="64"/>
      <c r="AA12" s="64"/>
      <c r="AB12" s="60"/>
      <c r="AC12" s="64"/>
      <c r="AD12" s="64"/>
      <c r="AE12" s="64"/>
      <c r="AF12" s="64"/>
      <c r="AG12" s="60"/>
      <c r="AH12" s="64"/>
      <c r="AI12" s="64"/>
      <c r="AJ12" s="64"/>
    </row>
    <row r="13" spans="2:36" hidden="1" outlineLevel="1" x14ac:dyDescent="0.25">
      <c r="B13" s="229" t="s">
        <v>195</v>
      </c>
      <c r="C13" s="229" t="s">
        <v>195</v>
      </c>
      <c r="E13" s="78" t="s">
        <v>68</v>
      </c>
      <c r="F13" s="21">
        <f t="shared" ref="F13:H18" si="6">F513</f>
        <v>0</v>
      </c>
      <c r="G13" s="21">
        <f t="shared" si="6"/>
        <v>0</v>
      </c>
      <c r="H13" s="21">
        <f t="shared" si="6"/>
        <v>0</v>
      </c>
      <c r="I13" s="10">
        <f t="shared" ref="I13:L13" si="7">IF(X13="",I513,X13)</f>
        <v>0</v>
      </c>
      <c r="J13" s="10">
        <f t="shared" si="7"/>
        <v>0</v>
      </c>
      <c r="K13" s="10">
        <f t="shared" si="7"/>
        <v>0</v>
      </c>
      <c r="L13" s="10">
        <f t="shared" si="7"/>
        <v>0</v>
      </c>
      <c r="M13" s="17">
        <f t="shared" si="2"/>
        <v>0</v>
      </c>
      <c r="N13" s="10">
        <f t="shared" si="3"/>
        <v>0</v>
      </c>
      <c r="O13" s="10">
        <f t="shared" si="3"/>
        <v>0</v>
      </c>
      <c r="P13" s="10">
        <f t="shared" si="3"/>
        <v>0</v>
      </c>
      <c r="Q13" s="10">
        <f t="shared" si="3"/>
        <v>0</v>
      </c>
      <c r="R13" s="22">
        <f t="shared" si="4"/>
        <v>0</v>
      </c>
      <c r="S13" s="23">
        <f t="shared" si="5"/>
        <v>0</v>
      </c>
      <c r="T13" s="23">
        <f t="shared" si="5"/>
        <v>0</v>
      </c>
      <c r="U13" s="23">
        <f t="shared" si="5"/>
        <v>0</v>
      </c>
      <c r="W13" s="79" t="str">
        <f t="shared" ref="W13:W18" si="8">E13</f>
        <v>Product Line 2</v>
      </c>
      <c r="X13" s="64"/>
      <c r="Y13" s="64"/>
      <c r="Z13" s="64"/>
      <c r="AA13" s="64"/>
      <c r="AB13" s="60"/>
      <c r="AC13" s="64"/>
      <c r="AD13" s="64"/>
      <c r="AE13" s="64"/>
      <c r="AF13" s="64"/>
      <c r="AG13" s="60"/>
      <c r="AH13" s="64"/>
      <c r="AI13" s="64"/>
      <c r="AJ13" s="64"/>
    </row>
    <row r="14" spans="2:36" hidden="1" outlineLevel="1" x14ac:dyDescent="0.25">
      <c r="B14" s="229" t="s">
        <v>195</v>
      </c>
      <c r="C14" s="229" t="s">
        <v>195</v>
      </c>
      <c r="E14" s="78" t="s">
        <v>69</v>
      </c>
      <c r="F14" s="21">
        <f t="shared" si="6"/>
        <v>0</v>
      </c>
      <c r="G14" s="21">
        <f t="shared" si="6"/>
        <v>0</v>
      </c>
      <c r="H14" s="21">
        <f t="shared" si="6"/>
        <v>0</v>
      </c>
      <c r="I14" s="10">
        <f t="shared" ref="I14:L14" si="9">IF(X14="",I514,X14)</f>
        <v>0</v>
      </c>
      <c r="J14" s="10">
        <f t="shared" si="9"/>
        <v>0</v>
      </c>
      <c r="K14" s="10">
        <f t="shared" si="9"/>
        <v>0</v>
      </c>
      <c r="L14" s="10">
        <f t="shared" si="9"/>
        <v>0</v>
      </c>
      <c r="M14" s="17">
        <f t="shared" si="2"/>
        <v>0</v>
      </c>
      <c r="N14" s="10">
        <f t="shared" si="3"/>
        <v>0</v>
      </c>
      <c r="O14" s="10">
        <f t="shared" si="3"/>
        <v>0</v>
      </c>
      <c r="P14" s="10">
        <f t="shared" si="3"/>
        <v>0</v>
      </c>
      <c r="Q14" s="10">
        <f t="shared" si="3"/>
        <v>0</v>
      </c>
      <c r="R14" s="22">
        <f t="shared" si="4"/>
        <v>0</v>
      </c>
      <c r="S14" s="23">
        <f t="shared" si="5"/>
        <v>0</v>
      </c>
      <c r="T14" s="23">
        <f t="shared" si="5"/>
        <v>0</v>
      </c>
      <c r="U14" s="23">
        <f t="shared" si="5"/>
        <v>0</v>
      </c>
      <c r="W14" s="79" t="str">
        <f t="shared" si="8"/>
        <v>Product Line 3</v>
      </c>
      <c r="X14" s="64"/>
      <c r="Y14" s="64"/>
      <c r="Z14" s="64"/>
      <c r="AA14" s="64"/>
      <c r="AB14" s="60"/>
      <c r="AC14" s="64"/>
      <c r="AD14" s="64"/>
      <c r="AE14" s="64"/>
      <c r="AF14" s="64"/>
      <c r="AG14" s="60"/>
      <c r="AH14" s="64"/>
      <c r="AI14" s="64"/>
      <c r="AJ14" s="64"/>
    </row>
    <row r="15" spans="2:36" hidden="1" outlineLevel="1" x14ac:dyDescent="0.25">
      <c r="B15" s="229" t="s">
        <v>195</v>
      </c>
      <c r="C15" s="229" t="s">
        <v>195</v>
      </c>
      <c r="E15" s="78" t="s">
        <v>70</v>
      </c>
      <c r="F15" s="21">
        <f t="shared" si="6"/>
        <v>0</v>
      </c>
      <c r="G15" s="21">
        <f t="shared" si="6"/>
        <v>0</v>
      </c>
      <c r="H15" s="21">
        <f t="shared" si="6"/>
        <v>0</v>
      </c>
      <c r="I15" s="10">
        <f t="shared" ref="I15:L15" si="10">IF(X15="",I515,X15)</f>
        <v>0</v>
      </c>
      <c r="J15" s="10">
        <f t="shared" si="10"/>
        <v>0</v>
      </c>
      <c r="K15" s="10">
        <f t="shared" si="10"/>
        <v>0</v>
      </c>
      <c r="L15" s="10">
        <f t="shared" si="10"/>
        <v>0</v>
      </c>
      <c r="M15" s="17">
        <f t="shared" si="2"/>
        <v>0</v>
      </c>
      <c r="N15" s="10">
        <f t="shared" si="3"/>
        <v>0</v>
      </c>
      <c r="O15" s="10">
        <f t="shared" si="3"/>
        <v>0</v>
      </c>
      <c r="P15" s="10">
        <f t="shared" si="3"/>
        <v>0</v>
      </c>
      <c r="Q15" s="10">
        <f t="shared" si="3"/>
        <v>0</v>
      </c>
      <c r="R15" s="22">
        <f t="shared" si="4"/>
        <v>0</v>
      </c>
      <c r="S15" s="23">
        <f t="shared" si="5"/>
        <v>0</v>
      </c>
      <c r="T15" s="23">
        <f t="shared" si="5"/>
        <v>0</v>
      </c>
      <c r="U15" s="23">
        <f t="shared" si="5"/>
        <v>0</v>
      </c>
      <c r="W15" s="79" t="str">
        <f t="shared" si="8"/>
        <v>Product Line 4</v>
      </c>
      <c r="X15" s="64"/>
      <c r="Y15" s="64"/>
      <c r="Z15" s="64"/>
      <c r="AA15" s="64"/>
      <c r="AB15" s="60"/>
      <c r="AC15" s="64"/>
      <c r="AD15" s="64"/>
      <c r="AE15" s="64"/>
      <c r="AF15" s="64"/>
      <c r="AG15" s="60"/>
      <c r="AH15" s="64"/>
      <c r="AI15" s="64"/>
      <c r="AJ15" s="64"/>
    </row>
    <row r="16" spans="2:36" hidden="1" outlineLevel="1" x14ac:dyDescent="0.25">
      <c r="B16" s="229" t="s">
        <v>195</v>
      </c>
      <c r="C16" s="229" t="s">
        <v>195</v>
      </c>
      <c r="E16" s="78" t="s">
        <v>71</v>
      </c>
      <c r="F16" s="21">
        <f t="shared" si="6"/>
        <v>0</v>
      </c>
      <c r="G16" s="21">
        <f t="shared" si="6"/>
        <v>0</v>
      </c>
      <c r="H16" s="21">
        <f t="shared" si="6"/>
        <v>0</v>
      </c>
      <c r="I16" s="10">
        <f t="shared" ref="I16:L16" si="11">IF(X16="",I516,X16)</f>
        <v>0</v>
      </c>
      <c r="J16" s="10">
        <f t="shared" si="11"/>
        <v>0</v>
      </c>
      <c r="K16" s="10">
        <f t="shared" si="11"/>
        <v>0</v>
      </c>
      <c r="L16" s="10">
        <f t="shared" si="11"/>
        <v>0</v>
      </c>
      <c r="M16" s="17">
        <f t="shared" si="2"/>
        <v>0</v>
      </c>
      <c r="N16" s="10">
        <f t="shared" si="3"/>
        <v>0</v>
      </c>
      <c r="O16" s="10">
        <f t="shared" si="3"/>
        <v>0</v>
      </c>
      <c r="P16" s="10">
        <f t="shared" si="3"/>
        <v>0</v>
      </c>
      <c r="Q16" s="10">
        <f t="shared" si="3"/>
        <v>0</v>
      </c>
      <c r="R16" s="22">
        <f t="shared" si="4"/>
        <v>0</v>
      </c>
      <c r="S16" s="23">
        <f t="shared" si="5"/>
        <v>0</v>
      </c>
      <c r="T16" s="23">
        <f t="shared" si="5"/>
        <v>0</v>
      </c>
      <c r="U16" s="23">
        <f t="shared" si="5"/>
        <v>0</v>
      </c>
      <c r="W16" s="79" t="str">
        <f t="shared" si="8"/>
        <v>Product Line 5</v>
      </c>
      <c r="X16" s="64"/>
      <c r="Y16" s="64"/>
      <c r="Z16" s="64"/>
      <c r="AA16" s="64"/>
      <c r="AB16" s="60"/>
      <c r="AC16" s="64"/>
      <c r="AD16" s="64"/>
      <c r="AE16" s="64"/>
      <c r="AF16" s="64"/>
      <c r="AG16" s="60"/>
      <c r="AH16" s="64"/>
      <c r="AI16" s="64"/>
      <c r="AJ16" s="64"/>
    </row>
    <row r="17" spans="2:36" hidden="1" outlineLevel="1" x14ac:dyDescent="0.25">
      <c r="B17" s="229" t="s">
        <v>195</v>
      </c>
      <c r="C17" s="229" t="s">
        <v>195</v>
      </c>
      <c r="E17" s="78" t="s">
        <v>72</v>
      </c>
      <c r="F17" s="21">
        <f t="shared" si="6"/>
        <v>0</v>
      </c>
      <c r="G17" s="21">
        <f t="shared" si="6"/>
        <v>0</v>
      </c>
      <c r="H17" s="21">
        <f t="shared" si="6"/>
        <v>0</v>
      </c>
      <c r="I17" s="10">
        <f t="shared" ref="I17:L17" si="12">IF(X17="",I517,X17)</f>
        <v>0</v>
      </c>
      <c r="J17" s="10">
        <f t="shared" si="12"/>
        <v>0</v>
      </c>
      <c r="K17" s="10">
        <f t="shared" si="12"/>
        <v>0</v>
      </c>
      <c r="L17" s="10">
        <f t="shared" si="12"/>
        <v>0</v>
      </c>
      <c r="M17" s="17">
        <f t="shared" si="2"/>
        <v>0</v>
      </c>
      <c r="N17" s="10">
        <f t="shared" si="3"/>
        <v>0</v>
      </c>
      <c r="O17" s="10">
        <f t="shared" si="3"/>
        <v>0</v>
      </c>
      <c r="P17" s="10">
        <f t="shared" si="3"/>
        <v>0</v>
      </c>
      <c r="Q17" s="10">
        <f t="shared" si="3"/>
        <v>0</v>
      </c>
      <c r="R17" s="22">
        <f t="shared" si="4"/>
        <v>0</v>
      </c>
      <c r="S17" s="23">
        <f t="shared" si="5"/>
        <v>0</v>
      </c>
      <c r="T17" s="23">
        <f t="shared" si="5"/>
        <v>0</v>
      </c>
      <c r="U17" s="23">
        <f t="shared" si="5"/>
        <v>0</v>
      </c>
      <c r="W17" s="79" t="str">
        <f t="shared" si="8"/>
        <v>Product Line 6</v>
      </c>
      <c r="X17" s="64"/>
      <c r="Y17" s="64"/>
      <c r="Z17" s="64"/>
      <c r="AA17" s="64"/>
      <c r="AB17" s="60"/>
      <c r="AC17" s="64"/>
      <c r="AD17" s="64"/>
      <c r="AE17" s="64"/>
      <c r="AF17" s="64"/>
      <c r="AG17" s="60"/>
      <c r="AH17" s="64"/>
      <c r="AI17" s="64"/>
      <c r="AJ17" s="64"/>
    </row>
    <row r="18" spans="2:36" hidden="1" outlineLevel="1" x14ac:dyDescent="0.25">
      <c r="B18" s="229" t="s">
        <v>195</v>
      </c>
      <c r="C18" s="229" t="s">
        <v>195</v>
      </c>
      <c r="E18" s="78" t="s">
        <v>73</v>
      </c>
      <c r="F18" s="21">
        <f t="shared" si="6"/>
        <v>0</v>
      </c>
      <c r="G18" s="21">
        <f t="shared" si="6"/>
        <v>0</v>
      </c>
      <c r="H18" s="21">
        <f t="shared" si="6"/>
        <v>0</v>
      </c>
      <c r="I18" s="10">
        <f t="shared" ref="I18:L18" si="13">IF(X18="",I518,X18)</f>
        <v>0</v>
      </c>
      <c r="J18" s="10">
        <f t="shared" si="13"/>
        <v>0</v>
      </c>
      <c r="K18" s="10">
        <f t="shared" si="13"/>
        <v>0</v>
      </c>
      <c r="L18" s="10">
        <f t="shared" si="13"/>
        <v>0</v>
      </c>
      <c r="M18" s="17">
        <f t="shared" si="2"/>
        <v>0</v>
      </c>
      <c r="N18" s="10">
        <f t="shared" si="3"/>
        <v>0</v>
      </c>
      <c r="O18" s="10">
        <f t="shared" si="3"/>
        <v>0</v>
      </c>
      <c r="P18" s="10">
        <f t="shared" si="3"/>
        <v>0</v>
      </c>
      <c r="Q18" s="10">
        <f t="shared" si="3"/>
        <v>0</v>
      </c>
      <c r="R18" s="22">
        <f t="shared" si="4"/>
        <v>0</v>
      </c>
      <c r="S18" s="23">
        <f t="shared" si="5"/>
        <v>0</v>
      </c>
      <c r="T18" s="23">
        <f t="shared" si="5"/>
        <v>0</v>
      </c>
      <c r="U18" s="23">
        <f t="shared" si="5"/>
        <v>0</v>
      </c>
      <c r="W18" s="79" t="str">
        <f t="shared" si="8"/>
        <v>Product Line 7</v>
      </c>
      <c r="X18" s="64"/>
      <c r="Y18" s="64"/>
      <c r="Z18" s="64"/>
      <c r="AA18" s="64"/>
      <c r="AB18" s="60"/>
      <c r="AC18" s="64"/>
      <c r="AD18" s="64"/>
      <c r="AE18" s="64"/>
      <c r="AF18" s="64"/>
      <c r="AG18" s="60"/>
      <c r="AH18" s="64"/>
      <c r="AI18" s="64"/>
      <c r="AJ18" s="64"/>
    </row>
    <row r="19" spans="2:36" ht="15.75" hidden="1" outlineLevel="1" thickBot="1" x14ac:dyDescent="0.3">
      <c r="E19" s="8" t="s">
        <v>27</v>
      </c>
      <c r="F19" s="9">
        <f t="shared" ref="F19:U19" si="14">SUM(F12:F18)</f>
        <v>0</v>
      </c>
      <c r="G19" s="9">
        <f t="shared" si="14"/>
        <v>0</v>
      </c>
      <c r="H19" s="9">
        <f t="shared" si="14"/>
        <v>0</v>
      </c>
      <c r="I19" s="11">
        <f t="shared" si="14"/>
        <v>0</v>
      </c>
      <c r="J19" s="11">
        <f t="shared" si="14"/>
        <v>0</v>
      </c>
      <c r="K19" s="11">
        <f t="shared" si="14"/>
        <v>0</v>
      </c>
      <c r="L19" s="11">
        <f t="shared" si="14"/>
        <v>0</v>
      </c>
      <c r="M19" s="18">
        <f t="shared" si="14"/>
        <v>0</v>
      </c>
      <c r="N19" s="11">
        <f t="shared" si="14"/>
        <v>0</v>
      </c>
      <c r="O19" s="11">
        <f t="shared" si="14"/>
        <v>0</v>
      </c>
      <c r="P19" s="11">
        <f t="shared" si="14"/>
        <v>0</v>
      </c>
      <c r="Q19" s="11">
        <f t="shared" si="14"/>
        <v>0</v>
      </c>
      <c r="R19" s="19">
        <f t="shared" si="14"/>
        <v>0</v>
      </c>
      <c r="S19" s="20">
        <f t="shared" si="14"/>
        <v>0</v>
      </c>
      <c r="T19" s="20">
        <f t="shared" si="14"/>
        <v>0</v>
      </c>
      <c r="U19" s="20">
        <f t="shared" si="14"/>
        <v>0</v>
      </c>
    </row>
    <row r="20" spans="2:36" ht="15.75" hidden="1" outlineLevel="1" thickTop="1" x14ac:dyDescent="0.25">
      <c r="M20" s="3"/>
    </row>
    <row r="21" spans="2:36" hidden="1" outlineLevel="1" x14ac:dyDescent="0.25">
      <c r="M21" s="3"/>
    </row>
    <row r="22" spans="2:36" hidden="1" outlineLevel="1" x14ac:dyDescent="0.25">
      <c r="M22" s="3"/>
    </row>
    <row r="23" spans="2:36" hidden="1" outlineLevel="1" x14ac:dyDescent="0.25">
      <c r="E23" s="4" t="s">
        <v>51</v>
      </c>
      <c r="W23" s="4" t="s">
        <v>51</v>
      </c>
    </row>
    <row r="24" spans="2:36" hidden="1" outlineLevel="1" x14ac:dyDescent="0.25">
      <c r="E24" s="6" t="s">
        <v>25</v>
      </c>
      <c r="W24" s="61" t="s">
        <v>62</v>
      </c>
    </row>
    <row r="25" spans="2:36" hidden="1" outlineLevel="1" x14ac:dyDescent="0.25"/>
    <row r="26" spans="2:36" hidden="1" outlineLevel="1" x14ac:dyDescent="0.25">
      <c r="F26" s="12">
        <f>Inputs!$C$7</f>
        <v>2023</v>
      </c>
      <c r="G26" s="12">
        <f>Inputs!$C$8</f>
        <v>2024</v>
      </c>
      <c r="H26" s="12">
        <f>Inputs!$C$9</f>
        <v>2025</v>
      </c>
      <c r="I26" s="13" t="s">
        <v>1</v>
      </c>
      <c r="J26" s="13" t="s">
        <v>2</v>
      </c>
      <c r="K26" s="13" t="s">
        <v>3</v>
      </c>
      <c r="L26" s="13" t="s">
        <v>4</v>
      </c>
      <c r="M26" s="13">
        <f>Inputs!$C$10</f>
        <v>2026</v>
      </c>
      <c r="N26" s="14" t="s">
        <v>1</v>
      </c>
      <c r="O26" s="14" t="s">
        <v>2</v>
      </c>
      <c r="P26" s="14" t="s">
        <v>3</v>
      </c>
      <c r="Q26" s="14" t="s">
        <v>4</v>
      </c>
      <c r="R26" s="15">
        <f>Inputs!$C$11</f>
        <v>2027</v>
      </c>
      <c r="S26" s="16">
        <f>Inputs!$C$12</f>
        <v>2028</v>
      </c>
      <c r="T26" s="16">
        <f>Inputs!$C$13</f>
        <v>2029</v>
      </c>
      <c r="U26" s="16">
        <f>Inputs!$C$14</f>
        <v>2030</v>
      </c>
      <c r="X26" s="13" t="s">
        <v>1</v>
      </c>
      <c r="Y26" s="13" t="s">
        <v>2</v>
      </c>
      <c r="Z26" s="13" t="s">
        <v>3</v>
      </c>
      <c r="AA26" s="13" t="s">
        <v>4</v>
      </c>
      <c r="AB26" s="13">
        <f>Inputs!$C$10</f>
        <v>2026</v>
      </c>
      <c r="AC26" s="14" t="s">
        <v>1</v>
      </c>
      <c r="AD26" s="14" t="s">
        <v>2</v>
      </c>
      <c r="AE26" s="14" t="s">
        <v>3</v>
      </c>
      <c r="AF26" s="14" t="s">
        <v>4</v>
      </c>
      <c r="AG26" s="15">
        <f>Inputs!$C$11</f>
        <v>2027</v>
      </c>
      <c r="AH26" s="16">
        <f>Inputs!$C$12</f>
        <v>2028</v>
      </c>
      <c r="AI26" s="16">
        <f>Inputs!$C$13</f>
        <v>2029</v>
      </c>
      <c r="AJ26" s="16">
        <f>Inputs!$C$14</f>
        <v>2030</v>
      </c>
    </row>
    <row r="27" spans="2:36" hidden="1" outlineLevel="1" x14ac:dyDescent="0.25">
      <c r="F27" s="71" t="s">
        <v>63</v>
      </c>
      <c r="G27" s="71" t="s">
        <v>63</v>
      </c>
      <c r="H27" s="71" t="s">
        <v>63</v>
      </c>
      <c r="I27" s="71" t="s">
        <v>63</v>
      </c>
      <c r="J27" s="71" t="s">
        <v>63</v>
      </c>
      <c r="K27" s="71" t="s">
        <v>63</v>
      </c>
      <c r="L27" s="71" t="s">
        <v>63</v>
      </c>
      <c r="M27" s="71" t="s">
        <v>63</v>
      </c>
      <c r="N27" s="71" t="s">
        <v>63</v>
      </c>
      <c r="O27" s="71" t="s">
        <v>63</v>
      </c>
      <c r="P27" s="71" t="s">
        <v>63</v>
      </c>
      <c r="Q27" s="71" t="s">
        <v>63</v>
      </c>
      <c r="R27" s="71" t="s">
        <v>63</v>
      </c>
      <c r="S27" s="71" t="s">
        <v>63</v>
      </c>
      <c r="T27" s="71" t="s">
        <v>63</v>
      </c>
      <c r="U27" s="71" t="s">
        <v>63</v>
      </c>
      <c r="X27" s="63" t="s">
        <v>30</v>
      </c>
      <c r="Y27" s="63" t="s">
        <v>30</v>
      </c>
      <c r="Z27" s="63" t="s">
        <v>30</v>
      </c>
      <c r="AA27" s="63" t="s">
        <v>30</v>
      </c>
      <c r="AB27" s="62"/>
      <c r="AC27" s="63" t="s">
        <v>30</v>
      </c>
      <c r="AD27" s="63" t="s">
        <v>30</v>
      </c>
      <c r="AE27" s="63" t="s">
        <v>30</v>
      </c>
      <c r="AF27" s="63" t="s">
        <v>30</v>
      </c>
      <c r="AG27" s="62"/>
      <c r="AH27" s="63" t="s">
        <v>30</v>
      </c>
      <c r="AI27" s="63" t="s">
        <v>30</v>
      </c>
      <c r="AJ27" s="63" t="s">
        <v>30</v>
      </c>
    </row>
    <row r="28" spans="2:36" hidden="1" outlineLevel="1" x14ac:dyDescent="0.25">
      <c r="B28" s="229" t="s">
        <v>195</v>
      </c>
      <c r="C28" s="229" t="s">
        <v>195</v>
      </c>
      <c r="E28" s="78" t="s">
        <v>67</v>
      </c>
      <c r="F28" s="21">
        <f>F528</f>
        <v>0</v>
      </c>
      <c r="G28" s="21">
        <f t="shared" ref="G28:H28" si="15">G528</f>
        <v>0</v>
      </c>
      <c r="H28" s="21">
        <f t="shared" si="15"/>
        <v>0</v>
      </c>
      <c r="I28" s="10">
        <f>IF(X28="",I528,X28)</f>
        <v>0</v>
      </c>
      <c r="J28" s="10">
        <f t="shared" ref="J28:L28" si="16">IF(Y28="",J528,Y28)</f>
        <v>0</v>
      </c>
      <c r="K28" s="10">
        <f t="shared" si="16"/>
        <v>0</v>
      </c>
      <c r="L28" s="10">
        <f t="shared" si="16"/>
        <v>0</v>
      </c>
      <c r="M28" s="17">
        <f t="shared" ref="M28:M34" si="17">SUM(I28:L28)</f>
        <v>0</v>
      </c>
      <c r="N28" s="10">
        <f t="shared" ref="N28:Q28" si="18">IF(AC28="",N528,AC28)</f>
        <v>0</v>
      </c>
      <c r="O28" s="10">
        <f t="shared" si="18"/>
        <v>0</v>
      </c>
      <c r="P28" s="10">
        <f t="shared" si="18"/>
        <v>0</v>
      </c>
      <c r="Q28" s="10">
        <f t="shared" si="18"/>
        <v>0</v>
      </c>
      <c r="R28" s="22">
        <f t="shared" ref="R28:R34" si="19">SUM(N28:Q28)</f>
        <v>0</v>
      </c>
      <c r="S28" s="23">
        <f t="shared" ref="S28:U28" si="20">IF(AH28="",S528,AH28)</f>
        <v>0</v>
      </c>
      <c r="T28" s="23">
        <f t="shared" si="20"/>
        <v>0</v>
      </c>
      <c r="U28" s="23">
        <f t="shared" si="20"/>
        <v>0</v>
      </c>
      <c r="W28" s="79" t="str">
        <f>E28</f>
        <v>Product Line 1</v>
      </c>
      <c r="X28" s="64"/>
      <c r="Y28" s="64"/>
      <c r="Z28" s="64"/>
      <c r="AA28" s="64"/>
      <c r="AB28" s="60"/>
      <c r="AC28" s="64"/>
      <c r="AD28" s="64"/>
      <c r="AE28" s="64"/>
      <c r="AF28" s="64"/>
      <c r="AG28" s="60"/>
      <c r="AH28" s="64"/>
      <c r="AI28" s="64"/>
      <c r="AJ28" s="64"/>
    </row>
    <row r="29" spans="2:36" hidden="1" outlineLevel="1" x14ac:dyDescent="0.25">
      <c r="B29" s="229" t="s">
        <v>195</v>
      </c>
      <c r="C29" s="229" t="s">
        <v>195</v>
      </c>
      <c r="E29" s="78" t="s">
        <v>68</v>
      </c>
      <c r="F29" s="21">
        <f t="shared" ref="F29:H29" si="21">F529</f>
        <v>0</v>
      </c>
      <c r="G29" s="21">
        <f t="shared" si="21"/>
        <v>0</v>
      </c>
      <c r="H29" s="21">
        <f t="shared" si="21"/>
        <v>0</v>
      </c>
      <c r="I29" s="10">
        <f t="shared" ref="I29:L29" si="22">IF(X29="",I529,X29)</f>
        <v>0</v>
      </c>
      <c r="J29" s="10">
        <f t="shared" si="22"/>
        <v>0</v>
      </c>
      <c r="K29" s="10">
        <f t="shared" si="22"/>
        <v>0</v>
      </c>
      <c r="L29" s="10">
        <f t="shared" si="22"/>
        <v>0</v>
      </c>
      <c r="M29" s="17">
        <f t="shared" si="17"/>
        <v>0</v>
      </c>
      <c r="N29" s="10">
        <f t="shared" ref="N29:Q29" si="23">IF(AC29="",N529,AC29)</f>
        <v>0</v>
      </c>
      <c r="O29" s="10">
        <f t="shared" si="23"/>
        <v>0</v>
      </c>
      <c r="P29" s="10">
        <f t="shared" si="23"/>
        <v>0</v>
      </c>
      <c r="Q29" s="10">
        <f t="shared" si="23"/>
        <v>0</v>
      </c>
      <c r="R29" s="22">
        <f t="shared" si="19"/>
        <v>0</v>
      </c>
      <c r="S29" s="23">
        <f t="shared" ref="S29:U29" si="24">IF(AH29="",S529,AH29)</f>
        <v>0</v>
      </c>
      <c r="T29" s="23">
        <f t="shared" si="24"/>
        <v>0</v>
      </c>
      <c r="U29" s="23">
        <f t="shared" si="24"/>
        <v>0</v>
      </c>
      <c r="W29" s="79" t="str">
        <f t="shared" ref="W29:W34" si="25">E29</f>
        <v>Product Line 2</v>
      </c>
      <c r="X29" s="64"/>
      <c r="Y29" s="64"/>
      <c r="Z29" s="64"/>
      <c r="AA29" s="64"/>
      <c r="AB29" s="60"/>
      <c r="AC29" s="64"/>
      <c r="AD29" s="64"/>
      <c r="AE29" s="64"/>
      <c r="AF29" s="64"/>
      <c r="AG29" s="60"/>
      <c r="AH29" s="64"/>
      <c r="AI29" s="64"/>
      <c r="AJ29" s="64"/>
    </row>
    <row r="30" spans="2:36" hidden="1" outlineLevel="1" x14ac:dyDescent="0.25">
      <c r="B30" s="229" t="s">
        <v>195</v>
      </c>
      <c r="C30" s="229" t="s">
        <v>195</v>
      </c>
      <c r="E30" s="78" t="s">
        <v>69</v>
      </c>
      <c r="F30" s="21">
        <f t="shared" ref="F30:H30" si="26">F530</f>
        <v>0</v>
      </c>
      <c r="G30" s="21">
        <f t="shared" si="26"/>
        <v>0</v>
      </c>
      <c r="H30" s="21">
        <f t="shared" si="26"/>
        <v>0</v>
      </c>
      <c r="I30" s="10">
        <f t="shared" ref="I30:L30" si="27">IF(X30="",I530,X30)</f>
        <v>0</v>
      </c>
      <c r="J30" s="10">
        <f t="shared" si="27"/>
        <v>0</v>
      </c>
      <c r="K30" s="10">
        <f t="shared" si="27"/>
        <v>0</v>
      </c>
      <c r="L30" s="10">
        <f t="shared" si="27"/>
        <v>0</v>
      </c>
      <c r="M30" s="17">
        <f t="shared" si="17"/>
        <v>0</v>
      </c>
      <c r="N30" s="10">
        <f t="shared" ref="N30:Q30" si="28">IF(AC30="",N530,AC30)</f>
        <v>0</v>
      </c>
      <c r="O30" s="10">
        <f t="shared" si="28"/>
        <v>0</v>
      </c>
      <c r="P30" s="10">
        <f t="shared" si="28"/>
        <v>0</v>
      </c>
      <c r="Q30" s="10">
        <f t="shared" si="28"/>
        <v>0</v>
      </c>
      <c r="R30" s="22">
        <f t="shared" si="19"/>
        <v>0</v>
      </c>
      <c r="S30" s="23">
        <f t="shared" ref="S30:U30" si="29">IF(AH30="",S530,AH30)</f>
        <v>0</v>
      </c>
      <c r="T30" s="23">
        <f t="shared" si="29"/>
        <v>0</v>
      </c>
      <c r="U30" s="23">
        <f t="shared" si="29"/>
        <v>0</v>
      </c>
      <c r="W30" s="79" t="str">
        <f t="shared" si="25"/>
        <v>Product Line 3</v>
      </c>
      <c r="X30" s="64"/>
      <c r="Y30" s="64"/>
      <c r="Z30" s="64"/>
      <c r="AA30" s="64"/>
      <c r="AB30" s="60"/>
      <c r="AC30" s="64"/>
      <c r="AD30" s="64"/>
      <c r="AE30" s="64"/>
      <c r="AF30" s="64"/>
      <c r="AG30" s="60"/>
      <c r="AH30" s="64"/>
      <c r="AI30" s="64"/>
      <c r="AJ30" s="64"/>
    </row>
    <row r="31" spans="2:36" hidden="1" outlineLevel="1" x14ac:dyDescent="0.25">
      <c r="B31" s="229" t="s">
        <v>195</v>
      </c>
      <c r="C31" s="229" t="s">
        <v>195</v>
      </c>
      <c r="E31" s="78" t="s">
        <v>70</v>
      </c>
      <c r="F31" s="21">
        <f t="shared" ref="F31:H31" si="30">F531</f>
        <v>0</v>
      </c>
      <c r="G31" s="21">
        <f t="shared" si="30"/>
        <v>0</v>
      </c>
      <c r="H31" s="21">
        <f t="shared" si="30"/>
        <v>0</v>
      </c>
      <c r="I31" s="10">
        <f t="shared" ref="I31:L31" si="31">IF(X31="",I531,X31)</f>
        <v>0</v>
      </c>
      <c r="J31" s="10">
        <f t="shared" si="31"/>
        <v>0</v>
      </c>
      <c r="K31" s="10">
        <f t="shared" si="31"/>
        <v>0</v>
      </c>
      <c r="L31" s="10">
        <f t="shared" si="31"/>
        <v>0</v>
      </c>
      <c r="M31" s="17">
        <f t="shared" si="17"/>
        <v>0</v>
      </c>
      <c r="N31" s="10">
        <f t="shared" ref="N31:Q31" si="32">IF(AC31="",N531,AC31)</f>
        <v>0</v>
      </c>
      <c r="O31" s="10">
        <f t="shared" si="32"/>
        <v>0</v>
      </c>
      <c r="P31" s="10">
        <f t="shared" si="32"/>
        <v>0</v>
      </c>
      <c r="Q31" s="10">
        <f t="shared" si="32"/>
        <v>0</v>
      </c>
      <c r="R31" s="22">
        <f t="shared" si="19"/>
        <v>0</v>
      </c>
      <c r="S31" s="23">
        <f t="shared" ref="S31:U31" si="33">IF(AH31="",S531,AH31)</f>
        <v>0</v>
      </c>
      <c r="T31" s="23">
        <f t="shared" si="33"/>
        <v>0</v>
      </c>
      <c r="U31" s="23">
        <f t="shared" si="33"/>
        <v>0</v>
      </c>
      <c r="W31" s="79" t="str">
        <f t="shared" si="25"/>
        <v>Product Line 4</v>
      </c>
      <c r="X31" s="64"/>
      <c r="Y31" s="64"/>
      <c r="Z31" s="64"/>
      <c r="AA31" s="64"/>
      <c r="AB31" s="60"/>
      <c r="AC31" s="64"/>
      <c r="AD31" s="64"/>
      <c r="AE31" s="64"/>
      <c r="AF31" s="64"/>
      <c r="AG31" s="60"/>
      <c r="AH31" s="64"/>
      <c r="AI31" s="64"/>
      <c r="AJ31" s="64"/>
    </row>
    <row r="32" spans="2:36" hidden="1" outlineLevel="1" x14ac:dyDescent="0.25">
      <c r="B32" s="229" t="s">
        <v>195</v>
      </c>
      <c r="C32" s="229" t="s">
        <v>195</v>
      </c>
      <c r="E32" s="78" t="s">
        <v>71</v>
      </c>
      <c r="F32" s="21">
        <f t="shared" ref="F32:H32" si="34">F532</f>
        <v>0</v>
      </c>
      <c r="G32" s="21">
        <f t="shared" si="34"/>
        <v>0</v>
      </c>
      <c r="H32" s="21">
        <f t="shared" si="34"/>
        <v>0</v>
      </c>
      <c r="I32" s="10">
        <f t="shared" ref="I32:L32" si="35">IF(X32="",I532,X32)</f>
        <v>0</v>
      </c>
      <c r="J32" s="10">
        <f t="shared" si="35"/>
        <v>0</v>
      </c>
      <c r="K32" s="10">
        <f t="shared" si="35"/>
        <v>0</v>
      </c>
      <c r="L32" s="10">
        <f t="shared" si="35"/>
        <v>0</v>
      </c>
      <c r="M32" s="17">
        <f t="shared" si="17"/>
        <v>0</v>
      </c>
      <c r="N32" s="10">
        <f t="shared" ref="N32:Q32" si="36">IF(AC32="",N532,AC32)</f>
        <v>0</v>
      </c>
      <c r="O32" s="10">
        <f t="shared" si="36"/>
        <v>0</v>
      </c>
      <c r="P32" s="10">
        <f t="shared" si="36"/>
        <v>0</v>
      </c>
      <c r="Q32" s="10">
        <f t="shared" si="36"/>
        <v>0</v>
      </c>
      <c r="R32" s="22">
        <f t="shared" si="19"/>
        <v>0</v>
      </c>
      <c r="S32" s="23">
        <f t="shared" ref="S32:U32" si="37">IF(AH32="",S532,AH32)</f>
        <v>0</v>
      </c>
      <c r="T32" s="23">
        <f t="shared" si="37"/>
        <v>0</v>
      </c>
      <c r="U32" s="23">
        <f t="shared" si="37"/>
        <v>0</v>
      </c>
      <c r="W32" s="79" t="str">
        <f t="shared" si="25"/>
        <v>Product Line 5</v>
      </c>
      <c r="X32" s="64"/>
      <c r="Y32" s="64"/>
      <c r="Z32" s="64"/>
      <c r="AA32" s="64"/>
      <c r="AB32" s="60"/>
      <c r="AC32" s="64"/>
      <c r="AD32" s="64"/>
      <c r="AE32" s="64"/>
      <c r="AF32" s="64"/>
      <c r="AG32" s="60"/>
      <c r="AH32" s="64"/>
      <c r="AI32" s="64"/>
      <c r="AJ32" s="64"/>
    </row>
    <row r="33" spans="2:36" hidden="1" outlineLevel="1" x14ac:dyDescent="0.25">
      <c r="B33" s="229" t="s">
        <v>195</v>
      </c>
      <c r="C33" s="229" t="s">
        <v>195</v>
      </c>
      <c r="E33" s="78" t="s">
        <v>72</v>
      </c>
      <c r="F33" s="21">
        <f t="shared" ref="F33:H33" si="38">F533</f>
        <v>0</v>
      </c>
      <c r="G33" s="21">
        <f t="shared" si="38"/>
        <v>0</v>
      </c>
      <c r="H33" s="21">
        <f t="shared" si="38"/>
        <v>0</v>
      </c>
      <c r="I33" s="10">
        <f t="shared" ref="I33:L33" si="39">IF(X33="",I533,X33)</f>
        <v>0</v>
      </c>
      <c r="J33" s="10">
        <f t="shared" si="39"/>
        <v>0</v>
      </c>
      <c r="K33" s="10">
        <f t="shared" si="39"/>
        <v>0</v>
      </c>
      <c r="L33" s="10">
        <f t="shared" si="39"/>
        <v>0</v>
      </c>
      <c r="M33" s="17">
        <f t="shared" si="17"/>
        <v>0</v>
      </c>
      <c r="N33" s="10">
        <f t="shared" ref="N33:Q33" si="40">IF(AC33="",N533,AC33)</f>
        <v>0</v>
      </c>
      <c r="O33" s="10">
        <f t="shared" si="40"/>
        <v>0</v>
      </c>
      <c r="P33" s="10">
        <f t="shared" si="40"/>
        <v>0</v>
      </c>
      <c r="Q33" s="10">
        <f t="shared" si="40"/>
        <v>0</v>
      </c>
      <c r="R33" s="22">
        <f t="shared" si="19"/>
        <v>0</v>
      </c>
      <c r="S33" s="23">
        <f t="shared" ref="S33:U33" si="41">IF(AH33="",S533,AH33)</f>
        <v>0</v>
      </c>
      <c r="T33" s="23">
        <f t="shared" si="41"/>
        <v>0</v>
      </c>
      <c r="U33" s="23">
        <f t="shared" si="41"/>
        <v>0</v>
      </c>
      <c r="W33" s="79" t="str">
        <f t="shared" si="25"/>
        <v>Product Line 6</v>
      </c>
      <c r="X33" s="64"/>
      <c r="Y33" s="64"/>
      <c r="Z33" s="64"/>
      <c r="AA33" s="64"/>
      <c r="AB33" s="60"/>
      <c r="AC33" s="64"/>
      <c r="AD33" s="64"/>
      <c r="AE33" s="64"/>
      <c r="AF33" s="64"/>
      <c r="AG33" s="60"/>
      <c r="AH33" s="64"/>
      <c r="AI33" s="64"/>
      <c r="AJ33" s="64"/>
    </row>
    <row r="34" spans="2:36" hidden="1" outlineLevel="1" x14ac:dyDescent="0.25">
      <c r="B34" s="229" t="s">
        <v>195</v>
      </c>
      <c r="C34" s="229" t="s">
        <v>195</v>
      </c>
      <c r="E34" s="78" t="s">
        <v>73</v>
      </c>
      <c r="F34" s="21">
        <f t="shared" ref="F34:H34" si="42">F534</f>
        <v>0</v>
      </c>
      <c r="G34" s="21">
        <f t="shared" si="42"/>
        <v>0</v>
      </c>
      <c r="H34" s="21">
        <f t="shared" si="42"/>
        <v>0</v>
      </c>
      <c r="I34" s="10">
        <f t="shared" ref="I34:L34" si="43">IF(X34="",I534,X34)</f>
        <v>0</v>
      </c>
      <c r="J34" s="10">
        <f t="shared" si="43"/>
        <v>0</v>
      </c>
      <c r="K34" s="10">
        <f t="shared" si="43"/>
        <v>0</v>
      </c>
      <c r="L34" s="10">
        <f t="shared" si="43"/>
        <v>0</v>
      </c>
      <c r="M34" s="17">
        <f t="shared" si="17"/>
        <v>0</v>
      </c>
      <c r="N34" s="10">
        <f t="shared" ref="N34:Q34" si="44">IF(AC34="",N534,AC34)</f>
        <v>0</v>
      </c>
      <c r="O34" s="10">
        <f t="shared" si="44"/>
        <v>0</v>
      </c>
      <c r="P34" s="10">
        <f t="shared" si="44"/>
        <v>0</v>
      </c>
      <c r="Q34" s="10">
        <f t="shared" si="44"/>
        <v>0</v>
      </c>
      <c r="R34" s="22">
        <f t="shared" si="19"/>
        <v>0</v>
      </c>
      <c r="S34" s="23">
        <f t="shared" ref="S34:U34" si="45">IF(AH34="",S534,AH34)</f>
        <v>0</v>
      </c>
      <c r="T34" s="23">
        <f t="shared" si="45"/>
        <v>0</v>
      </c>
      <c r="U34" s="23">
        <f t="shared" si="45"/>
        <v>0</v>
      </c>
      <c r="W34" s="79" t="str">
        <f t="shared" si="25"/>
        <v>Product Line 7</v>
      </c>
      <c r="X34" s="64"/>
      <c r="Y34" s="64"/>
      <c r="Z34" s="64"/>
      <c r="AA34" s="64"/>
      <c r="AB34" s="60"/>
      <c r="AC34" s="64"/>
      <c r="AD34" s="64"/>
      <c r="AE34" s="64"/>
      <c r="AF34" s="64"/>
      <c r="AG34" s="60"/>
      <c r="AH34" s="64"/>
      <c r="AI34" s="64"/>
      <c r="AJ34" s="64"/>
    </row>
    <row r="35" spans="2:36" ht="15.75" hidden="1" outlineLevel="1" thickBot="1" x14ac:dyDescent="0.3">
      <c r="E35" s="8" t="s">
        <v>27</v>
      </c>
      <c r="F35" s="9">
        <f t="shared" ref="F35:U35" si="46">SUM(F28:F34)</f>
        <v>0</v>
      </c>
      <c r="G35" s="9">
        <f t="shared" si="46"/>
        <v>0</v>
      </c>
      <c r="H35" s="9">
        <f t="shared" si="46"/>
        <v>0</v>
      </c>
      <c r="I35" s="11">
        <f t="shared" si="46"/>
        <v>0</v>
      </c>
      <c r="J35" s="11">
        <f t="shared" si="46"/>
        <v>0</v>
      </c>
      <c r="K35" s="11">
        <f t="shared" si="46"/>
        <v>0</v>
      </c>
      <c r="L35" s="11">
        <f t="shared" si="46"/>
        <v>0</v>
      </c>
      <c r="M35" s="18">
        <f t="shared" si="46"/>
        <v>0</v>
      </c>
      <c r="N35" s="11">
        <f t="shared" si="46"/>
        <v>0</v>
      </c>
      <c r="O35" s="11">
        <f t="shared" si="46"/>
        <v>0</v>
      </c>
      <c r="P35" s="11">
        <f t="shared" si="46"/>
        <v>0</v>
      </c>
      <c r="Q35" s="11">
        <f t="shared" si="46"/>
        <v>0</v>
      </c>
      <c r="R35" s="19">
        <f t="shared" si="46"/>
        <v>0</v>
      </c>
      <c r="S35" s="20">
        <f t="shared" si="46"/>
        <v>0</v>
      </c>
      <c r="T35" s="20">
        <f t="shared" si="46"/>
        <v>0</v>
      </c>
      <c r="U35" s="20">
        <f t="shared" si="46"/>
        <v>0</v>
      </c>
    </row>
    <row r="36" spans="2:36" ht="15.75" hidden="1" outlineLevel="1" thickTop="1" x14ac:dyDescent="0.25"/>
    <row r="37" spans="2:36" hidden="1" outlineLevel="1" x14ac:dyDescent="0.25"/>
    <row r="38" spans="2:36" hidden="1" outlineLevel="1" x14ac:dyDescent="0.25"/>
    <row r="39" spans="2:36" hidden="1" outlineLevel="1" x14ac:dyDescent="0.25">
      <c r="E39" s="4" t="s">
        <v>52</v>
      </c>
      <c r="W39" s="4" t="s">
        <v>52</v>
      </c>
    </row>
    <row r="40" spans="2:36" hidden="1" outlineLevel="1" x14ac:dyDescent="0.25">
      <c r="E40" s="6" t="s">
        <v>25</v>
      </c>
      <c r="W40" s="61" t="s">
        <v>62</v>
      </c>
    </row>
    <row r="41" spans="2:36" hidden="1" outlineLevel="1" x14ac:dyDescent="0.25"/>
    <row r="42" spans="2:36" hidden="1" outlineLevel="1" x14ac:dyDescent="0.25">
      <c r="F42" s="12">
        <f>Inputs!$C$7</f>
        <v>2023</v>
      </c>
      <c r="G42" s="12">
        <f>Inputs!$C$8</f>
        <v>2024</v>
      </c>
      <c r="H42" s="12">
        <f>Inputs!$C$9</f>
        <v>2025</v>
      </c>
      <c r="I42" s="13" t="s">
        <v>1</v>
      </c>
      <c r="J42" s="13" t="s">
        <v>2</v>
      </c>
      <c r="K42" s="13" t="s">
        <v>3</v>
      </c>
      <c r="L42" s="13" t="s">
        <v>4</v>
      </c>
      <c r="M42" s="13">
        <f>Inputs!$C$10</f>
        <v>2026</v>
      </c>
      <c r="N42" s="14" t="s">
        <v>1</v>
      </c>
      <c r="O42" s="14" t="s">
        <v>2</v>
      </c>
      <c r="P42" s="14" t="s">
        <v>3</v>
      </c>
      <c r="Q42" s="14" t="s">
        <v>4</v>
      </c>
      <c r="R42" s="15">
        <f>Inputs!$C$11</f>
        <v>2027</v>
      </c>
      <c r="S42" s="16">
        <f>Inputs!$C$12</f>
        <v>2028</v>
      </c>
      <c r="T42" s="16">
        <f>Inputs!$C$13</f>
        <v>2029</v>
      </c>
      <c r="U42" s="16">
        <f>Inputs!$C$14</f>
        <v>2030</v>
      </c>
      <c r="X42" s="13" t="s">
        <v>1</v>
      </c>
      <c r="Y42" s="13" t="s">
        <v>2</v>
      </c>
      <c r="Z42" s="13" t="s">
        <v>3</v>
      </c>
      <c r="AA42" s="13" t="s">
        <v>4</v>
      </c>
      <c r="AB42" s="13">
        <f>Inputs!$C$10</f>
        <v>2026</v>
      </c>
      <c r="AC42" s="14" t="s">
        <v>1</v>
      </c>
      <c r="AD42" s="14" t="s">
        <v>2</v>
      </c>
      <c r="AE42" s="14" t="s">
        <v>3</v>
      </c>
      <c r="AF42" s="14" t="s">
        <v>4</v>
      </c>
      <c r="AG42" s="15">
        <f>Inputs!$C$11</f>
        <v>2027</v>
      </c>
      <c r="AH42" s="16">
        <f>Inputs!$C$12</f>
        <v>2028</v>
      </c>
      <c r="AI42" s="16">
        <f>Inputs!$C$13</f>
        <v>2029</v>
      </c>
      <c r="AJ42" s="16">
        <f>Inputs!$C$14</f>
        <v>2030</v>
      </c>
    </row>
    <row r="43" spans="2:36" hidden="1" outlineLevel="1" x14ac:dyDescent="0.25">
      <c r="F43" s="71" t="s">
        <v>63</v>
      </c>
      <c r="G43" s="71" t="s">
        <v>63</v>
      </c>
      <c r="H43" s="71" t="s">
        <v>63</v>
      </c>
      <c r="I43" s="71" t="s">
        <v>63</v>
      </c>
      <c r="J43" s="71" t="s">
        <v>63</v>
      </c>
      <c r="K43" s="71" t="s">
        <v>63</v>
      </c>
      <c r="L43" s="71" t="s">
        <v>63</v>
      </c>
      <c r="M43" s="71" t="s">
        <v>63</v>
      </c>
      <c r="N43" s="71" t="s">
        <v>63</v>
      </c>
      <c r="O43" s="71" t="s">
        <v>63</v>
      </c>
      <c r="P43" s="71" t="s">
        <v>63</v>
      </c>
      <c r="Q43" s="71" t="s">
        <v>63</v>
      </c>
      <c r="R43" s="71" t="s">
        <v>63</v>
      </c>
      <c r="S43" s="71" t="s">
        <v>63</v>
      </c>
      <c r="T43" s="71" t="s">
        <v>63</v>
      </c>
      <c r="U43" s="71" t="s">
        <v>63</v>
      </c>
      <c r="X43" s="63" t="s">
        <v>30</v>
      </c>
      <c r="Y43" s="63" t="s">
        <v>30</v>
      </c>
      <c r="Z43" s="63" t="s">
        <v>30</v>
      </c>
      <c r="AA43" s="63" t="s">
        <v>30</v>
      </c>
      <c r="AB43" s="62"/>
      <c r="AC43" s="63" t="s">
        <v>30</v>
      </c>
      <c r="AD43" s="63" t="s">
        <v>30</v>
      </c>
      <c r="AE43" s="63" t="s">
        <v>30</v>
      </c>
      <c r="AF43" s="63" t="s">
        <v>30</v>
      </c>
      <c r="AG43" s="62"/>
      <c r="AH43" s="63" t="s">
        <v>30</v>
      </c>
      <c r="AI43" s="63" t="s">
        <v>30</v>
      </c>
      <c r="AJ43" s="63" t="s">
        <v>30</v>
      </c>
    </row>
    <row r="44" spans="2:36" hidden="1" outlineLevel="1" x14ac:dyDescent="0.25">
      <c r="B44" s="229" t="s">
        <v>195</v>
      </c>
      <c r="C44" s="229" t="s">
        <v>195</v>
      </c>
      <c r="E44" s="78" t="s">
        <v>67</v>
      </c>
      <c r="F44" s="21">
        <f>F544</f>
        <v>0</v>
      </c>
      <c r="G44" s="21">
        <f t="shared" ref="G44:H44" si="47">G544</f>
        <v>0</v>
      </c>
      <c r="H44" s="21">
        <f t="shared" si="47"/>
        <v>0</v>
      </c>
      <c r="I44" s="10">
        <f>IF(X44="",I544,X44)</f>
        <v>0</v>
      </c>
      <c r="J44" s="10">
        <f t="shared" ref="J44:L44" si="48">IF(Y44="",J544,Y44)</f>
        <v>0</v>
      </c>
      <c r="K44" s="10">
        <f t="shared" si="48"/>
        <v>0</v>
      </c>
      <c r="L44" s="10">
        <f t="shared" si="48"/>
        <v>0</v>
      </c>
      <c r="M44" s="17">
        <f t="shared" ref="M44:M50" si="49">SUM(I44:L44)</f>
        <v>0</v>
      </c>
      <c r="N44" s="10">
        <f t="shared" ref="N44:Q44" si="50">IF(AC44="",N544,AC44)</f>
        <v>0</v>
      </c>
      <c r="O44" s="10">
        <f t="shared" si="50"/>
        <v>0</v>
      </c>
      <c r="P44" s="10">
        <f t="shared" si="50"/>
        <v>0</v>
      </c>
      <c r="Q44" s="10">
        <f t="shared" si="50"/>
        <v>0</v>
      </c>
      <c r="R44" s="22">
        <f t="shared" ref="R44:R50" si="51">SUM(N44:Q44)</f>
        <v>0</v>
      </c>
      <c r="S44" s="23">
        <f t="shared" ref="S44:U44" si="52">IF(AH44="",S544,AH44)</f>
        <v>0</v>
      </c>
      <c r="T44" s="23">
        <f t="shared" si="52"/>
        <v>0</v>
      </c>
      <c r="U44" s="23">
        <f t="shared" si="52"/>
        <v>0</v>
      </c>
      <c r="W44" s="79" t="str">
        <f>E44</f>
        <v>Product Line 1</v>
      </c>
      <c r="X44" s="64"/>
      <c r="Y44" s="64"/>
      <c r="Z44" s="64"/>
      <c r="AA44" s="64"/>
      <c r="AB44" s="60"/>
      <c r="AC44" s="64"/>
      <c r="AD44" s="64"/>
      <c r="AE44" s="64"/>
      <c r="AF44" s="64"/>
      <c r="AG44" s="60"/>
      <c r="AH44" s="64"/>
      <c r="AI44" s="64"/>
      <c r="AJ44" s="64"/>
    </row>
    <row r="45" spans="2:36" hidden="1" outlineLevel="1" x14ac:dyDescent="0.25">
      <c r="B45" s="229" t="s">
        <v>195</v>
      </c>
      <c r="C45" s="229" t="s">
        <v>195</v>
      </c>
      <c r="E45" s="78" t="s">
        <v>68</v>
      </c>
      <c r="F45" s="21">
        <f t="shared" ref="F45:H45" si="53">F545</f>
        <v>0</v>
      </c>
      <c r="G45" s="21">
        <f t="shared" si="53"/>
        <v>0</v>
      </c>
      <c r="H45" s="21">
        <f t="shared" si="53"/>
        <v>0</v>
      </c>
      <c r="I45" s="10">
        <f t="shared" ref="I45:L45" si="54">IF(X45="",I545,X45)</f>
        <v>0</v>
      </c>
      <c r="J45" s="10">
        <f t="shared" si="54"/>
        <v>0</v>
      </c>
      <c r="K45" s="10">
        <f t="shared" si="54"/>
        <v>0</v>
      </c>
      <c r="L45" s="10">
        <f t="shared" si="54"/>
        <v>0</v>
      </c>
      <c r="M45" s="17">
        <f t="shared" si="49"/>
        <v>0</v>
      </c>
      <c r="N45" s="10">
        <f t="shared" ref="N45:Q45" si="55">IF(AC45="",N545,AC45)</f>
        <v>0</v>
      </c>
      <c r="O45" s="10">
        <f t="shared" si="55"/>
        <v>0</v>
      </c>
      <c r="P45" s="10">
        <f t="shared" si="55"/>
        <v>0</v>
      </c>
      <c r="Q45" s="10">
        <f t="shared" si="55"/>
        <v>0</v>
      </c>
      <c r="R45" s="22">
        <f t="shared" si="51"/>
        <v>0</v>
      </c>
      <c r="S45" s="23">
        <f t="shared" ref="S45:U45" si="56">IF(AH45="",S545,AH45)</f>
        <v>0</v>
      </c>
      <c r="T45" s="23">
        <f t="shared" si="56"/>
        <v>0</v>
      </c>
      <c r="U45" s="23">
        <f t="shared" si="56"/>
        <v>0</v>
      </c>
      <c r="W45" s="79" t="str">
        <f t="shared" ref="W45:W50" si="57">E45</f>
        <v>Product Line 2</v>
      </c>
      <c r="X45" s="64"/>
      <c r="Y45" s="64"/>
      <c r="Z45" s="64"/>
      <c r="AA45" s="64"/>
      <c r="AB45" s="60"/>
      <c r="AC45" s="64"/>
      <c r="AD45" s="64"/>
      <c r="AE45" s="64"/>
      <c r="AF45" s="64"/>
      <c r="AG45" s="60"/>
      <c r="AH45" s="64"/>
      <c r="AI45" s="64"/>
      <c r="AJ45" s="64"/>
    </row>
    <row r="46" spans="2:36" hidden="1" outlineLevel="1" x14ac:dyDescent="0.25">
      <c r="B46" s="229" t="s">
        <v>195</v>
      </c>
      <c r="C46" s="229" t="s">
        <v>195</v>
      </c>
      <c r="E46" s="78" t="s">
        <v>69</v>
      </c>
      <c r="F46" s="21">
        <f t="shared" ref="F46:H46" si="58">F546</f>
        <v>0</v>
      </c>
      <c r="G46" s="21">
        <f t="shared" si="58"/>
        <v>0</v>
      </c>
      <c r="H46" s="21">
        <f t="shared" si="58"/>
        <v>0</v>
      </c>
      <c r="I46" s="10">
        <f t="shared" ref="I46:L46" si="59">IF(X46="",I546,X46)</f>
        <v>0</v>
      </c>
      <c r="J46" s="10">
        <f t="shared" si="59"/>
        <v>0</v>
      </c>
      <c r="K46" s="10">
        <f t="shared" si="59"/>
        <v>0</v>
      </c>
      <c r="L46" s="10">
        <f t="shared" si="59"/>
        <v>0</v>
      </c>
      <c r="M46" s="17">
        <f t="shared" si="49"/>
        <v>0</v>
      </c>
      <c r="N46" s="10">
        <f t="shared" ref="N46:Q46" si="60">IF(AC46="",N546,AC46)</f>
        <v>0</v>
      </c>
      <c r="O46" s="10">
        <f t="shared" si="60"/>
        <v>0</v>
      </c>
      <c r="P46" s="10">
        <f t="shared" si="60"/>
        <v>0</v>
      </c>
      <c r="Q46" s="10">
        <f t="shared" si="60"/>
        <v>0</v>
      </c>
      <c r="R46" s="22">
        <f t="shared" si="51"/>
        <v>0</v>
      </c>
      <c r="S46" s="23">
        <f t="shared" ref="S46:U46" si="61">IF(AH46="",S546,AH46)</f>
        <v>0</v>
      </c>
      <c r="T46" s="23">
        <f t="shared" si="61"/>
        <v>0</v>
      </c>
      <c r="U46" s="23">
        <f t="shared" si="61"/>
        <v>0</v>
      </c>
      <c r="W46" s="79" t="str">
        <f t="shared" si="57"/>
        <v>Product Line 3</v>
      </c>
      <c r="X46" s="64"/>
      <c r="Y46" s="64"/>
      <c r="Z46" s="64"/>
      <c r="AA46" s="64"/>
      <c r="AB46" s="60"/>
      <c r="AC46" s="64"/>
      <c r="AD46" s="64"/>
      <c r="AE46" s="64"/>
      <c r="AF46" s="64"/>
      <c r="AG46" s="60"/>
      <c r="AH46" s="64"/>
      <c r="AI46" s="64"/>
      <c r="AJ46" s="64"/>
    </row>
    <row r="47" spans="2:36" hidden="1" outlineLevel="1" x14ac:dyDescent="0.25">
      <c r="B47" s="229" t="s">
        <v>195</v>
      </c>
      <c r="C47" s="229" t="s">
        <v>195</v>
      </c>
      <c r="E47" s="78" t="s">
        <v>70</v>
      </c>
      <c r="F47" s="21">
        <f t="shared" ref="F47:H47" si="62">F547</f>
        <v>0</v>
      </c>
      <c r="G47" s="21">
        <f t="shared" si="62"/>
        <v>0</v>
      </c>
      <c r="H47" s="21">
        <f t="shared" si="62"/>
        <v>0</v>
      </c>
      <c r="I47" s="10">
        <f t="shared" ref="I47:L47" si="63">IF(X47="",I547,X47)</f>
        <v>0</v>
      </c>
      <c r="J47" s="10">
        <f t="shared" si="63"/>
        <v>0</v>
      </c>
      <c r="K47" s="10">
        <f t="shared" si="63"/>
        <v>0</v>
      </c>
      <c r="L47" s="10">
        <f t="shared" si="63"/>
        <v>0</v>
      </c>
      <c r="M47" s="17">
        <f t="shared" si="49"/>
        <v>0</v>
      </c>
      <c r="N47" s="10">
        <f t="shared" ref="N47:Q47" si="64">IF(AC47="",N547,AC47)</f>
        <v>0</v>
      </c>
      <c r="O47" s="10">
        <f t="shared" si="64"/>
        <v>0</v>
      </c>
      <c r="P47" s="10">
        <f t="shared" si="64"/>
        <v>0</v>
      </c>
      <c r="Q47" s="10">
        <f t="shared" si="64"/>
        <v>0</v>
      </c>
      <c r="R47" s="22">
        <f t="shared" si="51"/>
        <v>0</v>
      </c>
      <c r="S47" s="23">
        <f t="shared" ref="S47:U47" si="65">IF(AH47="",S547,AH47)</f>
        <v>0</v>
      </c>
      <c r="T47" s="23">
        <f t="shared" si="65"/>
        <v>0</v>
      </c>
      <c r="U47" s="23">
        <f t="shared" si="65"/>
        <v>0</v>
      </c>
      <c r="W47" s="79" t="str">
        <f t="shared" si="57"/>
        <v>Product Line 4</v>
      </c>
      <c r="X47" s="64"/>
      <c r="Y47" s="64"/>
      <c r="Z47" s="64"/>
      <c r="AA47" s="64"/>
      <c r="AB47" s="60"/>
      <c r="AC47" s="64"/>
      <c r="AD47" s="64"/>
      <c r="AE47" s="64"/>
      <c r="AF47" s="64"/>
      <c r="AG47" s="60"/>
      <c r="AH47" s="64"/>
      <c r="AI47" s="64"/>
      <c r="AJ47" s="64"/>
    </row>
    <row r="48" spans="2:36" hidden="1" outlineLevel="1" x14ac:dyDescent="0.25">
      <c r="B48" s="229" t="s">
        <v>195</v>
      </c>
      <c r="C48" s="229" t="s">
        <v>195</v>
      </c>
      <c r="E48" s="78" t="s">
        <v>71</v>
      </c>
      <c r="F48" s="21">
        <f t="shared" ref="F48:H48" si="66">F548</f>
        <v>0</v>
      </c>
      <c r="G48" s="21">
        <f t="shared" si="66"/>
        <v>0</v>
      </c>
      <c r="H48" s="21">
        <f t="shared" si="66"/>
        <v>0</v>
      </c>
      <c r="I48" s="10">
        <f t="shared" ref="I48:L48" si="67">IF(X48="",I548,X48)</f>
        <v>0</v>
      </c>
      <c r="J48" s="10">
        <f t="shared" si="67"/>
        <v>0</v>
      </c>
      <c r="K48" s="10">
        <f t="shared" si="67"/>
        <v>0</v>
      </c>
      <c r="L48" s="10">
        <f t="shared" si="67"/>
        <v>0</v>
      </c>
      <c r="M48" s="17">
        <f t="shared" si="49"/>
        <v>0</v>
      </c>
      <c r="N48" s="10">
        <f t="shared" ref="N48:Q48" si="68">IF(AC48="",N548,AC48)</f>
        <v>0</v>
      </c>
      <c r="O48" s="10">
        <f t="shared" si="68"/>
        <v>0</v>
      </c>
      <c r="P48" s="10">
        <f t="shared" si="68"/>
        <v>0</v>
      </c>
      <c r="Q48" s="10">
        <f t="shared" si="68"/>
        <v>0</v>
      </c>
      <c r="R48" s="22">
        <f t="shared" si="51"/>
        <v>0</v>
      </c>
      <c r="S48" s="23">
        <f t="shared" ref="S48:U48" si="69">IF(AH48="",S548,AH48)</f>
        <v>0</v>
      </c>
      <c r="T48" s="23">
        <f t="shared" si="69"/>
        <v>0</v>
      </c>
      <c r="U48" s="23">
        <f t="shared" si="69"/>
        <v>0</v>
      </c>
      <c r="W48" s="79" t="str">
        <f t="shared" si="57"/>
        <v>Product Line 5</v>
      </c>
      <c r="X48" s="64"/>
      <c r="Y48" s="64"/>
      <c r="Z48" s="64"/>
      <c r="AA48" s="64"/>
      <c r="AB48" s="60"/>
      <c r="AC48" s="64"/>
      <c r="AD48" s="64"/>
      <c r="AE48" s="64"/>
      <c r="AF48" s="64"/>
      <c r="AG48" s="60"/>
      <c r="AH48" s="64"/>
      <c r="AI48" s="64"/>
      <c r="AJ48" s="64"/>
    </row>
    <row r="49" spans="2:36" hidden="1" outlineLevel="1" x14ac:dyDescent="0.25">
      <c r="B49" s="229" t="s">
        <v>195</v>
      </c>
      <c r="C49" s="229" t="s">
        <v>195</v>
      </c>
      <c r="E49" s="78" t="s">
        <v>72</v>
      </c>
      <c r="F49" s="21">
        <f t="shared" ref="F49:H49" si="70">F549</f>
        <v>0</v>
      </c>
      <c r="G49" s="21">
        <f t="shared" si="70"/>
        <v>0</v>
      </c>
      <c r="H49" s="21">
        <f t="shared" si="70"/>
        <v>0</v>
      </c>
      <c r="I49" s="10">
        <f t="shared" ref="I49:L49" si="71">IF(X49="",I549,X49)</f>
        <v>0</v>
      </c>
      <c r="J49" s="10">
        <f t="shared" si="71"/>
        <v>0</v>
      </c>
      <c r="K49" s="10">
        <f t="shared" si="71"/>
        <v>0</v>
      </c>
      <c r="L49" s="10">
        <f t="shared" si="71"/>
        <v>0</v>
      </c>
      <c r="M49" s="17">
        <f t="shared" si="49"/>
        <v>0</v>
      </c>
      <c r="N49" s="10">
        <f t="shared" ref="N49:Q49" si="72">IF(AC49="",N549,AC49)</f>
        <v>0</v>
      </c>
      <c r="O49" s="10">
        <f t="shared" si="72"/>
        <v>0</v>
      </c>
      <c r="P49" s="10">
        <f t="shared" si="72"/>
        <v>0</v>
      </c>
      <c r="Q49" s="10">
        <f t="shared" si="72"/>
        <v>0</v>
      </c>
      <c r="R49" s="22">
        <f t="shared" si="51"/>
        <v>0</v>
      </c>
      <c r="S49" s="23">
        <f t="shared" ref="S49:U49" si="73">IF(AH49="",S549,AH49)</f>
        <v>0</v>
      </c>
      <c r="T49" s="23">
        <f t="shared" si="73"/>
        <v>0</v>
      </c>
      <c r="U49" s="23">
        <f t="shared" si="73"/>
        <v>0</v>
      </c>
      <c r="W49" s="79" t="str">
        <f t="shared" si="57"/>
        <v>Product Line 6</v>
      </c>
      <c r="X49" s="64"/>
      <c r="Y49" s="64"/>
      <c r="Z49" s="64"/>
      <c r="AA49" s="64"/>
      <c r="AB49" s="60"/>
      <c r="AC49" s="64"/>
      <c r="AD49" s="64"/>
      <c r="AE49" s="64"/>
      <c r="AF49" s="64"/>
      <c r="AG49" s="60"/>
      <c r="AH49" s="64"/>
      <c r="AI49" s="64"/>
      <c r="AJ49" s="64"/>
    </row>
    <row r="50" spans="2:36" hidden="1" outlineLevel="1" x14ac:dyDescent="0.25">
      <c r="B50" s="229" t="s">
        <v>195</v>
      </c>
      <c r="C50" s="229" t="s">
        <v>195</v>
      </c>
      <c r="E50" s="78" t="s">
        <v>73</v>
      </c>
      <c r="F50" s="21">
        <f t="shared" ref="F50:H50" si="74">F550</f>
        <v>0</v>
      </c>
      <c r="G50" s="21">
        <f t="shared" si="74"/>
        <v>0</v>
      </c>
      <c r="H50" s="21">
        <f t="shared" si="74"/>
        <v>0</v>
      </c>
      <c r="I50" s="10">
        <f t="shared" ref="I50:L50" si="75">IF(X50="",I550,X50)</f>
        <v>0</v>
      </c>
      <c r="J50" s="10">
        <f t="shared" si="75"/>
        <v>0</v>
      </c>
      <c r="K50" s="10">
        <f t="shared" si="75"/>
        <v>0</v>
      </c>
      <c r="L50" s="10">
        <f t="shared" si="75"/>
        <v>0</v>
      </c>
      <c r="M50" s="17">
        <f t="shared" si="49"/>
        <v>0</v>
      </c>
      <c r="N50" s="10">
        <f t="shared" ref="N50:Q50" si="76">IF(AC50="",N550,AC50)</f>
        <v>0</v>
      </c>
      <c r="O50" s="10">
        <f t="shared" si="76"/>
        <v>0</v>
      </c>
      <c r="P50" s="10">
        <f t="shared" si="76"/>
        <v>0</v>
      </c>
      <c r="Q50" s="10">
        <f t="shared" si="76"/>
        <v>0</v>
      </c>
      <c r="R50" s="22">
        <f t="shared" si="51"/>
        <v>0</v>
      </c>
      <c r="S50" s="23">
        <f t="shared" ref="S50:U50" si="77">IF(AH50="",S550,AH50)</f>
        <v>0</v>
      </c>
      <c r="T50" s="23">
        <f t="shared" si="77"/>
        <v>0</v>
      </c>
      <c r="U50" s="23">
        <f t="shared" si="77"/>
        <v>0</v>
      </c>
      <c r="W50" s="79" t="str">
        <f t="shared" si="57"/>
        <v>Product Line 7</v>
      </c>
      <c r="X50" s="64"/>
      <c r="Y50" s="64"/>
      <c r="Z50" s="64"/>
      <c r="AA50" s="64"/>
      <c r="AB50" s="60"/>
      <c r="AC50" s="64"/>
      <c r="AD50" s="64"/>
      <c r="AE50" s="64"/>
      <c r="AF50" s="64"/>
      <c r="AG50" s="60"/>
      <c r="AH50" s="64"/>
      <c r="AI50" s="64"/>
      <c r="AJ50" s="64"/>
    </row>
    <row r="51" spans="2:36" ht="15.75" hidden="1" outlineLevel="1" thickBot="1" x14ac:dyDescent="0.3">
      <c r="E51" s="8" t="s">
        <v>27</v>
      </c>
      <c r="F51" s="9">
        <f t="shared" ref="F51:U51" si="78">SUM(F44:F50)</f>
        <v>0</v>
      </c>
      <c r="G51" s="9">
        <f t="shared" si="78"/>
        <v>0</v>
      </c>
      <c r="H51" s="9">
        <f t="shared" si="78"/>
        <v>0</v>
      </c>
      <c r="I51" s="11">
        <f t="shared" si="78"/>
        <v>0</v>
      </c>
      <c r="J51" s="11">
        <f t="shared" si="78"/>
        <v>0</v>
      </c>
      <c r="K51" s="11">
        <f t="shared" si="78"/>
        <v>0</v>
      </c>
      <c r="L51" s="11">
        <f t="shared" si="78"/>
        <v>0</v>
      </c>
      <c r="M51" s="18">
        <f t="shared" si="78"/>
        <v>0</v>
      </c>
      <c r="N51" s="11">
        <f t="shared" si="78"/>
        <v>0</v>
      </c>
      <c r="O51" s="11">
        <f t="shared" si="78"/>
        <v>0</v>
      </c>
      <c r="P51" s="11">
        <f t="shared" si="78"/>
        <v>0</v>
      </c>
      <c r="Q51" s="11">
        <f t="shared" si="78"/>
        <v>0</v>
      </c>
      <c r="R51" s="19">
        <f t="shared" si="78"/>
        <v>0</v>
      </c>
      <c r="S51" s="20">
        <f t="shared" si="78"/>
        <v>0</v>
      </c>
      <c r="T51" s="20">
        <f t="shared" si="78"/>
        <v>0</v>
      </c>
      <c r="U51" s="20">
        <f t="shared" si="78"/>
        <v>0</v>
      </c>
    </row>
    <row r="52" spans="2:36" ht="15.75" hidden="1" outlineLevel="1" thickTop="1" x14ac:dyDescent="0.25"/>
    <row r="53" spans="2:36" hidden="1" outlineLevel="1" x14ac:dyDescent="0.25"/>
    <row r="54" spans="2:36" hidden="1" outlineLevel="1" x14ac:dyDescent="0.25"/>
    <row r="55" spans="2:36" hidden="1" outlineLevel="1" x14ac:dyDescent="0.25">
      <c r="E55" s="4" t="s">
        <v>53</v>
      </c>
      <c r="W55" s="4" t="s">
        <v>53</v>
      </c>
    </row>
    <row r="56" spans="2:36" hidden="1" outlineLevel="1" x14ac:dyDescent="0.25">
      <c r="E56" s="6" t="s">
        <v>25</v>
      </c>
      <c r="W56" s="61" t="s">
        <v>62</v>
      </c>
    </row>
    <row r="57" spans="2:36" hidden="1" outlineLevel="1" x14ac:dyDescent="0.25"/>
    <row r="58" spans="2:36" hidden="1" outlineLevel="1" x14ac:dyDescent="0.25">
      <c r="F58" s="12">
        <f>Inputs!$C$7</f>
        <v>2023</v>
      </c>
      <c r="G58" s="12">
        <f>Inputs!$C$8</f>
        <v>2024</v>
      </c>
      <c r="H58" s="12">
        <f>Inputs!$C$9</f>
        <v>2025</v>
      </c>
      <c r="I58" s="13" t="s">
        <v>1</v>
      </c>
      <c r="J58" s="13" t="s">
        <v>2</v>
      </c>
      <c r="K58" s="13" t="s">
        <v>3</v>
      </c>
      <c r="L58" s="13" t="s">
        <v>4</v>
      </c>
      <c r="M58" s="13">
        <f>Inputs!$C$10</f>
        <v>2026</v>
      </c>
      <c r="N58" s="14" t="s">
        <v>1</v>
      </c>
      <c r="O58" s="14" t="s">
        <v>2</v>
      </c>
      <c r="P58" s="14" t="s">
        <v>3</v>
      </c>
      <c r="Q58" s="14" t="s">
        <v>4</v>
      </c>
      <c r="R58" s="15">
        <f>Inputs!$C$11</f>
        <v>2027</v>
      </c>
      <c r="S58" s="16">
        <f>Inputs!$C$12</f>
        <v>2028</v>
      </c>
      <c r="T58" s="16">
        <f>Inputs!$C$13</f>
        <v>2029</v>
      </c>
      <c r="U58" s="16">
        <f>Inputs!$C$14</f>
        <v>2030</v>
      </c>
      <c r="X58" s="13" t="s">
        <v>1</v>
      </c>
      <c r="Y58" s="13" t="s">
        <v>2</v>
      </c>
      <c r="Z58" s="13" t="s">
        <v>3</v>
      </c>
      <c r="AA58" s="13" t="s">
        <v>4</v>
      </c>
      <c r="AB58" s="13">
        <f>Inputs!$C$10</f>
        <v>2026</v>
      </c>
      <c r="AC58" s="14" t="s">
        <v>1</v>
      </c>
      <c r="AD58" s="14" t="s">
        <v>2</v>
      </c>
      <c r="AE58" s="14" t="s">
        <v>3</v>
      </c>
      <c r="AF58" s="14" t="s">
        <v>4</v>
      </c>
      <c r="AG58" s="15">
        <f>Inputs!$C$11</f>
        <v>2027</v>
      </c>
      <c r="AH58" s="16">
        <f>Inputs!$C$12</f>
        <v>2028</v>
      </c>
      <c r="AI58" s="16">
        <f>Inputs!$C$13</f>
        <v>2029</v>
      </c>
      <c r="AJ58" s="16">
        <f>Inputs!$C$14</f>
        <v>2030</v>
      </c>
    </row>
    <row r="59" spans="2:36" hidden="1" outlineLevel="1" x14ac:dyDescent="0.25">
      <c r="F59" s="71" t="s">
        <v>63</v>
      </c>
      <c r="G59" s="71" t="s">
        <v>63</v>
      </c>
      <c r="H59" s="71" t="s">
        <v>63</v>
      </c>
      <c r="I59" s="71" t="s">
        <v>63</v>
      </c>
      <c r="J59" s="71" t="s">
        <v>63</v>
      </c>
      <c r="K59" s="71" t="s">
        <v>63</v>
      </c>
      <c r="L59" s="71" t="s">
        <v>63</v>
      </c>
      <c r="M59" s="71" t="s">
        <v>63</v>
      </c>
      <c r="N59" s="71" t="s">
        <v>63</v>
      </c>
      <c r="O59" s="71" t="s">
        <v>63</v>
      </c>
      <c r="P59" s="71" t="s">
        <v>63</v>
      </c>
      <c r="Q59" s="71" t="s">
        <v>63</v>
      </c>
      <c r="R59" s="71" t="s">
        <v>63</v>
      </c>
      <c r="S59" s="71" t="s">
        <v>63</v>
      </c>
      <c r="T59" s="71" t="s">
        <v>63</v>
      </c>
      <c r="U59" s="71" t="s">
        <v>63</v>
      </c>
      <c r="X59" s="63" t="s">
        <v>30</v>
      </c>
      <c r="Y59" s="63" t="s">
        <v>30</v>
      </c>
      <c r="Z59" s="63" t="s">
        <v>30</v>
      </c>
      <c r="AA59" s="63" t="s">
        <v>30</v>
      </c>
      <c r="AB59" s="62"/>
      <c r="AC59" s="63" t="s">
        <v>30</v>
      </c>
      <c r="AD59" s="63" t="s">
        <v>30</v>
      </c>
      <c r="AE59" s="63" t="s">
        <v>30</v>
      </c>
      <c r="AF59" s="63" t="s">
        <v>30</v>
      </c>
      <c r="AG59" s="62"/>
      <c r="AH59" s="63" t="s">
        <v>30</v>
      </c>
      <c r="AI59" s="63" t="s">
        <v>30</v>
      </c>
      <c r="AJ59" s="63" t="s">
        <v>30</v>
      </c>
    </row>
    <row r="60" spans="2:36" hidden="1" outlineLevel="1" x14ac:dyDescent="0.25">
      <c r="B60" s="229" t="s">
        <v>195</v>
      </c>
      <c r="C60" s="229" t="s">
        <v>195</v>
      </c>
      <c r="E60" s="78" t="s">
        <v>67</v>
      </c>
      <c r="F60" s="21">
        <f>F560</f>
        <v>0</v>
      </c>
      <c r="G60" s="21">
        <f t="shared" ref="G60:H60" si="79">G560</f>
        <v>0</v>
      </c>
      <c r="H60" s="21">
        <f t="shared" si="79"/>
        <v>0</v>
      </c>
      <c r="I60" s="10">
        <f>IF(X60="",I560,X60)</f>
        <v>0</v>
      </c>
      <c r="J60" s="10">
        <f t="shared" ref="J60:L60" si="80">IF(Y60="",J560,Y60)</f>
        <v>0</v>
      </c>
      <c r="K60" s="10">
        <f t="shared" si="80"/>
        <v>0</v>
      </c>
      <c r="L60" s="10">
        <f t="shared" si="80"/>
        <v>0</v>
      </c>
      <c r="M60" s="17">
        <f t="shared" ref="M60:M66" si="81">SUM(I60:L60)</f>
        <v>0</v>
      </c>
      <c r="N60" s="10">
        <f t="shared" ref="N60:Q60" si="82">IF(AC60="",N560,AC60)</f>
        <v>0</v>
      </c>
      <c r="O60" s="10">
        <f t="shared" si="82"/>
        <v>0</v>
      </c>
      <c r="P60" s="10">
        <f t="shared" si="82"/>
        <v>0</v>
      </c>
      <c r="Q60" s="10">
        <f t="shared" si="82"/>
        <v>0</v>
      </c>
      <c r="R60" s="22">
        <f t="shared" ref="R60:R66" si="83">SUM(N60:Q60)</f>
        <v>0</v>
      </c>
      <c r="S60" s="23">
        <f t="shared" ref="S60:U60" si="84">IF(AH60="",S560,AH60)</f>
        <v>0</v>
      </c>
      <c r="T60" s="23">
        <f t="shared" si="84"/>
        <v>0</v>
      </c>
      <c r="U60" s="23">
        <f t="shared" si="84"/>
        <v>0</v>
      </c>
      <c r="W60" s="79" t="str">
        <f>E60</f>
        <v>Product Line 1</v>
      </c>
      <c r="X60" s="64"/>
      <c r="Y60" s="64"/>
      <c r="Z60" s="64"/>
      <c r="AA60" s="64"/>
      <c r="AB60" s="60"/>
      <c r="AC60" s="64"/>
      <c r="AD60" s="64"/>
      <c r="AE60" s="64"/>
      <c r="AF60" s="64"/>
      <c r="AG60" s="60"/>
      <c r="AH60" s="64"/>
      <c r="AI60" s="64"/>
      <c r="AJ60" s="64"/>
    </row>
    <row r="61" spans="2:36" hidden="1" outlineLevel="1" x14ac:dyDescent="0.25">
      <c r="B61" s="229" t="s">
        <v>195</v>
      </c>
      <c r="C61" s="229" t="s">
        <v>195</v>
      </c>
      <c r="E61" s="78" t="s">
        <v>68</v>
      </c>
      <c r="F61" s="21">
        <f t="shared" ref="F61:H61" si="85">F561</f>
        <v>0</v>
      </c>
      <c r="G61" s="21">
        <f t="shared" si="85"/>
        <v>0</v>
      </c>
      <c r="H61" s="21">
        <f t="shared" si="85"/>
        <v>0</v>
      </c>
      <c r="I61" s="10">
        <f t="shared" ref="I61:L61" si="86">IF(X61="",I561,X61)</f>
        <v>0</v>
      </c>
      <c r="J61" s="10">
        <f t="shared" si="86"/>
        <v>0</v>
      </c>
      <c r="K61" s="10">
        <f t="shared" si="86"/>
        <v>0</v>
      </c>
      <c r="L61" s="10">
        <f t="shared" si="86"/>
        <v>0</v>
      </c>
      <c r="M61" s="17">
        <f t="shared" si="81"/>
        <v>0</v>
      </c>
      <c r="N61" s="10">
        <f t="shared" ref="N61:Q61" si="87">IF(AC61="",N561,AC61)</f>
        <v>0</v>
      </c>
      <c r="O61" s="10">
        <f t="shared" si="87"/>
        <v>0</v>
      </c>
      <c r="P61" s="10">
        <f t="shared" si="87"/>
        <v>0</v>
      </c>
      <c r="Q61" s="10">
        <f t="shared" si="87"/>
        <v>0</v>
      </c>
      <c r="R61" s="22">
        <f t="shared" si="83"/>
        <v>0</v>
      </c>
      <c r="S61" s="23">
        <f t="shared" ref="S61:U61" si="88">IF(AH61="",S561,AH61)</f>
        <v>0</v>
      </c>
      <c r="T61" s="23">
        <f t="shared" si="88"/>
        <v>0</v>
      </c>
      <c r="U61" s="23">
        <f t="shared" si="88"/>
        <v>0</v>
      </c>
      <c r="W61" s="79" t="str">
        <f t="shared" ref="W61:W66" si="89">E61</f>
        <v>Product Line 2</v>
      </c>
      <c r="X61" s="64"/>
      <c r="Y61" s="64"/>
      <c r="Z61" s="64"/>
      <c r="AA61" s="64"/>
      <c r="AB61" s="60"/>
      <c r="AC61" s="64"/>
      <c r="AD61" s="64"/>
      <c r="AE61" s="64"/>
      <c r="AF61" s="64"/>
      <c r="AG61" s="60"/>
      <c r="AH61" s="64"/>
      <c r="AI61" s="64"/>
      <c r="AJ61" s="64"/>
    </row>
    <row r="62" spans="2:36" hidden="1" outlineLevel="1" x14ac:dyDescent="0.25">
      <c r="B62" s="229" t="s">
        <v>195</v>
      </c>
      <c r="C62" s="229" t="s">
        <v>195</v>
      </c>
      <c r="E62" s="78" t="s">
        <v>69</v>
      </c>
      <c r="F62" s="21">
        <f t="shared" ref="F62:H62" si="90">F562</f>
        <v>0</v>
      </c>
      <c r="G62" s="21">
        <f t="shared" si="90"/>
        <v>0</v>
      </c>
      <c r="H62" s="21">
        <f t="shared" si="90"/>
        <v>0</v>
      </c>
      <c r="I62" s="10">
        <f t="shared" ref="I62:L62" si="91">IF(X62="",I562,X62)</f>
        <v>0</v>
      </c>
      <c r="J62" s="10">
        <f t="shared" si="91"/>
        <v>0</v>
      </c>
      <c r="K62" s="10">
        <f t="shared" si="91"/>
        <v>0</v>
      </c>
      <c r="L62" s="10">
        <f t="shared" si="91"/>
        <v>0</v>
      </c>
      <c r="M62" s="17">
        <f t="shared" si="81"/>
        <v>0</v>
      </c>
      <c r="N62" s="10">
        <f t="shared" ref="N62:Q62" si="92">IF(AC62="",N562,AC62)</f>
        <v>0</v>
      </c>
      <c r="O62" s="10">
        <f t="shared" si="92"/>
        <v>0</v>
      </c>
      <c r="P62" s="10">
        <f t="shared" si="92"/>
        <v>0</v>
      </c>
      <c r="Q62" s="10">
        <f t="shared" si="92"/>
        <v>0</v>
      </c>
      <c r="R62" s="22">
        <f t="shared" si="83"/>
        <v>0</v>
      </c>
      <c r="S62" s="23">
        <f t="shared" ref="S62:U62" si="93">IF(AH62="",S562,AH62)</f>
        <v>0</v>
      </c>
      <c r="T62" s="23">
        <f t="shared" si="93"/>
        <v>0</v>
      </c>
      <c r="U62" s="23">
        <f t="shared" si="93"/>
        <v>0</v>
      </c>
      <c r="W62" s="79" t="str">
        <f t="shared" si="89"/>
        <v>Product Line 3</v>
      </c>
      <c r="X62" s="64"/>
      <c r="Y62" s="64"/>
      <c r="Z62" s="64"/>
      <c r="AA62" s="64"/>
      <c r="AB62" s="60"/>
      <c r="AC62" s="64"/>
      <c r="AD62" s="64"/>
      <c r="AE62" s="64"/>
      <c r="AF62" s="64"/>
      <c r="AG62" s="60"/>
      <c r="AH62" s="64"/>
      <c r="AI62" s="64"/>
      <c r="AJ62" s="64"/>
    </row>
    <row r="63" spans="2:36" hidden="1" outlineLevel="1" x14ac:dyDescent="0.25">
      <c r="B63" s="229" t="s">
        <v>195</v>
      </c>
      <c r="C63" s="229" t="s">
        <v>195</v>
      </c>
      <c r="E63" s="78" t="s">
        <v>70</v>
      </c>
      <c r="F63" s="21">
        <f t="shared" ref="F63:H63" si="94">F563</f>
        <v>0</v>
      </c>
      <c r="G63" s="21">
        <f t="shared" si="94"/>
        <v>0</v>
      </c>
      <c r="H63" s="21">
        <f t="shared" si="94"/>
        <v>0</v>
      </c>
      <c r="I63" s="10">
        <f t="shared" ref="I63:L63" si="95">IF(X63="",I563,X63)</f>
        <v>0</v>
      </c>
      <c r="J63" s="10">
        <f t="shared" si="95"/>
        <v>0</v>
      </c>
      <c r="K63" s="10">
        <f t="shared" si="95"/>
        <v>0</v>
      </c>
      <c r="L63" s="10">
        <f t="shared" si="95"/>
        <v>0</v>
      </c>
      <c r="M63" s="17">
        <f t="shared" si="81"/>
        <v>0</v>
      </c>
      <c r="N63" s="10">
        <f t="shared" ref="N63:Q63" si="96">IF(AC63="",N563,AC63)</f>
        <v>0</v>
      </c>
      <c r="O63" s="10">
        <f t="shared" si="96"/>
        <v>0</v>
      </c>
      <c r="P63" s="10">
        <f t="shared" si="96"/>
        <v>0</v>
      </c>
      <c r="Q63" s="10">
        <f t="shared" si="96"/>
        <v>0</v>
      </c>
      <c r="R63" s="22">
        <f t="shared" si="83"/>
        <v>0</v>
      </c>
      <c r="S63" s="23">
        <f t="shared" ref="S63:U63" si="97">IF(AH63="",S563,AH63)</f>
        <v>0</v>
      </c>
      <c r="T63" s="23">
        <f t="shared" si="97"/>
        <v>0</v>
      </c>
      <c r="U63" s="23">
        <f t="shared" si="97"/>
        <v>0</v>
      </c>
      <c r="W63" s="79" t="str">
        <f t="shared" si="89"/>
        <v>Product Line 4</v>
      </c>
      <c r="X63" s="64"/>
      <c r="Y63" s="64"/>
      <c r="Z63" s="64"/>
      <c r="AA63" s="64"/>
      <c r="AB63" s="60"/>
      <c r="AC63" s="64"/>
      <c r="AD63" s="64"/>
      <c r="AE63" s="64"/>
      <c r="AF63" s="64"/>
      <c r="AG63" s="60"/>
      <c r="AH63" s="64"/>
      <c r="AI63" s="64"/>
      <c r="AJ63" s="64"/>
    </row>
    <row r="64" spans="2:36" hidden="1" outlineLevel="1" x14ac:dyDescent="0.25">
      <c r="B64" s="229" t="s">
        <v>195</v>
      </c>
      <c r="C64" s="229" t="s">
        <v>195</v>
      </c>
      <c r="E64" s="78" t="s">
        <v>71</v>
      </c>
      <c r="F64" s="21">
        <f t="shared" ref="F64:H64" si="98">F564</f>
        <v>0</v>
      </c>
      <c r="G64" s="21">
        <f t="shared" si="98"/>
        <v>0</v>
      </c>
      <c r="H64" s="21">
        <f t="shared" si="98"/>
        <v>0</v>
      </c>
      <c r="I64" s="10">
        <f t="shared" ref="I64:L64" si="99">IF(X64="",I564,X64)</f>
        <v>0</v>
      </c>
      <c r="J64" s="10">
        <f t="shared" si="99"/>
        <v>0</v>
      </c>
      <c r="K64" s="10">
        <f t="shared" si="99"/>
        <v>0</v>
      </c>
      <c r="L64" s="10">
        <f t="shared" si="99"/>
        <v>0</v>
      </c>
      <c r="M64" s="17">
        <f t="shared" si="81"/>
        <v>0</v>
      </c>
      <c r="N64" s="10">
        <f t="shared" ref="N64:Q64" si="100">IF(AC64="",N564,AC64)</f>
        <v>0</v>
      </c>
      <c r="O64" s="10">
        <f t="shared" si="100"/>
        <v>0</v>
      </c>
      <c r="P64" s="10">
        <f t="shared" si="100"/>
        <v>0</v>
      </c>
      <c r="Q64" s="10">
        <f t="shared" si="100"/>
        <v>0</v>
      </c>
      <c r="R64" s="22">
        <f t="shared" si="83"/>
        <v>0</v>
      </c>
      <c r="S64" s="23">
        <f t="shared" ref="S64:U64" si="101">IF(AH64="",S564,AH64)</f>
        <v>0</v>
      </c>
      <c r="T64" s="23">
        <f t="shared" si="101"/>
        <v>0</v>
      </c>
      <c r="U64" s="23">
        <f t="shared" si="101"/>
        <v>0</v>
      </c>
      <c r="W64" s="79" t="str">
        <f t="shared" si="89"/>
        <v>Product Line 5</v>
      </c>
      <c r="X64" s="64"/>
      <c r="Y64" s="64"/>
      <c r="Z64" s="64"/>
      <c r="AA64" s="64"/>
      <c r="AB64" s="60"/>
      <c r="AC64" s="64"/>
      <c r="AD64" s="64"/>
      <c r="AE64" s="64"/>
      <c r="AF64" s="64"/>
      <c r="AG64" s="60"/>
      <c r="AH64" s="64"/>
      <c r="AI64" s="64"/>
      <c r="AJ64" s="64"/>
    </row>
    <row r="65" spans="2:36" hidden="1" outlineLevel="1" x14ac:dyDescent="0.25">
      <c r="B65" s="229" t="s">
        <v>195</v>
      </c>
      <c r="C65" s="229" t="s">
        <v>195</v>
      </c>
      <c r="E65" s="78" t="s">
        <v>72</v>
      </c>
      <c r="F65" s="21">
        <f t="shared" ref="F65:H65" si="102">F565</f>
        <v>0</v>
      </c>
      <c r="G65" s="21">
        <f t="shared" si="102"/>
        <v>0</v>
      </c>
      <c r="H65" s="21">
        <f t="shared" si="102"/>
        <v>0</v>
      </c>
      <c r="I65" s="10">
        <f t="shared" ref="I65:L65" si="103">IF(X65="",I565,X65)</f>
        <v>0</v>
      </c>
      <c r="J65" s="10">
        <f t="shared" si="103"/>
        <v>0</v>
      </c>
      <c r="K65" s="10">
        <f t="shared" si="103"/>
        <v>0</v>
      </c>
      <c r="L65" s="10">
        <f t="shared" si="103"/>
        <v>0</v>
      </c>
      <c r="M65" s="17">
        <f t="shared" si="81"/>
        <v>0</v>
      </c>
      <c r="N65" s="10">
        <f t="shared" ref="N65:Q65" si="104">IF(AC65="",N565,AC65)</f>
        <v>0</v>
      </c>
      <c r="O65" s="10">
        <f t="shared" si="104"/>
        <v>0</v>
      </c>
      <c r="P65" s="10">
        <f t="shared" si="104"/>
        <v>0</v>
      </c>
      <c r="Q65" s="10">
        <f t="shared" si="104"/>
        <v>0</v>
      </c>
      <c r="R65" s="22">
        <f t="shared" si="83"/>
        <v>0</v>
      </c>
      <c r="S65" s="23">
        <f t="shared" ref="S65:U65" si="105">IF(AH65="",S565,AH65)</f>
        <v>0</v>
      </c>
      <c r="T65" s="23">
        <f t="shared" si="105"/>
        <v>0</v>
      </c>
      <c r="U65" s="23">
        <f t="shared" si="105"/>
        <v>0</v>
      </c>
      <c r="W65" s="79" t="str">
        <f t="shared" si="89"/>
        <v>Product Line 6</v>
      </c>
      <c r="X65" s="64"/>
      <c r="Y65" s="64"/>
      <c r="Z65" s="64"/>
      <c r="AA65" s="64"/>
      <c r="AB65" s="60"/>
      <c r="AC65" s="64"/>
      <c r="AD65" s="64"/>
      <c r="AE65" s="64"/>
      <c r="AF65" s="64"/>
      <c r="AG65" s="60"/>
      <c r="AH65" s="64"/>
      <c r="AI65" s="64"/>
      <c r="AJ65" s="64"/>
    </row>
    <row r="66" spans="2:36" hidden="1" outlineLevel="1" x14ac:dyDescent="0.25">
      <c r="B66" s="229" t="s">
        <v>195</v>
      </c>
      <c r="C66" s="229" t="s">
        <v>195</v>
      </c>
      <c r="E66" s="78" t="s">
        <v>73</v>
      </c>
      <c r="F66" s="21">
        <f t="shared" ref="F66:H66" si="106">F566</f>
        <v>0</v>
      </c>
      <c r="G66" s="21">
        <f t="shared" si="106"/>
        <v>0</v>
      </c>
      <c r="H66" s="21">
        <f t="shared" si="106"/>
        <v>0</v>
      </c>
      <c r="I66" s="10">
        <f t="shared" ref="I66:L66" si="107">IF(X66="",I566,X66)</f>
        <v>0</v>
      </c>
      <c r="J66" s="10">
        <f t="shared" si="107"/>
        <v>0</v>
      </c>
      <c r="K66" s="10">
        <f t="shared" si="107"/>
        <v>0</v>
      </c>
      <c r="L66" s="10">
        <f t="shared" si="107"/>
        <v>0</v>
      </c>
      <c r="M66" s="17">
        <f t="shared" si="81"/>
        <v>0</v>
      </c>
      <c r="N66" s="10">
        <f t="shared" ref="N66:Q66" si="108">IF(AC66="",N566,AC66)</f>
        <v>0</v>
      </c>
      <c r="O66" s="10">
        <f t="shared" si="108"/>
        <v>0</v>
      </c>
      <c r="P66" s="10">
        <f t="shared" si="108"/>
        <v>0</v>
      </c>
      <c r="Q66" s="10">
        <f t="shared" si="108"/>
        <v>0</v>
      </c>
      <c r="R66" s="22">
        <f t="shared" si="83"/>
        <v>0</v>
      </c>
      <c r="S66" s="23">
        <f t="shared" ref="S66:U66" si="109">IF(AH66="",S566,AH66)</f>
        <v>0</v>
      </c>
      <c r="T66" s="23">
        <f t="shared" si="109"/>
        <v>0</v>
      </c>
      <c r="U66" s="23">
        <f t="shared" si="109"/>
        <v>0</v>
      </c>
      <c r="W66" s="79" t="str">
        <f t="shared" si="89"/>
        <v>Product Line 7</v>
      </c>
      <c r="X66" s="64"/>
      <c r="Y66" s="64"/>
      <c r="Z66" s="64"/>
      <c r="AA66" s="64"/>
      <c r="AB66" s="60"/>
      <c r="AC66" s="64"/>
      <c r="AD66" s="64"/>
      <c r="AE66" s="64"/>
      <c r="AF66" s="64"/>
      <c r="AG66" s="60"/>
      <c r="AH66" s="64"/>
      <c r="AI66" s="64"/>
      <c r="AJ66" s="64"/>
    </row>
    <row r="67" spans="2:36" ht="15.75" hidden="1" outlineLevel="1" thickBot="1" x14ac:dyDescent="0.3">
      <c r="E67" s="8" t="s">
        <v>27</v>
      </c>
      <c r="F67" s="9">
        <f t="shared" ref="F67:U67" si="110">SUM(F60:F66)</f>
        <v>0</v>
      </c>
      <c r="G67" s="9">
        <f t="shared" si="110"/>
        <v>0</v>
      </c>
      <c r="H67" s="9">
        <f t="shared" si="110"/>
        <v>0</v>
      </c>
      <c r="I67" s="11">
        <f t="shared" si="110"/>
        <v>0</v>
      </c>
      <c r="J67" s="11">
        <f t="shared" si="110"/>
        <v>0</v>
      </c>
      <c r="K67" s="11">
        <f t="shared" si="110"/>
        <v>0</v>
      </c>
      <c r="L67" s="11">
        <f t="shared" si="110"/>
        <v>0</v>
      </c>
      <c r="M67" s="18">
        <f t="shared" si="110"/>
        <v>0</v>
      </c>
      <c r="N67" s="11">
        <f t="shared" si="110"/>
        <v>0</v>
      </c>
      <c r="O67" s="11">
        <f t="shared" si="110"/>
        <v>0</v>
      </c>
      <c r="P67" s="11">
        <f t="shared" si="110"/>
        <v>0</v>
      </c>
      <c r="Q67" s="11">
        <f t="shared" si="110"/>
        <v>0</v>
      </c>
      <c r="R67" s="19">
        <f t="shared" si="110"/>
        <v>0</v>
      </c>
      <c r="S67" s="20">
        <f t="shared" si="110"/>
        <v>0</v>
      </c>
      <c r="T67" s="20">
        <f t="shared" si="110"/>
        <v>0</v>
      </c>
      <c r="U67" s="20">
        <f t="shared" si="110"/>
        <v>0</v>
      </c>
    </row>
    <row r="68" spans="2:36" ht="15.75" hidden="1" outlineLevel="1" thickTop="1" x14ac:dyDescent="0.25"/>
    <row r="69" spans="2:36" hidden="1" outlineLevel="1" x14ac:dyDescent="0.25"/>
    <row r="70" spans="2:36" hidden="1" outlineLevel="1" x14ac:dyDescent="0.25"/>
    <row r="71" spans="2:36" hidden="1" outlineLevel="1" x14ac:dyDescent="0.25">
      <c r="E71" s="4" t="s">
        <v>24</v>
      </c>
    </row>
    <row r="72" spans="2:36" hidden="1" outlineLevel="1" x14ac:dyDescent="0.25">
      <c r="E72" s="6" t="s">
        <v>25</v>
      </c>
    </row>
    <row r="73" spans="2:36" hidden="1" outlineLevel="1" x14ac:dyDescent="0.25"/>
    <row r="74" spans="2:36" hidden="1" outlineLevel="1" x14ac:dyDescent="0.25">
      <c r="F74" s="12">
        <f>Inputs!$C$7</f>
        <v>2023</v>
      </c>
      <c r="G74" s="12">
        <f>Inputs!$C$8</f>
        <v>2024</v>
      </c>
      <c r="H74" s="12">
        <f>Inputs!$C$9</f>
        <v>2025</v>
      </c>
      <c r="I74" s="13" t="s">
        <v>1</v>
      </c>
      <c r="J74" s="13" t="s">
        <v>2</v>
      </c>
      <c r="K74" s="13" t="s">
        <v>3</v>
      </c>
      <c r="L74" s="13" t="s">
        <v>4</v>
      </c>
      <c r="M74" s="13">
        <f>Inputs!$C$10</f>
        <v>2026</v>
      </c>
      <c r="N74" s="14" t="s">
        <v>1</v>
      </c>
      <c r="O74" s="14" t="s">
        <v>2</v>
      </c>
      <c r="P74" s="14" t="s">
        <v>3</v>
      </c>
      <c r="Q74" s="14" t="s">
        <v>4</v>
      </c>
      <c r="R74" s="15">
        <f>Inputs!$C$11</f>
        <v>2027</v>
      </c>
      <c r="S74" s="16">
        <f>Inputs!$C$12</f>
        <v>2028</v>
      </c>
      <c r="T74" s="16">
        <f>Inputs!$C$13</f>
        <v>2029</v>
      </c>
      <c r="U74" s="16">
        <f>Inputs!$C$14</f>
        <v>2030</v>
      </c>
    </row>
    <row r="75" spans="2:36" hidden="1" outlineLevel="1" x14ac:dyDescent="0.25">
      <c r="F75" s="71" t="s">
        <v>63</v>
      </c>
      <c r="G75" s="71" t="s">
        <v>63</v>
      </c>
      <c r="H75" s="71" t="s">
        <v>63</v>
      </c>
      <c r="I75" s="71" t="s">
        <v>63</v>
      </c>
      <c r="J75" s="71" t="s">
        <v>63</v>
      </c>
      <c r="K75" s="71" t="s">
        <v>63</v>
      </c>
      <c r="L75" s="71" t="s">
        <v>63</v>
      </c>
      <c r="M75" s="71" t="s">
        <v>63</v>
      </c>
      <c r="N75" s="71" t="s">
        <v>63</v>
      </c>
      <c r="O75" s="71" t="s">
        <v>63</v>
      </c>
      <c r="P75" s="71" t="s">
        <v>63</v>
      </c>
      <c r="Q75" s="71" t="s">
        <v>63</v>
      </c>
      <c r="R75" s="71" t="s">
        <v>63</v>
      </c>
      <c r="S75" s="71" t="s">
        <v>63</v>
      </c>
      <c r="T75" s="71" t="s">
        <v>63</v>
      </c>
      <c r="U75" s="71" t="s">
        <v>63</v>
      </c>
    </row>
    <row r="76" spans="2:36" hidden="1" outlineLevel="1" x14ac:dyDescent="0.25">
      <c r="B76" s="229" t="s">
        <v>195</v>
      </c>
      <c r="C76" s="229" t="s">
        <v>195</v>
      </c>
      <c r="E76" s="78" t="s">
        <v>67</v>
      </c>
      <c r="F76" s="21">
        <f>F576</f>
        <v>0</v>
      </c>
      <c r="G76" s="21">
        <f t="shared" ref="G76:H76" si="111">G576</f>
        <v>0</v>
      </c>
      <c r="H76" s="21">
        <f t="shared" si="111"/>
        <v>0</v>
      </c>
      <c r="I76" s="10">
        <f>IF(X92="",I12*I592,I12*X92)</f>
        <v>0</v>
      </c>
      <c r="J76" s="10">
        <f t="shared" ref="J76:L76" si="112">IF(Y92="",J12*J592,J12*Y92)</f>
        <v>0</v>
      </c>
      <c r="K76" s="10">
        <f t="shared" si="112"/>
        <v>0</v>
      </c>
      <c r="L76" s="10">
        <f t="shared" si="112"/>
        <v>0</v>
      </c>
      <c r="M76" s="17">
        <f t="shared" ref="M76:M82" si="113">SUM(I76:L76)</f>
        <v>0</v>
      </c>
      <c r="N76" s="10">
        <f t="shared" ref="N76:Q76" si="114">IF(AC92="",N12*N592,N12*AC92)</f>
        <v>0</v>
      </c>
      <c r="O76" s="10">
        <f t="shared" si="114"/>
        <v>0</v>
      </c>
      <c r="P76" s="10">
        <f t="shared" si="114"/>
        <v>0</v>
      </c>
      <c r="Q76" s="10">
        <f t="shared" si="114"/>
        <v>0</v>
      </c>
      <c r="R76" s="22">
        <f t="shared" ref="R76:R82" si="115">SUM(N76:Q76)</f>
        <v>0</v>
      </c>
      <c r="S76" s="23">
        <f t="shared" ref="S76:U76" si="116">IF(AH92="",S12*S592,S12*AH92)</f>
        <v>0</v>
      </c>
      <c r="T76" s="23">
        <f t="shared" si="116"/>
        <v>0</v>
      </c>
      <c r="U76" s="23">
        <f t="shared" si="116"/>
        <v>0</v>
      </c>
    </row>
    <row r="77" spans="2:36" hidden="1" outlineLevel="1" x14ac:dyDescent="0.25">
      <c r="B77" s="229" t="s">
        <v>195</v>
      </c>
      <c r="C77" s="229" t="s">
        <v>195</v>
      </c>
      <c r="E77" s="78" t="s">
        <v>68</v>
      </c>
      <c r="F77" s="21">
        <f t="shared" ref="F77:H77" si="117">F577</f>
        <v>0</v>
      </c>
      <c r="G77" s="21">
        <f t="shared" si="117"/>
        <v>0</v>
      </c>
      <c r="H77" s="21">
        <f t="shared" si="117"/>
        <v>0</v>
      </c>
      <c r="I77" s="10">
        <f t="shared" ref="I77:L77" si="118">IF(X93="",I13*I593,I13*X93)</f>
        <v>0</v>
      </c>
      <c r="J77" s="10">
        <f t="shared" si="118"/>
        <v>0</v>
      </c>
      <c r="K77" s="10">
        <f t="shared" si="118"/>
        <v>0</v>
      </c>
      <c r="L77" s="10">
        <f t="shared" si="118"/>
        <v>0</v>
      </c>
      <c r="M77" s="17">
        <f t="shared" si="113"/>
        <v>0</v>
      </c>
      <c r="N77" s="10">
        <f t="shared" ref="N77:Q77" si="119">IF(AC93="",N13*N593,N13*AC93)</f>
        <v>0</v>
      </c>
      <c r="O77" s="10">
        <f t="shared" si="119"/>
        <v>0</v>
      </c>
      <c r="P77" s="10">
        <f t="shared" si="119"/>
        <v>0</v>
      </c>
      <c r="Q77" s="10">
        <f t="shared" si="119"/>
        <v>0</v>
      </c>
      <c r="R77" s="22">
        <f t="shared" si="115"/>
        <v>0</v>
      </c>
      <c r="S77" s="23">
        <f t="shared" ref="S77:U77" si="120">IF(AH93="",S13*S593,S13*AH93)</f>
        <v>0</v>
      </c>
      <c r="T77" s="23">
        <f t="shared" si="120"/>
        <v>0</v>
      </c>
      <c r="U77" s="23">
        <f t="shared" si="120"/>
        <v>0</v>
      </c>
    </row>
    <row r="78" spans="2:36" hidden="1" outlineLevel="1" x14ac:dyDescent="0.25">
      <c r="B78" s="229" t="s">
        <v>195</v>
      </c>
      <c r="C78" s="229" t="s">
        <v>195</v>
      </c>
      <c r="E78" s="78" t="s">
        <v>69</v>
      </c>
      <c r="F78" s="21">
        <f t="shared" ref="F78:H78" si="121">F578</f>
        <v>0</v>
      </c>
      <c r="G78" s="21">
        <f t="shared" si="121"/>
        <v>0</v>
      </c>
      <c r="H78" s="21">
        <f t="shared" si="121"/>
        <v>0</v>
      </c>
      <c r="I78" s="10">
        <f t="shared" ref="I78:L78" si="122">IF(X94="",I14*I594,I14*X94)</f>
        <v>0</v>
      </c>
      <c r="J78" s="10">
        <f t="shared" si="122"/>
        <v>0</v>
      </c>
      <c r="K78" s="10">
        <f t="shared" si="122"/>
        <v>0</v>
      </c>
      <c r="L78" s="10">
        <f t="shared" si="122"/>
        <v>0</v>
      </c>
      <c r="M78" s="17">
        <f t="shared" si="113"/>
        <v>0</v>
      </c>
      <c r="N78" s="10">
        <f t="shared" ref="N78:Q78" si="123">IF(AC94="",N14*N594,N14*AC94)</f>
        <v>0</v>
      </c>
      <c r="O78" s="10">
        <f t="shared" si="123"/>
        <v>0</v>
      </c>
      <c r="P78" s="10">
        <f t="shared" si="123"/>
        <v>0</v>
      </c>
      <c r="Q78" s="10">
        <f t="shared" si="123"/>
        <v>0</v>
      </c>
      <c r="R78" s="22">
        <f t="shared" si="115"/>
        <v>0</v>
      </c>
      <c r="S78" s="23">
        <f t="shared" ref="S78:U78" si="124">IF(AH94="",S14*S594,S14*AH94)</f>
        <v>0</v>
      </c>
      <c r="T78" s="23">
        <f t="shared" si="124"/>
        <v>0</v>
      </c>
      <c r="U78" s="23">
        <f t="shared" si="124"/>
        <v>0</v>
      </c>
    </row>
    <row r="79" spans="2:36" hidden="1" outlineLevel="1" x14ac:dyDescent="0.25">
      <c r="B79" s="229" t="s">
        <v>195</v>
      </c>
      <c r="C79" s="229" t="s">
        <v>195</v>
      </c>
      <c r="E79" s="78" t="s">
        <v>70</v>
      </c>
      <c r="F79" s="21">
        <f t="shared" ref="F79:H79" si="125">F579</f>
        <v>0</v>
      </c>
      <c r="G79" s="21">
        <f t="shared" si="125"/>
        <v>0</v>
      </c>
      <c r="H79" s="21">
        <f t="shared" si="125"/>
        <v>0</v>
      </c>
      <c r="I79" s="10">
        <f t="shared" ref="I79:L79" si="126">IF(X95="",I15*I595,I15*X95)</f>
        <v>0</v>
      </c>
      <c r="J79" s="10">
        <f t="shared" si="126"/>
        <v>0</v>
      </c>
      <c r="K79" s="10">
        <f t="shared" si="126"/>
        <v>0</v>
      </c>
      <c r="L79" s="10">
        <f t="shared" si="126"/>
        <v>0</v>
      </c>
      <c r="M79" s="17">
        <f t="shared" si="113"/>
        <v>0</v>
      </c>
      <c r="N79" s="10">
        <f t="shared" ref="N79:Q79" si="127">IF(AC95="",N15*N595,N15*AC95)</f>
        <v>0</v>
      </c>
      <c r="O79" s="10">
        <f t="shared" si="127"/>
        <v>0</v>
      </c>
      <c r="P79" s="10">
        <f t="shared" si="127"/>
        <v>0</v>
      </c>
      <c r="Q79" s="10">
        <f t="shared" si="127"/>
        <v>0</v>
      </c>
      <c r="R79" s="22">
        <f t="shared" si="115"/>
        <v>0</v>
      </c>
      <c r="S79" s="23">
        <f t="shared" ref="S79:U79" si="128">IF(AH95="",S15*S595,S15*AH95)</f>
        <v>0</v>
      </c>
      <c r="T79" s="23">
        <f t="shared" si="128"/>
        <v>0</v>
      </c>
      <c r="U79" s="23">
        <f t="shared" si="128"/>
        <v>0</v>
      </c>
    </row>
    <row r="80" spans="2:36" hidden="1" outlineLevel="1" x14ac:dyDescent="0.25">
      <c r="B80" s="229" t="s">
        <v>195</v>
      </c>
      <c r="C80" s="229" t="s">
        <v>195</v>
      </c>
      <c r="E80" s="78" t="s">
        <v>71</v>
      </c>
      <c r="F80" s="21">
        <f t="shared" ref="F80:H80" si="129">F580</f>
        <v>0</v>
      </c>
      <c r="G80" s="21">
        <f t="shared" si="129"/>
        <v>0</v>
      </c>
      <c r="H80" s="21">
        <f t="shared" si="129"/>
        <v>0</v>
      </c>
      <c r="I80" s="10">
        <f t="shared" ref="I80:L80" si="130">IF(X96="",I16*I596,I16*X96)</f>
        <v>0</v>
      </c>
      <c r="J80" s="10">
        <f t="shared" si="130"/>
        <v>0</v>
      </c>
      <c r="K80" s="10">
        <f t="shared" si="130"/>
        <v>0</v>
      </c>
      <c r="L80" s="10">
        <f t="shared" si="130"/>
        <v>0</v>
      </c>
      <c r="M80" s="17">
        <f t="shared" si="113"/>
        <v>0</v>
      </c>
      <c r="N80" s="10">
        <f t="shared" ref="N80:Q80" si="131">IF(AC96="",N16*N596,N16*AC96)</f>
        <v>0</v>
      </c>
      <c r="O80" s="10">
        <f t="shared" si="131"/>
        <v>0</v>
      </c>
      <c r="P80" s="10">
        <f t="shared" si="131"/>
        <v>0</v>
      </c>
      <c r="Q80" s="10">
        <f t="shared" si="131"/>
        <v>0</v>
      </c>
      <c r="R80" s="22">
        <f t="shared" si="115"/>
        <v>0</v>
      </c>
      <c r="S80" s="23">
        <f t="shared" ref="S80:U80" si="132">IF(AH96="",S16*S596,S16*AH96)</f>
        <v>0</v>
      </c>
      <c r="T80" s="23">
        <f t="shared" si="132"/>
        <v>0</v>
      </c>
      <c r="U80" s="23">
        <f t="shared" si="132"/>
        <v>0</v>
      </c>
    </row>
    <row r="81" spans="2:36" hidden="1" outlineLevel="1" x14ac:dyDescent="0.25">
      <c r="B81" s="229" t="s">
        <v>195</v>
      </c>
      <c r="C81" s="229" t="s">
        <v>195</v>
      </c>
      <c r="E81" s="78" t="s">
        <v>72</v>
      </c>
      <c r="F81" s="21">
        <f t="shared" ref="F81:H81" si="133">F581</f>
        <v>0</v>
      </c>
      <c r="G81" s="21">
        <f t="shared" si="133"/>
        <v>0</v>
      </c>
      <c r="H81" s="21">
        <f t="shared" si="133"/>
        <v>0</v>
      </c>
      <c r="I81" s="10">
        <f t="shared" ref="I81:L81" si="134">IF(X97="",I17*I597,I17*X97)</f>
        <v>0</v>
      </c>
      <c r="J81" s="10">
        <f t="shared" si="134"/>
        <v>0</v>
      </c>
      <c r="K81" s="10">
        <f t="shared" si="134"/>
        <v>0</v>
      </c>
      <c r="L81" s="10">
        <f t="shared" si="134"/>
        <v>0</v>
      </c>
      <c r="M81" s="17">
        <f t="shared" si="113"/>
        <v>0</v>
      </c>
      <c r="N81" s="10">
        <f t="shared" ref="N81:Q81" si="135">IF(AC97="",N17*N597,N17*AC97)</f>
        <v>0</v>
      </c>
      <c r="O81" s="10">
        <f t="shared" si="135"/>
        <v>0</v>
      </c>
      <c r="P81" s="10">
        <f t="shared" si="135"/>
        <v>0</v>
      </c>
      <c r="Q81" s="10">
        <f t="shared" si="135"/>
        <v>0</v>
      </c>
      <c r="R81" s="22">
        <f t="shared" si="115"/>
        <v>0</v>
      </c>
      <c r="S81" s="23">
        <f t="shared" ref="S81:U81" si="136">IF(AH97="",S17*S597,S17*AH97)</f>
        <v>0</v>
      </c>
      <c r="T81" s="23">
        <f t="shared" si="136"/>
        <v>0</v>
      </c>
      <c r="U81" s="23">
        <f t="shared" si="136"/>
        <v>0</v>
      </c>
    </row>
    <row r="82" spans="2:36" hidden="1" outlineLevel="1" x14ac:dyDescent="0.25">
      <c r="B82" s="229" t="s">
        <v>195</v>
      </c>
      <c r="C82" s="229" t="s">
        <v>195</v>
      </c>
      <c r="E82" s="78" t="s">
        <v>73</v>
      </c>
      <c r="F82" s="21">
        <f t="shared" ref="F82:H82" si="137">F582</f>
        <v>0</v>
      </c>
      <c r="G82" s="21">
        <f t="shared" si="137"/>
        <v>0</v>
      </c>
      <c r="H82" s="21">
        <f t="shared" si="137"/>
        <v>0</v>
      </c>
      <c r="I82" s="10">
        <f t="shared" ref="I82:L82" si="138">IF(X98="",I18*I598,I18*X98)</f>
        <v>0</v>
      </c>
      <c r="J82" s="10">
        <f t="shared" si="138"/>
        <v>0</v>
      </c>
      <c r="K82" s="10">
        <f t="shared" si="138"/>
        <v>0</v>
      </c>
      <c r="L82" s="10">
        <f t="shared" si="138"/>
        <v>0</v>
      </c>
      <c r="M82" s="17">
        <f t="shared" si="113"/>
        <v>0</v>
      </c>
      <c r="N82" s="10">
        <f t="shared" ref="N82:Q82" si="139">IF(AC98="",N18*N598,N18*AC98)</f>
        <v>0</v>
      </c>
      <c r="O82" s="10">
        <f t="shared" si="139"/>
        <v>0</v>
      </c>
      <c r="P82" s="10">
        <f t="shared" si="139"/>
        <v>0</v>
      </c>
      <c r="Q82" s="10">
        <f t="shared" si="139"/>
        <v>0</v>
      </c>
      <c r="R82" s="22">
        <f t="shared" si="115"/>
        <v>0</v>
      </c>
      <c r="S82" s="23">
        <f t="shared" ref="S82:U82" si="140">IF(AH98="",S18*S598,S18*AH98)</f>
        <v>0</v>
      </c>
      <c r="T82" s="23">
        <f t="shared" si="140"/>
        <v>0</v>
      </c>
      <c r="U82" s="23">
        <f t="shared" si="140"/>
        <v>0</v>
      </c>
    </row>
    <row r="83" spans="2:36" ht="15.75" hidden="1" outlineLevel="1" thickBot="1" x14ac:dyDescent="0.3">
      <c r="E83" s="8" t="s">
        <v>27</v>
      </c>
      <c r="F83" s="9">
        <f t="shared" ref="F83:U83" si="141">SUM(F76:F82)</f>
        <v>0</v>
      </c>
      <c r="G83" s="9">
        <f t="shared" si="141"/>
        <v>0</v>
      </c>
      <c r="H83" s="9">
        <f t="shared" si="141"/>
        <v>0</v>
      </c>
      <c r="I83" s="11">
        <f t="shared" si="141"/>
        <v>0</v>
      </c>
      <c r="J83" s="11">
        <f t="shared" si="141"/>
        <v>0</v>
      </c>
      <c r="K83" s="11">
        <f t="shared" si="141"/>
        <v>0</v>
      </c>
      <c r="L83" s="11">
        <f t="shared" si="141"/>
        <v>0</v>
      </c>
      <c r="M83" s="18">
        <f t="shared" si="141"/>
        <v>0</v>
      </c>
      <c r="N83" s="11">
        <f t="shared" si="141"/>
        <v>0</v>
      </c>
      <c r="O83" s="11">
        <f t="shared" si="141"/>
        <v>0</v>
      </c>
      <c r="P83" s="11">
        <f t="shared" si="141"/>
        <v>0</v>
      </c>
      <c r="Q83" s="11">
        <f t="shared" si="141"/>
        <v>0</v>
      </c>
      <c r="R83" s="19">
        <f t="shared" si="141"/>
        <v>0</v>
      </c>
      <c r="S83" s="20">
        <f t="shared" si="141"/>
        <v>0</v>
      </c>
      <c r="T83" s="20">
        <f t="shared" si="141"/>
        <v>0</v>
      </c>
      <c r="U83" s="20">
        <f t="shared" si="141"/>
        <v>0</v>
      </c>
    </row>
    <row r="84" spans="2:36" ht="15.75" hidden="1" outlineLevel="1" thickTop="1" x14ac:dyDescent="0.25">
      <c r="F84" s="24"/>
      <c r="G84" s="25"/>
      <c r="H84" s="25"/>
      <c r="I84" s="25"/>
      <c r="J84" s="25"/>
      <c r="K84" s="25"/>
      <c r="L84" s="25"/>
      <c r="M84" s="25"/>
      <c r="N84" s="25"/>
      <c r="O84" s="25"/>
      <c r="P84" s="25"/>
      <c r="Q84" s="25"/>
      <c r="R84" s="25"/>
      <c r="S84" s="25"/>
      <c r="T84" s="25"/>
      <c r="U84" s="25"/>
    </row>
    <row r="85" spans="2:36" hidden="1" outlineLevel="1" x14ac:dyDescent="0.25"/>
    <row r="86" spans="2:36" hidden="1" outlineLevel="1" x14ac:dyDescent="0.25"/>
    <row r="87" spans="2:36" hidden="1" outlineLevel="1" x14ac:dyDescent="0.25">
      <c r="E87" s="4" t="s">
        <v>26</v>
      </c>
      <c r="W87" s="4" t="s">
        <v>26</v>
      </c>
    </row>
    <row r="88" spans="2:36" hidden="1" outlineLevel="1" x14ac:dyDescent="0.25">
      <c r="E88" s="6" t="s">
        <v>74</v>
      </c>
      <c r="W88" s="61" t="s">
        <v>66</v>
      </c>
    </row>
    <row r="89" spans="2:36" hidden="1" outlineLevel="1" x14ac:dyDescent="0.25"/>
    <row r="90" spans="2:36" hidden="1" outlineLevel="1" x14ac:dyDescent="0.25">
      <c r="F90" s="12">
        <f>Inputs!$C$7</f>
        <v>2023</v>
      </c>
      <c r="G90" s="12">
        <f>Inputs!$C$8</f>
        <v>2024</v>
      </c>
      <c r="H90" s="12">
        <f>Inputs!$C$9</f>
        <v>2025</v>
      </c>
      <c r="I90" s="13" t="s">
        <v>1</v>
      </c>
      <c r="J90" s="13" t="s">
        <v>2</v>
      </c>
      <c r="K90" s="13" t="s">
        <v>3</v>
      </c>
      <c r="L90" s="13" t="s">
        <v>4</v>
      </c>
      <c r="M90" s="13">
        <f>Inputs!$C$10</f>
        <v>2026</v>
      </c>
      <c r="N90" s="14" t="s">
        <v>1</v>
      </c>
      <c r="O90" s="14" t="s">
        <v>2</v>
      </c>
      <c r="P90" s="14" t="s">
        <v>3</v>
      </c>
      <c r="Q90" s="14" t="s">
        <v>4</v>
      </c>
      <c r="R90" s="15">
        <f>Inputs!$C$11</f>
        <v>2027</v>
      </c>
      <c r="S90" s="16">
        <f>Inputs!$C$12</f>
        <v>2028</v>
      </c>
      <c r="T90" s="16">
        <f>Inputs!$C$13</f>
        <v>2029</v>
      </c>
      <c r="U90" s="16">
        <f>Inputs!$C$14</f>
        <v>2030</v>
      </c>
      <c r="X90" s="13" t="s">
        <v>1</v>
      </c>
      <c r="Y90" s="13" t="s">
        <v>2</v>
      </c>
      <c r="Z90" s="13" t="s">
        <v>3</v>
      </c>
      <c r="AA90" s="13" t="s">
        <v>4</v>
      </c>
      <c r="AB90" s="13">
        <f>Inputs!$C$10</f>
        <v>2026</v>
      </c>
      <c r="AC90" s="14" t="s">
        <v>1</v>
      </c>
      <c r="AD90" s="14" t="s">
        <v>2</v>
      </c>
      <c r="AE90" s="14" t="s">
        <v>3</v>
      </c>
      <c r="AF90" s="14" t="s">
        <v>4</v>
      </c>
      <c r="AG90" s="15">
        <f>Inputs!$C$11</f>
        <v>2027</v>
      </c>
      <c r="AH90" s="16">
        <f>Inputs!$C$12</f>
        <v>2028</v>
      </c>
      <c r="AI90" s="16">
        <f>Inputs!$C$13</f>
        <v>2029</v>
      </c>
      <c r="AJ90" s="16">
        <f>Inputs!$C$14</f>
        <v>2030</v>
      </c>
    </row>
    <row r="91" spans="2:36" hidden="1" outlineLevel="1" x14ac:dyDescent="0.25">
      <c r="F91" s="71" t="s">
        <v>64</v>
      </c>
      <c r="G91" s="71" t="s">
        <v>64</v>
      </c>
      <c r="H91" s="71" t="s">
        <v>64</v>
      </c>
      <c r="I91" s="71" t="s">
        <v>64</v>
      </c>
      <c r="J91" s="71" t="s">
        <v>64</v>
      </c>
      <c r="K91" s="71" t="s">
        <v>64</v>
      </c>
      <c r="L91" s="71" t="s">
        <v>64</v>
      </c>
      <c r="M91" s="71" t="s">
        <v>64</v>
      </c>
      <c r="N91" s="71" t="s">
        <v>64</v>
      </c>
      <c r="O91" s="71" t="s">
        <v>64</v>
      </c>
      <c r="P91" s="71" t="s">
        <v>64</v>
      </c>
      <c r="Q91" s="71" t="s">
        <v>64</v>
      </c>
      <c r="R91" s="71" t="s">
        <v>64</v>
      </c>
      <c r="S91" s="71" t="s">
        <v>64</v>
      </c>
      <c r="T91" s="71" t="s">
        <v>64</v>
      </c>
      <c r="U91" s="71" t="s">
        <v>64</v>
      </c>
      <c r="X91" s="63" t="s">
        <v>64</v>
      </c>
      <c r="Y91" s="63" t="s">
        <v>64</v>
      </c>
      <c r="Z91" s="63" t="s">
        <v>64</v>
      </c>
      <c r="AA91" s="63" t="s">
        <v>64</v>
      </c>
      <c r="AB91" s="63"/>
      <c r="AC91" s="63" t="s">
        <v>64</v>
      </c>
      <c r="AD91" s="63" t="s">
        <v>64</v>
      </c>
      <c r="AE91" s="63" t="s">
        <v>64</v>
      </c>
      <c r="AF91" s="63" t="s">
        <v>64</v>
      </c>
      <c r="AG91" s="63"/>
      <c r="AH91" s="63" t="s">
        <v>64</v>
      </c>
      <c r="AI91" s="63" t="s">
        <v>64</v>
      </c>
      <c r="AJ91" s="63" t="s">
        <v>64</v>
      </c>
    </row>
    <row r="92" spans="2:36" hidden="1" outlineLevel="1" x14ac:dyDescent="0.25">
      <c r="B92" s="229" t="s">
        <v>195</v>
      </c>
      <c r="C92" s="229" t="s">
        <v>195</v>
      </c>
      <c r="E92" s="78" t="s">
        <v>67</v>
      </c>
      <c r="F92" s="26">
        <f t="shared" ref="F92:U92" si="142">IFERROR(F76/F12,0)</f>
        <v>0</v>
      </c>
      <c r="G92" s="26">
        <f t="shared" si="142"/>
        <v>0</v>
      </c>
      <c r="H92" s="26">
        <f t="shared" si="142"/>
        <v>0</v>
      </c>
      <c r="I92" s="27">
        <f t="shared" si="142"/>
        <v>0</v>
      </c>
      <c r="J92" s="27">
        <f t="shared" si="142"/>
        <v>0</v>
      </c>
      <c r="K92" s="27">
        <f t="shared" si="142"/>
        <v>0</v>
      </c>
      <c r="L92" s="27">
        <f t="shared" si="142"/>
        <v>0</v>
      </c>
      <c r="M92" s="28">
        <f t="shared" si="142"/>
        <v>0</v>
      </c>
      <c r="N92" s="27">
        <f t="shared" si="142"/>
        <v>0</v>
      </c>
      <c r="O92" s="27">
        <f t="shared" si="142"/>
        <v>0</v>
      </c>
      <c r="P92" s="27">
        <f t="shared" si="142"/>
        <v>0</v>
      </c>
      <c r="Q92" s="27">
        <f t="shared" si="142"/>
        <v>0</v>
      </c>
      <c r="R92" s="29">
        <f t="shared" si="142"/>
        <v>0</v>
      </c>
      <c r="S92" s="30">
        <f t="shared" si="142"/>
        <v>0</v>
      </c>
      <c r="T92" s="30">
        <f t="shared" si="142"/>
        <v>0</v>
      </c>
      <c r="U92" s="30">
        <f t="shared" si="142"/>
        <v>0</v>
      </c>
      <c r="W92" s="79" t="str">
        <f>E92</f>
        <v>Product Line 1</v>
      </c>
      <c r="X92" s="64"/>
      <c r="Y92" s="64"/>
      <c r="Z92" s="64"/>
      <c r="AA92" s="64"/>
      <c r="AB92" s="60"/>
      <c r="AC92" s="64"/>
      <c r="AD92" s="64"/>
      <c r="AE92" s="64"/>
      <c r="AF92" s="64"/>
      <c r="AG92" s="60"/>
      <c r="AH92" s="64"/>
      <c r="AI92" s="64"/>
      <c r="AJ92" s="64"/>
    </row>
    <row r="93" spans="2:36" hidden="1" outlineLevel="1" x14ac:dyDescent="0.25">
      <c r="B93" s="229" t="s">
        <v>195</v>
      </c>
      <c r="C93" s="229" t="s">
        <v>195</v>
      </c>
      <c r="E93" s="78" t="s">
        <v>68</v>
      </c>
      <c r="F93" s="26">
        <f t="shared" ref="F93:U93" si="143">IFERROR(F77/F13,0)</f>
        <v>0</v>
      </c>
      <c r="G93" s="26">
        <f t="shared" si="143"/>
        <v>0</v>
      </c>
      <c r="H93" s="26">
        <f t="shared" si="143"/>
        <v>0</v>
      </c>
      <c r="I93" s="27">
        <f t="shared" si="143"/>
        <v>0</v>
      </c>
      <c r="J93" s="27">
        <f t="shared" si="143"/>
        <v>0</v>
      </c>
      <c r="K93" s="27">
        <f t="shared" si="143"/>
        <v>0</v>
      </c>
      <c r="L93" s="27">
        <f t="shared" si="143"/>
        <v>0</v>
      </c>
      <c r="M93" s="28">
        <f t="shared" si="143"/>
        <v>0</v>
      </c>
      <c r="N93" s="27">
        <f t="shared" si="143"/>
        <v>0</v>
      </c>
      <c r="O93" s="27">
        <f t="shared" si="143"/>
        <v>0</v>
      </c>
      <c r="P93" s="27">
        <f t="shared" si="143"/>
        <v>0</v>
      </c>
      <c r="Q93" s="27">
        <f t="shared" si="143"/>
        <v>0</v>
      </c>
      <c r="R93" s="29">
        <f t="shared" si="143"/>
        <v>0</v>
      </c>
      <c r="S93" s="30">
        <f t="shared" si="143"/>
        <v>0</v>
      </c>
      <c r="T93" s="30">
        <f t="shared" si="143"/>
        <v>0</v>
      </c>
      <c r="U93" s="30">
        <f t="shared" si="143"/>
        <v>0</v>
      </c>
      <c r="W93" s="79" t="str">
        <f t="shared" ref="W93:W98" si="144">E93</f>
        <v>Product Line 2</v>
      </c>
      <c r="X93" s="64"/>
      <c r="Y93" s="64"/>
      <c r="Z93" s="64"/>
      <c r="AA93" s="64"/>
      <c r="AB93" s="60"/>
      <c r="AC93" s="64"/>
      <c r="AD93" s="64"/>
      <c r="AE93" s="64"/>
      <c r="AF93" s="64"/>
      <c r="AG93" s="60"/>
      <c r="AH93" s="64"/>
      <c r="AI93" s="64"/>
      <c r="AJ93" s="64"/>
    </row>
    <row r="94" spans="2:36" hidden="1" outlineLevel="1" x14ac:dyDescent="0.25">
      <c r="B94" s="229" t="s">
        <v>195</v>
      </c>
      <c r="C94" s="229" t="s">
        <v>195</v>
      </c>
      <c r="E94" s="78" t="s">
        <v>69</v>
      </c>
      <c r="F94" s="26">
        <f t="shared" ref="F94:U94" si="145">IFERROR(F78/F14,0)</f>
        <v>0</v>
      </c>
      <c r="G94" s="26">
        <f t="shared" si="145"/>
        <v>0</v>
      </c>
      <c r="H94" s="26">
        <f t="shared" si="145"/>
        <v>0</v>
      </c>
      <c r="I94" s="27">
        <f t="shared" si="145"/>
        <v>0</v>
      </c>
      <c r="J94" s="27">
        <f t="shared" si="145"/>
        <v>0</v>
      </c>
      <c r="K94" s="27">
        <f t="shared" si="145"/>
        <v>0</v>
      </c>
      <c r="L94" s="27">
        <f t="shared" si="145"/>
        <v>0</v>
      </c>
      <c r="M94" s="28">
        <f t="shared" si="145"/>
        <v>0</v>
      </c>
      <c r="N94" s="27">
        <f t="shared" si="145"/>
        <v>0</v>
      </c>
      <c r="O94" s="27">
        <f t="shared" si="145"/>
        <v>0</v>
      </c>
      <c r="P94" s="27">
        <f t="shared" si="145"/>
        <v>0</v>
      </c>
      <c r="Q94" s="27">
        <f t="shared" si="145"/>
        <v>0</v>
      </c>
      <c r="R94" s="29">
        <f t="shared" si="145"/>
        <v>0</v>
      </c>
      <c r="S94" s="30">
        <f t="shared" si="145"/>
        <v>0</v>
      </c>
      <c r="T94" s="30">
        <f t="shared" si="145"/>
        <v>0</v>
      </c>
      <c r="U94" s="30">
        <f t="shared" si="145"/>
        <v>0</v>
      </c>
      <c r="W94" s="79" t="str">
        <f t="shared" si="144"/>
        <v>Product Line 3</v>
      </c>
      <c r="X94" s="64"/>
      <c r="Y94" s="64"/>
      <c r="Z94" s="64"/>
      <c r="AA94" s="64"/>
      <c r="AB94" s="60"/>
      <c r="AC94" s="64"/>
      <c r="AD94" s="64"/>
      <c r="AE94" s="64"/>
      <c r="AF94" s="64"/>
      <c r="AG94" s="60"/>
      <c r="AH94" s="64"/>
      <c r="AI94" s="64"/>
      <c r="AJ94" s="64"/>
    </row>
    <row r="95" spans="2:36" hidden="1" outlineLevel="1" x14ac:dyDescent="0.25">
      <c r="B95" s="229" t="s">
        <v>195</v>
      </c>
      <c r="C95" s="229" t="s">
        <v>195</v>
      </c>
      <c r="E95" s="78" t="s">
        <v>70</v>
      </c>
      <c r="F95" s="26">
        <f t="shared" ref="F95:U95" si="146">IFERROR(F79/F15,0)</f>
        <v>0</v>
      </c>
      <c r="G95" s="26">
        <f t="shared" si="146"/>
        <v>0</v>
      </c>
      <c r="H95" s="26">
        <f t="shared" si="146"/>
        <v>0</v>
      </c>
      <c r="I95" s="27">
        <f t="shared" si="146"/>
        <v>0</v>
      </c>
      <c r="J95" s="27">
        <f t="shared" si="146"/>
        <v>0</v>
      </c>
      <c r="K95" s="27">
        <f t="shared" si="146"/>
        <v>0</v>
      </c>
      <c r="L95" s="27">
        <f t="shared" si="146"/>
        <v>0</v>
      </c>
      <c r="M95" s="28">
        <f t="shared" si="146"/>
        <v>0</v>
      </c>
      <c r="N95" s="27">
        <f t="shared" si="146"/>
        <v>0</v>
      </c>
      <c r="O95" s="27">
        <f t="shared" si="146"/>
        <v>0</v>
      </c>
      <c r="P95" s="27">
        <f t="shared" si="146"/>
        <v>0</v>
      </c>
      <c r="Q95" s="27">
        <f t="shared" si="146"/>
        <v>0</v>
      </c>
      <c r="R95" s="29">
        <f t="shared" si="146"/>
        <v>0</v>
      </c>
      <c r="S95" s="30">
        <f t="shared" si="146"/>
        <v>0</v>
      </c>
      <c r="T95" s="30">
        <f t="shared" si="146"/>
        <v>0</v>
      </c>
      <c r="U95" s="30">
        <f t="shared" si="146"/>
        <v>0</v>
      </c>
      <c r="W95" s="79" t="str">
        <f t="shared" si="144"/>
        <v>Product Line 4</v>
      </c>
      <c r="X95" s="64"/>
      <c r="Y95" s="64"/>
      <c r="Z95" s="64"/>
      <c r="AA95" s="64"/>
      <c r="AB95" s="60"/>
      <c r="AC95" s="64"/>
      <c r="AD95" s="64"/>
      <c r="AE95" s="64"/>
      <c r="AF95" s="64"/>
      <c r="AG95" s="60"/>
      <c r="AH95" s="64"/>
      <c r="AI95" s="64"/>
      <c r="AJ95" s="64"/>
    </row>
    <row r="96" spans="2:36" hidden="1" outlineLevel="1" x14ac:dyDescent="0.25">
      <c r="B96" s="229" t="s">
        <v>195</v>
      </c>
      <c r="C96" s="229" t="s">
        <v>195</v>
      </c>
      <c r="E96" s="78" t="s">
        <v>71</v>
      </c>
      <c r="F96" s="26">
        <f t="shared" ref="F96:U96" si="147">IFERROR(F80/F16,0)</f>
        <v>0</v>
      </c>
      <c r="G96" s="26">
        <f t="shared" si="147"/>
        <v>0</v>
      </c>
      <c r="H96" s="26">
        <f t="shared" si="147"/>
        <v>0</v>
      </c>
      <c r="I96" s="27">
        <f t="shared" si="147"/>
        <v>0</v>
      </c>
      <c r="J96" s="27">
        <f t="shared" si="147"/>
        <v>0</v>
      </c>
      <c r="K96" s="27">
        <f t="shared" si="147"/>
        <v>0</v>
      </c>
      <c r="L96" s="27">
        <f t="shared" si="147"/>
        <v>0</v>
      </c>
      <c r="M96" s="28">
        <f t="shared" si="147"/>
        <v>0</v>
      </c>
      <c r="N96" s="27">
        <f t="shared" si="147"/>
        <v>0</v>
      </c>
      <c r="O96" s="27">
        <f t="shared" si="147"/>
        <v>0</v>
      </c>
      <c r="P96" s="27">
        <f t="shared" si="147"/>
        <v>0</v>
      </c>
      <c r="Q96" s="27">
        <f t="shared" si="147"/>
        <v>0</v>
      </c>
      <c r="R96" s="29">
        <f t="shared" si="147"/>
        <v>0</v>
      </c>
      <c r="S96" s="30">
        <f t="shared" si="147"/>
        <v>0</v>
      </c>
      <c r="T96" s="30">
        <f t="shared" si="147"/>
        <v>0</v>
      </c>
      <c r="U96" s="30">
        <f t="shared" si="147"/>
        <v>0</v>
      </c>
      <c r="W96" s="79" t="str">
        <f t="shared" si="144"/>
        <v>Product Line 5</v>
      </c>
      <c r="X96" s="64"/>
      <c r="Y96" s="64"/>
      <c r="Z96" s="64"/>
      <c r="AA96" s="64"/>
      <c r="AB96" s="60"/>
      <c r="AC96" s="64"/>
      <c r="AD96" s="64"/>
      <c r="AE96" s="64"/>
      <c r="AF96" s="64"/>
      <c r="AG96" s="60"/>
      <c r="AH96" s="64"/>
      <c r="AI96" s="64"/>
      <c r="AJ96" s="64"/>
    </row>
    <row r="97" spans="2:36" hidden="1" outlineLevel="1" x14ac:dyDescent="0.25">
      <c r="B97" s="229" t="s">
        <v>195</v>
      </c>
      <c r="C97" s="229" t="s">
        <v>195</v>
      </c>
      <c r="E97" s="78" t="s">
        <v>72</v>
      </c>
      <c r="F97" s="26">
        <f t="shared" ref="F97:U97" si="148">IFERROR(F81/F17,0)</f>
        <v>0</v>
      </c>
      <c r="G97" s="26">
        <f t="shared" si="148"/>
        <v>0</v>
      </c>
      <c r="H97" s="26">
        <f t="shared" si="148"/>
        <v>0</v>
      </c>
      <c r="I97" s="27">
        <f t="shared" si="148"/>
        <v>0</v>
      </c>
      <c r="J97" s="27">
        <f t="shared" si="148"/>
        <v>0</v>
      </c>
      <c r="K97" s="27">
        <f t="shared" si="148"/>
        <v>0</v>
      </c>
      <c r="L97" s="27">
        <f t="shared" si="148"/>
        <v>0</v>
      </c>
      <c r="M97" s="28">
        <f t="shared" si="148"/>
        <v>0</v>
      </c>
      <c r="N97" s="27">
        <f t="shared" si="148"/>
        <v>0</v>
      </c>
      <c r="O97" s="27">
        <f t="shared" si="148"/>
        <v>0</v>
      </c>
      <c r="P97" s="27">
        <f t="shared" si="148"/>
        <v>0</v>
      </c>
      <c r="Q97" s="27">
        <f t="shared" si="148"/>
        <v>0</v>
      </c>
      <c r="R97" s="29">
        <f t="shared" si="148"/>
        <v>0</v>
      </c>
      <c r="S97" s="30">
        <f t="shared" si="148"/>
        <v>0</v>
      </c>
      <c r="T97" s="30">
        <f t="shared" si="148"/>
        <v>0</v>
      </c>
      <c r="U97" s="30">
        <f t="shared" si="148"/>
        <v>0</v>
      </c>
      <c r="W97" s="79" t="str">
        <f t="shared" si="144"/>
        <v>Product Line 6</v>
      </c>
      <c r="X97" s="64"/>
      <c r="Y97" s="64"/>
      <c r="Z97" s="64"/>
      <c r="AA97" s="64"/>
      <c r="AB97" s="60"/>
      <c r="AC97" s="64"/>
      <c r="AD97" s="64"/>
      <c r="AE97" s="64"/>
      <c r="AF97" s="64"/>
      <c r="AG97" s="60"/>
      <c r="AH97" s="64"/>
      <c r="AI97" s="64"/>
      <c r="AJ97" s="64"/>
    </row>
    <row r="98" spans="2:36" hidden="1" outlineLevel="1" x14ac:dyDescent="0.25">
      <c r="B98" s="229" t="s">
        <v>195</v>
      </c>
      <c r="C98" s="229" t="s">
        <v>195</v>
      </c>
      <c r="E98" s="78" t="s">
        <v>73</v>
      </c>
      <c r="F98" s="26">
        <f t="shared" ref="F98:U98" si="149">IFERROR(F82/F18,0)</f>
        <v>0</v>
      </c>
      <c r="G98" s="26">
        <f t="shared" si="149"/>
        <v>0</v>
      </c>
      <c r="H98" s="26">
        <f t="shared" si="149"/>
        <v>0</v>
      </c>
      <c r="I98" s="27">
        <f t="shared" si="149"/>
        <v>0</v>
      </c>
      <c r="J98" s="27">
        <f t="shared" si="149"/>
        <v>0</v>
      </c>
      <c r="K98" s="27">
        <f t="shared" si="149"/>
        <v>0</v>
      </c>
      <c r="L98" s="27">
        <f t="shared" si="149"/>
        <v>0</v>
      </c>
      <c r="M98" s="28">
        <f t="shared" si="149"/>
        <v>0</v>
      </c>
      <c r="N98" s="27">
        <f t="shared" si="149"/>
        <v>0</v>
      </c>
      <c r="O98" s="27">
        <f t="shared" si="149"/>
        <v>0</v>
      </c>
      <c r="P98" s="27">
        <f t="shared" si="149"/>
        <v>0</v>
      </c>
      <c r="Q98" s="27">
        <f t="shared" si="149"/>
        <v>0</v>
      </c>
      <c r="R98" s="29">
        <f t="shared" si="149"/>
        <v>0</v>
      </c>
      <c r="S98" s="30">
        <f t="shared" si="149"/>
        <v>0</v>
      </c>
      <c r="T98" s="30">
        <f t="shared" si="149"/>
        <v>0</v>
      </c>
      <c r="U98" s="30">
        <f t="shared" si="149"/>
        <v>0</v>
      </c>
      <c r="W98" s="79" t="str">
        <f t="shared" si="144"/>
        <v>Product Line 7</v>
      </c>
      <c r="X98" s="64"/>
      <c r="Y98" s="64"/>
      <c r="Z98" s="64"/>
      <c r="AA98" s="64"/>
      <c r="AB98" s="60"/>
      <c r="AC98" s="64"/>
      <c r="AD98" s="64"/>
      <c r="AE98" s="64"/>
      <c r="AF98" s="64"/>
      <c r="AG98" s="60"/>
      <c r="AH98" s="64"/>
      <c r="AI98" s="64"/>
      <c r="AJ98" s="64"/>
    </row>
    <row r="99" spans="2:36" ht="15.75" hidden="1" outlineLevel="1" thickBot="1" x14ac:dyDescent="0.3">
      <c r="E99" s="8" t="s">
        <v>27</v>
      </c>
      <c r="F99" s="31">
        <f t="shared" ref="F99:U99" si="150">IFERROR(F83/F19,0)</f>
        <v>0</v>
      </c>
      <c r="G99" s="31">
        <f t="shared" si="150"/>
        <v>0</v>
      </c>
      <c r="H99" s="31">
        <f t="shared" si="150"/>
        <v>0</v>
      </c>
      <c r="I99" s="32">
        <f t="shared" si="150"/>
        <v>0</v>
      </c>
      <c r="J99" s="32">
        <f t="shared" si="150"/>
        <v>0</v>
      </c>
      <c r="K99" s="32">
        <f t="shared" si="150"/>
        <v>0</v>
      </c>
      <c r="L99" s="32">
        <f t="shared" si="150"/>
        <v>0</v>
      </c>
      <c r="M99" s="33">
        <f t="shared" si="150"/>
        <v>0</v>
      </c>
      <c r="N99" s="32">
        <f t="shared" si="150"/>
        <v>0</v>
      </c>
      <c r="O99" s="32">
        <f t="shared" si="150"/>
        <v>0</v>
      </c>
      <c r="P99" s="32">
        <f t="shared" si="150"/>
        <v>0</v>
      </c>
      <c r="Q99" s="32">
        <f t="shared" si="150"/>
        <v>0</v>
      </c>
      <c r="R99" s="34">
        <f t="shared" si="150"/>
        <v>0</v>
      </c>
      <c r="S99" s="35">
        <f t="shared" si="150"/>
        <v>0</v>
      </c>
      <c r="T99" s="35">
        <f t="shared" si="150"/>
        <v>0</v>
      </c>
      <c r="U99" s="35">
        <f t="shared" si="150"/>
        <v>0</v>
      </c>
    </row>
    <row r="100" spans="2:36" ht="15.75" hidden="1" outlineLevel="1" thickTop="1" x14ac:dyDescent="0.25"/>
    <row r="101" spans="2:36" hidden="1" outlineLevel="1" x14ac:dyDescent="0.25"/>
    <row r="102" spans="2:36" hidden="1" outlineLevel="1" x14ac:dyDescent="0.25"/>
    <row r="103" spans="2:36" ht="18.75" collapsed="1" x14ac:dyDescent="0.3">
      <c r="B103" s="4" t="s">
        <v>34</v>
      </c>
      <c r="C103" s="4" t="s">
        <v>387</v>
      </c>
      <c r="E103" s="53" t="str">
        <f>"Scenario 2: "&amp;Inputs!B23</f>
        <v>Scenario 2: Scenario 2</v>
      </c>
      <c r="F103" s="49"/>
      <c r="G103" s="49"/>
      <c r="H103" s="49"/>
      <c r="I103" s="49"/>
      <c r="J103" s="49"/>
      <c r="K103" s="49"/>
      <c r="L103" s="49"/>
      <c r="M103" s="49"/>
      <c r="N103" s="49"/>
      <c r="O103" s="49"/>
      <c r="P103" s="49"/>
      <c r="Q103" s="49"/>
      <c r="R103" s="49"/>
      <c r="S103" s="49"/>
      <c r="T103" s="49"/>
      <c r="U103" s="49"/>
    </row>
    <row r="104" spans="2:36" hidden="1" outlineLevel="1" x14ac:dyDescent="0.25">
      <c r="E104" s="52" t="str">
        <f>Inputs!C23</f>
        <v>Scenario 2 Description</v>
      </c>
    </row>
    <row r="105" spans="2:36" hidden="1" outlineLevel="1" x14ac:dyDescent="0.25"/>
    <row r="106" spans="2:36" hidden="1" outlineLevel="1" x14ac:dyDescent="0.25"/>
    <row r="107" spans="2:36" hidden="1" outlineLevel="1" x14ac:dyDescent="0.25">
      <c r="E107" s="4" t="s">
        <v>23</v>
      </c>
      <c r="W107" s="4" t="s">
        <v>23</v>
      </c>
    </row>
    <row r="108" spans="2:36" hidden="1" outlineLevel="1" x14ac:dyDescent="0.25">
      <c r="E108" s="6" t="s">
        <v>25</v>
      </c>
      <c r="W108" s="61" t="s">
        <v>62</v>
      </c>
    </row>
    <row r="109" spans="2:36" hidden="1" outlineLevel="1" x14ac:dyDescent="0.25"/>
    <row r="110" spans="2:36" hidden="1" outlineLevel="1" x14ac:dyDescent="0.25">
      <c r="F110" s="12">
        <f>Inputs!$C$7</f>
        <v>2023</v>
      </c>
      <c r="G110" s="12">
        <f>Inputs!$C$8</f>
        <v>2024</v>
      </c>
      <c r="H110" s="12">
        <f>Inputs!$C$9</f>
        <v>2025</v>
      </c>
      <c r="I110" s="13" t="s">
        <v>1</v>
      </c>
      <c r="J110" s="13" t="s">
        <v>2</v>
      </c>
      <c r="K110" s="13" t="s">
        <v>3</v>
      </c>
      <c r="L110" s="13" t="s">
        <v>4</v>
      </c>
      <c r="M110" s="13">
        <f>Inputs!$C$10</f>
        <v>2026</v>
      </c>
      <c r="N110" s="14" t="s">
        <v>1</v>
      </c>
      <c r="O110" s="14" t="s">
        <v>2</v>
      </c>
      <c r="P110" s="14" t="s">
        <v>3</v>
      </c>
      <c r="Q110" s="14" t="s">
        <v>4</v>
      </c>
      <c r="R110" s="15">
        <f>Inputs!$C$11</f>
        <v>2027</v>
      </c>
      <c r="S110" s="16">
        <f>Inputs!$C$12</f>
        <v>2028</v>
      </c>
      <c r="T110" s="16">
        <f>Inputs!$C$13</f>
        <v>2029</v>
      </c>
      <c r="U110" s="16">
        <f>Inputs!$C$14</f>
        <v>2030</v>
      </c>
      <c r="X110" s="13" t="s">
        <v>1</v>
      </c>
      <c r="Y110" s="13" t="s">
        <v>2</v>
      </c>
      <c r="Z110" s="13" t="s">
        <v>3</v>
      </c>
      <c r="AA110" s="13" t="s">
        <v>4</v>
      </c>
      <c r="AB110" s="13">
        <f>Inputs!$C$10</f>
        <v>2026</v>
      </c>
      <c r="AC110" s="14" t="s">
        <v>1</v>
      </c>
      <c r="AD110" s="14" t="s">
        <v>2</v>
      </c>
      <c r="AE110" s="14" t="s">
        <v>3</v>
      </c>
      <c r="AF110" s="14" t="s">
        <v>4</v>
      </c>
      <c r="AG110" s="15">
        <f>Inputs!$C$11</f>
        <v>2027</v>
      </c>
      <c r="AH110" s="16">
        <f>Inputs!$C$12</f>
        <v>2028</v>
      </c>
      <c r="AI110" s="16">
        <f>Inputs!$C$13</f>
        <v>2029</v>
      </c>
      <c r="AJ110" s="16">
        <f>Inputs!$C$14</f>
        <v>2030</v>
      </c>
    </row>
    <row r="111" spans="2:36" hidden="1" outlineLevel="1" x14ac:dyDescent="0.25">
      <c r="F111" s="71" t="s">
        <v>63</v>
      </c>
      <c r="G111" s="71" t="s">
        <v>63</v>
      </c>
      <c r="H111" s="71" t="s">
        <v>63</v>
      </c>
      <c r="I111" s="71" t="s">
        <v>63</v>
      </c>
      <c r="J111" s="71" t="s">
        <v>63</v>
      </c>
      <c r="K111" s="71" t="s">
        <v>63</v>
      </c>
      <c r="L111" s="71" t="s">
        <v>63</v>
      </c>
      <c r="M111" s="71" t="s">
        <v>63</v>
      </c>
      <c r="N111" s="71" t="s">
        <v>63</v>
      </c>
      <c r="O111" s="71" t="s">
        <v>63</v>
      </c>
      <c r="P111" s="71" t="s">
        <v>63</v>
      </c>
      <c r="Q111" s="71" t="s">
        <v>63</v>
      </c>
      <c r="R111" s="71" t="s">
        <v>63</v>
      </c>
      <c r="S111" s="71" t="s">
        <v>63</v>
      </c>
      <c r="T111" s="71" t="s">
        <v>63</v>
      </c>
      <c r="U111" s="71" t="s">
        <v>63</v>
      </c>
      <c r="X111" s="63" t="s">
        <v>30</v>
      </c>
      <c r="Y111" s="63" t="s">
        <v>30</v>
      </c>
      <c r="Z111" s="63" t="s">
        <v>30</v>
      </c>
      <c r="AA111" s="63" t="s">
        <v>30</v>
      </c>
      <c r="AB111" s="62"/>
      <c r="AC111" s="63" t="s">
        <v>30</v>
      </c>
      <c r="AD111" s="63" t="s">
        <v>30</v>
      </c>
      <c r="AE111" s="63" t="s">
        <v>30</v>
      </c>
      <c r="AF111" s="63" t="s">
        <v>30</v>
      </c>
      <c r="AG111" s="62"/>
      <c r="AH111" s="63" t="s">
        <v>30</v>
      </c>
      <c r="AI111" s="63" t="s">
        <v>30</v>
      </c>
      <c r="AJ111" s="63" t="s">
        <v>30</v>
      </c>
    </row>
    <row r="112" spans="2:36" hidden="1" outlineLevel="1" x14ac:dyDescent="0.25">
      <c r="B112" s="229" t="s">
        <v>195</v>
      </c>
      <c r="C112" s="229" t="s">
        <v>195</v>
      </c>
      <c r="E112" s="78" t="s">
        <v>67</v>
      </c>
      <c r="F112" s="21">
        <f t="shared" ref="F112:H118" si="151">F512</f>
        <v>0</v>
      </c>
      <c r="G112" s="21">
        <f t="shared" si="151"/>
        <v>0</v>
      </c>
      <c r="H112" s="21">
        <f t="shared" si="151"/>
        <v>0</v>
      </c>
      <c r="I112" s="10">
        <f>IF(X112="",I512,X112)</f>
        <v>0</v>
      </c>
      <c r="J112" s="10">
        <f t="shared" ref="J112:L112" si="152">IF(Y112="",J512,Y112)</f>
        <v>0</v>
      </c>
      <c r="K112" s="10">
        <f t="shared" si="152"/>
        <v>0</v>
      </c>
      <c r="L112" s="10">
        <f t="shared" si="152"/>
        <v>0</v>
      </c>
      <c r="M112" s="17">
        <f t="shared" ref="M112:M118" si="153">SUM(I112:L112)</f>
        <v>0</v>
      </c>
      <c r="N112" s="10">
        <f t="shared" ref="N112:Q112" si="154">IF(AC112="",N512,AC112)</f>
        <v>0</v>
      </c>
      <c r="O112" s="10">
        <f t="shared" si="154"/>
        <v>0</v>
      </c>
      <c r="P112" s="10">
        <f t="shared" si="154"/>
        <v>0</v>
      </c>
      <c r="Q112" s="10">
        <f t="shared" si="154"/>
        <v>0</v>
      </c>
      <c r="R112" s="22">
        <f t="shared" ref="R112:R118" si="155">SUM(N112:Q112)</f>
        <v>0</v>
      </c>
      <c r="S112" s="23">
        <f t="shared" ref="S112:U112" si="156">IF(AH112="",S512,AH112)</f>
        <v>0</v>
      </c>
      <c r="T112" s="23">
        <f t="shared" si="156"/>
        <v>0</v>
      </c>
      <c r="U112" s="23">
        <f t="shared" si="156"/>
        <v>0</v>
      </c>
      <c r="W112" s="79" t="str">
        <f>E112</f>
        <v>Product Line 1</v>
      </c>
      <c r="X112" s="64"/>
      <c r="Y112" s="64"/>
      <c r="Z112" s="64"/>
      <c r="AA112" s="64"/>
      <c r="AB112" s="60"/>
      <c r="AC112" s="64"/>
      <c r="AD112" s="64"/>
      <c r="AE112" s="64"/>
      <c r="AF112" s="64"/>
      <c r="AG112" s="60"/>
      <c r="AH112" s="64"/>
      <c r="AI112" s="64"/>
      <c r="AJ112" s="64"/>
    </row>
    <row r="113" spans="2:36" hidden="1" outlineLevel="1" x14ac:dyDescent="0.25">
      <c r="B113" s="229" t="s">
        <v>195</v>
      </c>
      <c r="C113" s="229" t="s">
        <v>195</v>
      </c>
      <c r="E113" s="78" t="s">
        <v>68</v>
      </c>
      <c r="F113" s="21">
        <f t="shared" si="151"/>
        <v>0</v>
      </c>
      <c r="G113" s="21">
        <f t="shared" si="151"/>
        <v>0</v>
      </c>
      <c r="H113" s="21">
        <f t="shared" si="151"/>
        <v>0</v>
      </c>
      <c r="I113" s="10">
        <f t="shared" ref="I113:L113" si="157">IF(X113="",I513,X113)</f>
        <v>0</v>
      </c>
      <c r="J113" s="10">
        <f t="shared" si="157"/>
        <v>0</v>
      </c>
      <c r="K113" s="10">
        <f t="shared" si="157"/>
        <v>0</v>
      </c>
      <c r="L113" s="10">
        <f t="shared" si="157"/>
        <v>0</v>
      </c>
      <c r="M113" s="17">
        <f t="shared" si="153"/>
        <v>0</v>
      </c>
      <c r="N113" s="10">
        <f t="shared" ref="N113:Q113" si="158">IF(AC113="",N513,AC113)</f>
        <v>0</v>
      </c>
      <c r="O113" s="10">
        <f t="shared" si="158"/>
        <v>0</v>
      </c>
      <c r="P113" s="10">
        <f t="shared" si="158"/>
        <v>0</v>
      </c>
      <c r="Q113" s="10">
        <f t="shared" si="158"/>
        <v>0</v>
      </c>
      <c r="R113" s="22">
        <f t="shared" si="155"/>
        <v>0</v>
      </c>
      <c r="S113" s="23">
        <f t="shared" ref="S113:U113" si="159">IF(AH113="",S513,AH113)</f>
        <v>0</v>
      </c>
      <c r="T113" s="23">
        <f t="shared" si="159"/>
        <v>0</v>
      </c>
      <c r="U113" s="23">
        <f t="shared" si="159"/>
        <v>0</v>
      </c>
      <c r="W113" s="79" t="str">
        <f t="shared" ref="W113:W118" si="160">E113</f>
        <v>Product Line 2</v>
      </c>
      <c r="X113" s="64"/>
      <c r="Y113" s="64"/>
      <c r="Z113" s="64"/>
      <c r="AA113" s="64"/>
      <c r="AB113" s="60"/>
      <c r="AC113" s="64"/>
      <c r="AD113" s="64"/>
      <c r="AE113" s="64"/>
      <c r="AF113" s="64"/>
      <c r="AG113" s="60"/>
      <c r="AH113" s="64"/>
      <c r="AI113" s="64"/>
      <c r="AJ113" s="64"/>
    </row>
    <row r="114" spans="2:36" hidden="1" outlineLevel="1" x14ac:dyDescent="0.25">
      <c r="B114" s="229" t="s">
        <v>195</v>
      </c>
      <c r="C114" s="229" t="s">
        <v>195</v>
      </c>
      <c r="E114" s="78" t="s">
        <v>69</v>
      </c>
      <c r="F114" s="21">
        <f t="shared" si="151"/>
        <v>0</v>
      </c>
      <c r="G114" s="21">
        <f t="shared" si="151"/>
        <v>0</v>
      </c>
      <c r="H114" s="21">
        <f t="shared" si="151"/>
        <v>0</v>
      </c>
      <c r="I114" s="10">
        <f t="shared" ref="I114:L114" si="161">IF(X114="",I514,X114)</f>
        <v>0</v>
      </c>
      <c r="J114" s="10">
        <f t="shared" si="161"/>
        <v>0</v>
      </c>
      <c r="K114" s="10">
        <f t="shared" si="161"/>
        <v>0</v>
      </c>
      <c r="L114" s="10">
        <f t="shared" si="161"/>
        <v>0</v>
      </c>
      <c r="M114" s="17">
        <f t="shared" si="153"/>
        <v>0</v>
      </c>
      <c r="N114" s="10">
        <f t="shared" ref="N114:Q114" si="162">IF(AC114="",N514,AC114)</f>
        <v>0</v>
      </c>
      <c r="O114" s="10">
        <f t="shared" si="162"/>
        <v>0</v>
      </c>
      <c r="P114" s="10">
        <f t="shared" si="162"/>
        <v>0</v>
      </c>
      <c r="Q114" s="10">
        <f t="shared" si="162"/>
        <v>0</v>
      </c>
      <c r="R114" s="22">
        <f t="shared" si="155"/>
        <v>0</v>
      </c>
      <c r="S114" s="23">
        <f t="shared" ref="S114:U114" si="163">IF(AH114="",S514,AH114)</f>
        <v>0</v>
      </c>
      <c r="T114" s="23">
        <f t="shared" si="163"/>
        <v>0</v>
      </c>
      <c r="U114" s="23">
        <f t="shared" si="163"/>
        <v>0</v>
      </c>
      <c r="W114" s="79" t="str">
        <f t="shared" si="160"/>
        <v>Product Line 3</v>
      </c>
      <c r="X114" s="64"/>
      <c r="Y114" s="64"/>
      <c r="Z114" s="64"/>
      <c r="AA114" s="64"/>
      <c r="AB114" s="60"/>
      <c r="AC114" s="64"/>
      <c r="AD114" s="64"/>
      <c r="AE114" s="64"/>
      <c r="AF114" s="64"/>
      <c r="AG114" s="60"/>
      <c r="AH114" s="64"/>
      <c r="AI114" s="64"/>
      <c r="AJ114" s="64"/>
    </row>
    <row r="115" spans="2:36" hidden="1" outlineLevel="1" x14ac:dyDescent="0.25">
      <c r="B115" s="229" t="s">
        <v>195</v>
      </c>
      <c r="C115" s="229" t="s">
        <v>195</v>
      </c>
      <c r="E115" s="78" t="s">
        <v>70</v>
      </c>
      <c r="F115" s="21">
        <f t="shared" si="151"/>
        <v>0</v>
      </c>
      <c r="G115" s="21">
        <f t="shared" si="151"/>
        <v>0</v>
      </c>
      <c r="H115" s="21">
        <f t="shared" si="151"/>
        <v>0</v>
      </c>
      <c r="I115" s="10">
        <f t="shared" ref="I115:L115" si="164">IF(X115="",I515,X115)</f>
        <v>0</v>
      </c>
      <c r="J115" s="10">
        <f t="shared" si="164"/>
        <v>0</v>
      </c>
      <c r="K115" s="10">
        <f t="shared" si="164"/>
        <v>0</v>
      </c>
      <c r="L115" s="10">
        <f t="shared" si="164"/>
        <v>0</v>
      </c>
      <c r="M115" s="17">
        <f t="shared" si="153"/>
        <v>0</v>
      </c>
      <c r="N115" s="10">
        <f t="shared" ref="N115:Q115" si="165">IF(AC115="",N515,AC115)</f>
        <v>0</v>
      </c>
      <c r="O115" s="10">
        <f t="shared" si="165"/>
        <v>0</v>
      </c>
      <c r="P115" s="10">
        <f t="shared" si="165"/>
        <v>0</v>
      </c>
      <c r="Q115" s="10">
        <f t="shared" si="165"/>
        <v>0</v>
      </c>
      <c r="R115" s="22">
        <f t="shared" si="155"/>
        <v>0</v>
      </c>
      <c r="S115" s="23">
        <f t="shared" ref="S115:U115" si="166">IF(AH115="",S515,AH115)</f>
        <v>0</v>
      </c>
      <c r="T115" s="23">
        <f t="shared" si="166"/>
        <v>0</v>
      </c>
      <c r="U115" s="23">
        <f t="shared" si="166"/>
        <v>0</v>
      </c>
      <c r="W115" s="79" t="str">
        <f t="shared" si="160"/>
        <v>Product Line 4</v>
      </c>
      <c r="X115" s="64"/>
      <c r="Y115" s="64"/>
      <c r="Z115" s="64"/>
      <c r="AA115" s="64"/>
      <c r="AB115" s="60"/>
      <c r="AC115" s="64"/>
      <c r="AD115" s="64"/>
      <c r="AE115" s="64"/>
      <c r="AF115" s="64"/>
      <c r="AG115" s="60"/>
      <c r="AH115" s="64"/>
      <c r="AI115" s="64"/>
      <c r="AJ115" s="64"/>
    </row>
    <row r="116" spans="2:36" hidden="1" outlineLevel="1" x14ac:dyDescent="0.25">
      <c r="B116" s="229" t="s">
        <v>195</v>
      </c>
      <c r="C116" s="229" t="s">
        <v>195</v>
      </c>
      <c r="E116" s="78" t="s">
        <v>71</v>
      </c>
      <c r="F116" s="21">
        <f t="shared" si="151"/>
        <v>0</v>
      </c>
      <c r="G116" s="21">
        <f t="shared" si="151"/>
        <v>0</v>
      </c>
      <c r="H116" s="21">
        <f t="shared" si="151"/>
        <v>0</v>
      </c>
      <c r="I116" s="10">
        <f t="shared" ref="I116:L116" si="167">IF(X116="",I516,X116)</f>
        <v>0</v>
      </c>
      <c r="J116" s="10">
        <f t="shared" si="167"/>
        <v>0</v>
      </c>
      <c r="K116" s="10">
        <f t="shared" si="167"/>
        <v>0</v>
      </c>
      <c r="L116" s="10">
        <f t="shared" si="167"/>
        <v>0</v>
      </c>
      <c r="M116" s="17">
        <f t="shared" si="153"/>
        <v>0</v>
      </c>
      <c r="N116" s="10">
        <f t="shared" ref="N116:Q116" si="168">IF(AC116="",N516,AC116)</f>
        <v>0</v>
      </c>
      <c r="O116" s="10">
        <f t="shared" si="168"/>
        <v>0</v>
      </c>
      <c r="P116" s="10">
        <f t="shared" si="168"/>
        <v>0</v>
      </c>
      <c r="Q116" s="10">
        <f t="shared" si="168"/>
        <v>0</v>
      </c>
      <c r="R116" s="22">
        <f t="shared" si="155"/>
        <v>0</v>
      </c>
      <c r="S116" s="23">
        <f t="shared" ref="S116:U116" si="169">IF(AH116="",S516,AH116)</f>
        <v>0</v>
      </c>
      <c r="T116" s="23">
        <f t="shared" si="169"/>
        <v>0</v>
      </c>
      <c r="U116" s="23">
        <f t="shared" si="169"/>
        <v>0</v>
      </c>
      <c r="W116" s="79" t="str">
        <f t="shared" si="160"/>
        <v>Product Line 5</v>
      </c>
      <c r="X116" s="64"/>
      <c r="Y116" s="64"/>
      <c r="Z116" s="64"/>
      <c r="AA116" s="64"/>
      <c r="AB116" s="60"/>
      <c r="AC116" s="64"/>
      <c r="AD116" s="64"/>
      <c r="AE116" s="64"/>
      <c r="AF116" s="64"/>
      <c r="AG116" s="60"/>
      <c r="AH116" s="64"/>
      <c r="AI116" s="64"/>
      <c r="AJ116" s="64"/>
    </row>
    <row r="117" spans="2:36" hidden="1" outlineLevel="1" x14ac:dyDescent="0.25">
      <c r="B117" s="229" t="s">
        <v>195</v>
      </c>
      <c r="C117" s="229" t="s">
        <v>195</v>
      </c>
      <c r="E117" s="78" t="s">
        <v>72</v>
      </c>
      <c r="F117" s="21">
        <f t="shared" si="151"/>
        <v>0</v>
      </c>
      <c r="G117" s="21">
        <f t="shared" si="151"/>
        <v>0</v>
      </c>
      <c r="H117" s="21">
        <f t="shared" si="151"/>
        <v>0</v>
      </c>
      <c r="I117" s="10">
        <f t="shared" ref="I117:L117" si="170">IF(X117="",I517,X117)</f>
        <v>0</v>
      </c>
      <c r="J117" s="10">
        <f t="shared" si="170"/>
        <v>0</v>
      </c>
      <c r="K117" s="10">
        <f t="shared" si="170"/>
        <v>0</v>
      </c>
      <c r="L117" s="10">
        <f t="shared" si="170"/>
        <v>0</v>
      </c>
      <c r="M117" s="17">
        <f t="shared" si="153"/>
        <v>0</v>
      </c>
      <c r="N117" s="10">
        <f t="shared" ref="N117:Q117" si="171">IF(AC117="",N517,AC117)</f>
        <v>0</v>
      </c>
      <c r="O117" s="10">
        <f t="shared" si="171"/>
        <v>0</v>
      </c>
      <c r="P117" s="10">
        <f t="shared" si="171"/>
        <v>0</v>
      </c>
      <c r="Q117" s="10">
        <f t="shared" si="171"/>
        <v>0</v>
      </c>
      <c r="R117" s="22">
        <f t="shared" si="155"/>
        <v>0</v>
      </c>
      <c r="S117" s="23">
        <f t="shared" ref="S117:U117" si="172">IF(AH117="",S517,AH117)</f>
        <v>0</v>
      </c>
      <c r="T117" s="23">
        <f t="shared" si="172"/>
        <v>0</v>
      </c>
      <c r="U117" s="23">
        <f t="shared" si="172"/>
        <v>0</v>
      </c>
      <c r="W117" s="79" t="str">
        <f t="shared" si="160"/>
        <v>Product Line 6</v>
      </c>
      <c r="X117" s="64"/>
      <c r="Y117" s="64"/>
      <c r="Z117" s="64"/>
      <c r="AA117" s="64"/>
      <c r="AB117" s="60"/>
      <c r="AC117" s="64"/>
      <c r="AD117" s="64"/>
      <c r="AE117" s="64"/>
      <c r="AF117" s="64"/>
      <c r="AG117" s="60"/>
      <c r="AH117" s="64"/>
      <c r="AI117" s="64"/>
      <c r="AJ117" s="64"/>
    </row>
    <row r="118" spans="2:36" hidden="1" outlineLevel="1" x14ac:dyDescent="0.25">
      <c r="B118" s="229" t="s">
        <v>195</v>
      </c>
      <c r="C118" s="229" t="s">
        <v>195</v>
      </c>
      <c r="E118" s="78" t="s">
        <v>73</v>
      </c>
      <c r="F118" s="21">
        <f t="shared" si="151"/>
        <v>0</v>
      </c>
      <c r="G118" s="21">
        <f t="shared" si="151"/>
        <v>0</v>
      </c>
      <c r="H118" s="21">
        <f t="shared" si="151"/>
        <v>0</v>
      </c>
      <c r="I118" s="10">
        <f t="shared" ref="I118:L118" si="173">IF(X118="",I518,X118)</f>
        <v>0</v>
      </c>
      <c r="J118" s="10">
        <f t="shared" si="173"/>
        <v>0</v>
      </c>
      <c r="K118" s="10">
        <f t="shared" si="173"/>
        <v>0</v>
      </c>
      <c r="L118" s="10">
        <f t="shared" si="173"/>
        <v>0</v>
      </c>
      <c r="M118" s="17">
        <f t="shared" si="153"/>
        <v>0</v>
      </c>
      <c r="N118" s="10">
        <f t="shared" ref="N118:Q118" si="174">IF(AC118="",N518,AC118)</f>
        <v>0</v>
      </c>
      <c r="O118" s="10">
        <f t="shared" si="174"/>
        <v>0</v>
      </c>
      <c r="P118" s="10">
        <f t="shared" si="174"/>
        <v>0</v>
      </c>
      <c r="Q118" s="10">
        <f t="shared" si="174"/>
        <v>0</v>
      </c>
      <c r="R118" s="22">
        <f t="shared" si="155"/>
        <v>0</v>
      </c>
      <c r="S118" s="23">
        <f t="shared" ref="S118:U118" si="175">IF(AH118="",S518,AH118)</f>
        <v>0</v>
      </c>
      <c r="T118" s="23">
        <f t="shared" si="175"/>
        <v>0</v>
      </c>
      <c r="U118" s="23">
        <f t="shared" si="175"/>
        <v>0</v>
      </c>
      <c r="W118" s="79" t="str">
        <f t="shared" si="160"/>
        <v>Product Line 7</v>
      </c>
      <c r="X118" s="64"/>
      <c r="Y118" s="64"/>
      <c r="Z118" s="64"/>
      <c r="AA118" s="64"/>
      <c r="AB118" s="60"/>
      <c r="AC118" s="64"/>
      <c r="AD118" s="64"/>
      <c r="AE118" s="64"/>
      <c r="AF118" s="64"/>
      <c r="AG118" s="60"/>
      <c r="AH118" s="64"/>
      <c r="AI118" s="64"/>
      <c r="AJ118" s="64"/>
    </row>
    <row r="119" spans="2:36" ht="15.75" hidden="1" outlineLevel="1" thickBot="1" x14ac:dyDescent="0.3">
      <c r="E119" s="8" t="s">
        <v>27</v>
      </c>
      <c r="F119" s="9">
        <f t="shared" ref="F119:U119" si="176">SUM(F112:F118)</f>
        <v>0</v>
      </c>
      <c r="G119" s="9">
        <f t="shared" si="176"/>
        <v>0</v>
      </c>
      <c r="H119" s="9">
        <f t="shared" si="176"/>
        <v>0</v>
      </c>
      <c r="I119" s="11">
        <f t="shared" si="176"/>
        <v>0</v>
      </c>
      <c r="J119" s="11">
        <f t="shared" si="176"/>
        <v>0</v>
      </c>
      <c r="K119" s="11">
        <f t="shared" si="176"/>
        <v>0</v>
      </c>
      <c r="L119" s="11">
        <f t="shared" si="176"/>
        <v>0</v>
      </c>
      <c r="M119" s="18">
        <f t="shared" si="176"/>
        <v>0</v>
      </c>
      <c r="N119" s="11">
        <f t="shared" si="176"/>
        <v>0</v>
      </c>
      <c r="O119" s="11">
        <f t="shared" si="176"/>
        <v>0</v>
      </c>
      <c r="P119" s="11">
        <f t="shared" si="176"/>
        <v>0</v>
      </c>
      <c r="Q119" s="11">
        <f t="shared" si="176"/>
        <v>0</v>
      </c>
      <c r="R119" s="19">
        <f t="shared" si="176"/>
        <v>0</v>
      </c>
      <c r="S119" s="20">
        <f t="shared" si="176"/>
        <v>0</v>
      </c>
      <c r="T119" s="20">
        <f t="shared" si="176"/>
        <v>0</v>
      </c>
      <c r="U119" s="20">
        <f t="shared" si="176"/>
        <v>0</v>
      </c>
    </row>
    <row r="120" spans="2:36" ht="15.75" hidden="1" outlineLevel="1" thickTop="1" x14ac:dyDescent="0.25">
      <c r="M120" s="3"/>
    </row>
    <row r="121" spans="2:36" hidden="1" outlineLevel="1" x14ac:dyDescent="0.25">
      <c r="M121" s="3"/>
    </row>
    <row r="122" spans="2:36" hidden="1" outlineLevel="1" x14ac:dyDescent="0.25">
      <c r="M122" s="3"/>
    </row>
    <row r="123" spans="2:36" hidden="1" outlineLevel="1" x14ac:dyDescent="0.25">
      <c r="E123" s="4" t="s">
        <v>51</v>
      </c>
      <c r="W123" s="4" t="s">
        <v>51</v>
      </c>
    </row>
    <row r="124" spans="2:36" hidden="1" outlineLevel="1" x14ac:dyDescent="0.25">
      <c r="E124" s="6" t="s">
        <v>25</v>
      </c>
      <c r="W124" s="61" t="s">
        <v>62</v>
      </c>
    </row>
    <row r="125" spans="2:36" hidden="1" outlineLevel="1" x14ac:dyDescent="0.25"/>
    <row r="126" spans="2:36" hidden="1" outlineLevel="1" x14ac:dyDescent="0.25">
      <c r="F126" s="12">
        <f>Inputs!$C$7</f>
        <v>2023</v>
      </c>
      <c r="G126" s="12">
        <f>Inputs!$C$8</f>
        <v>2024</v>
      </c>
      <c r="H126" s="12">
        <f>Inputs!$C$9</f>
        <v>2025</v>
      </c>
      <c r="I126" s="13" t="s">
        <v>1</v>
      </c>
      <c r="J126" s="13" t="s">
        <v>2</v>
      </c>
      <c r="K126" s="13" t="s">
        <v>3</v>
      </c>
      <c r="L126" s="13" t="s">
        <v>4</v>
      </c>
      <c r="M126" s="13">
        <f>Inputs!$C$10</f>
        <v>2026</v>
      </c>
      <c r="N126" s="14" t="s">
        <v>1</v>
      </c>
      <c r="O126" s="14" t="s">
        <v>2</v>
      </c>
      <c r="P126" s="14" t="s">
        <v>3</v>
      </c>
      <c r="Q126" s="14" t="s">
        <v>4</v>
      </c>
      <c r="R126" s="15">
        <f>Inputs!$C$11</f>
        <v>2027</v>
      </c>
      <c r="S126" s="16">
        <f>Inputs!$C$12</f>
        <v>2028</v>
      </c>
      <c r="T126" s="16">
        <f>Inputs!$C$13</f>
        <v>2029</v>
      </c>
      <c r="U126" s="16">
        <f>Inputs!$C$14</f>
        <v>2030</v>
      </c>
      <c r="X126" s="13" t="s">
        <v>1</v>
      </c>
      <c r="Y126" s="13" t="s">
        <v>2</v>
      </c>
      <c r="Z126" s="13" t="s">
        <v>3</v>
      </c>
      <c r="AA126" s="13" t="s">
        <v>4</v>
      </c>
      <c r="AB126" s="13">
        <f>Inputs!$C$10</f>
        <v>2026</v>
      </c>
      <c r="AC126" s="14" t="s">
        <v>1</v>
      </c>
      <c r="AD126" s="14" t="s">
        <v>2</v>
      </c>
      <c r="AE126" s="14" t="s">
        <v>3</v>
      </c>
      <c r="AF126" s="14" t="s">
        <v>4</v>
      </c>
      <c r="AG126" s="15">
        <f>Inputs!$C$11</f>
        <v>2027</v>
      </c>
      <c r="AH126" s="16">
        <f>Inputs!$C$12</f>
        <v>2028</v>
      </c>
      <c r="AI126" s="16">
        <f>Inputs!$C$13</f>
        <v>2029</v>
      </c>
      <c r="AJ126" s="16">
        <f>Inputs!$C$14</f>
        <v>2030</v>
      </c>
    </row>
    <row r="127" spans="2:36" hidden="1" outlineLevel="1" x14ac:dyDescent="0.25">
      <c r="F127" s="71" t="s">
        <v>63</v>
      </c>
      <c r="G127" s="71" t="s">
        <v>63</v>
      </c>
      <c r="H127" s="71" t="s">
        <v>63</v>
      </c>
      <c r="I127" s="71" t="s">
        <v>63</v>
      </c>
      <c r="J127" s="71" t="s">
        <v>63</v>
      </c>
      <c r="K127" s="71" t="s">
        <v>63</v>
      </c>
      <c r="L127" s="71" t="s">
        <v>63</v>
      </c>
      <c r="M127" s="71" t="s">
        <v>63</v>
      </c>
      <c r="N127" s="71" t="s">
        <v>63</v>
      </c>
      <c r="O127" s="71" t="s">
        <v>63</v>
      </c>
      <c r="P127" s="71" t="s">
        <v>63</v>
      </c>
      <c r="Q127" s="71" t="s">
        <v>63</v>
      </c>
      <c r="R127" s="71" t="s">
        <v>63</v>
      </c>
      <c r="S127" s="71" t="s">
        <v>63</v>
      </c>
      <c r="T127" s="71" t="s">
        <v>63</v>
      </c>
      <c r="U127" s="71" t="s">
        <v>63</v>
      </c>
      <c r="X127" s="63" t="s">
        <v>30</v>
      </c>
      <c r="Y127" s="63" t="s">
        <v>30</v>
      </c>
      <c r="Z127" s="63" t="s">
        <v>30</v>
      </c>
      <c r="AA127" s="63" t="s">
        <v>30</v>
      </c>
      <c r="AB127" s="62"/>
      <c r="AC127" s="63" t="s">
        <v>30</v>
      </c>
      <c r="AD127" s="63" t="s">
        <v>30</v>
      </c>
      <c r="AE127" s="63" t="s">
        <v>30</v>
      </c>
      <c r="AF127" s="63" t="s">
        <v>30</v>
      </c>
      <c r="AG127" s="62"/>
      <c r="AH127" s="63" t="s">
        <v>30</v>
      </c>
      <c r="AI127" s="63" t="s">
        <v>30</v>
      </c>
      <c r="AJ127" s="63" t="s">
        <v>30</v>
      </c>
    </row>
    <row r="128" spans="2:36" hidden="1" outlineLevel="1" x14ac:dyDescent="0.25">
      <c r="B128" s="229" t="s">
        <v>195</v>
      </c>
      <c r="C128" s="229" t="s">
        <v>195</v>
      </c>
      <c r="E128" s="78" t="s">
        <v>67</v>
      </c>
      <c r="F128" s="21">
        <f t="shared" ref="F128:H134" si="177">F528</f>
        <v>0</v>
      </c>
      <c r="G128" s="21">
        <f t="shared" si="177"/>
        <v>0</v>
      </c>
      <c r="H128" s="21">
        <f t="shared" si="177"/>
        <v>0</v>
      </c>
      <c r="I128" s="10">
        <f>IF(X128="",I528,X128)</f>
        <v>0</v>
      </c>
      <c r="J128" s="10">
        <f t="shared" ref="J128:L128" si="178">IF(Y128="",J528,Y128)</f>
        <v>0</v>
      </c>
      <c r="K128" s="10">
        <f t="shared" si="178"/>
        <v>0</v>
      </c>
      <c r="L128" s="10">
        <f t="shared" si="178"/>
        <v>0</v>
      </c>
      <c r="M128" s="17">
        <f t="shared" ref="M128:M134" si="179">SUM(I128:L128)</f>
        <v>0</v>
      </c>
      <c r="N128" s="10">
        <f t="shared" ref="N128:Q128" si="180">IF(AC128="",N528,AC128)</f>
        <v>0</v>
      </c>
      <c r="O128" s="10">
        <f t="shared" si="180"/>
        <v>0</v>
      </c>
      <c r="P128" s="10">
        <f t="shared" si="180"/>
        <v>0</v>
      </c>
      <c r="Q128" s="10">
        <f t="shared" si="180"/>
        <v>0</v>
      </c>
      <c r="R128" s="22">
        <f t="shared" ref="R128:R134" si="181">SUM(N128:Q128)</f>
        <v>0</v>
      </c>
      <c r="S128" s="23">
        <f t="shared" ref="S128:U128" si="182">IF(AH128="",S528,AH128)</f>
        <v>0</v>
      </c>
      <c r="T128" s="23">
        <f t="shared" si="182"/>
        <v>0</v>
      </c>
      <c r="U128" s="23">
        <f t="shared" si="182"/>
        <v>0</v>
      </c>
      <c r="W128" s="79" t="str">
        <f>E128</f>
        <v>Product Line 1</v>
      </c>
      <c r="X128" s="64"/>
      <c r="Y128" s="64"/>
      <c r="Z128" s="64"/>
      <c r="AA128" s="64"/>
      <c r="AB128" s="60"/>
      <c r="AC128" s="64"/>
      <c r="AD128" s="64"/>
      <c r="AE128" s="64"/>
      <c r="AF128" s="64"/>
      <c r="AG128" s="60"/>
      <c r="AH128" s="64"/>
      <c r="AI128" s="64"/>
      <c r="AJ128" s="64"/>
    </row>
    <row r="129" spans="2:36" hidden="1" outlineLevel="1" x14ac:dyDescent="0.25">
      <c r="B129" s="229" t="s">
        <v>195</v>
      </c>
      <c r="C129" s="229" t="s">
        <v>195</v>
      </c>
      <c r="E129" s="78" t="s">
        <v>68</v>
      </c>
      <c r="F129" s="21">
        <f t="shared" si="177"/>
        <v>0</v>
      </c>
      <c r="G129" s="21">
        <f t="shared" si="177"/>
        <v>0</v>
      </c>
      <c r="H129" s="21">
        <f t="shared" si="177"/>
        <v>0</v>
      </c>
      <c r="I129" s="10">
        <f t="shared" ref="I129:L129" si="183">IF(X129="",I529,X129)</f>
        <v>0</v>
      </c>
      <c r="J129" s="10">
        <f t="shared" si="183"/>
        <v>0</v>
      </c>
      <c r="K129" s="10">
        <f t="shared" si="183"/>
        <v>0</v>
      </c>
      <c r="L129" s="10">
        <f t="shared" si="183"/>
        <v>0</v>
      </c>
      <c r="M129" s="17">
        <f t="shared" si="179"/>
        <v>0</v>
      </c>
      <c r="N129" s="10">
        <f t="shared" ref="N129:Q129" si="184">IF(AC129="",N529,AC129)</f>
        <v>0</v>
      </c>
      <c r="O129" s="10">
        <f t="shared" si="184"/>
        <v>0</v>
      </c>
      <c r="P129" s="10">
        <f t="shared" si="184"/>
        <v>0</v>
      </c>
      <c r="Q129" s="10">
        <f t="shared" si="184"/>
        <v>0</v>
      </c>
      <c r="R129" s="22">
        <f t="shared" si="181"/>
        <v>0</v>
      </c>
      <c r="S129" s="23">
        <f t="shared" ref="S129:U129" si="185">IF(AH129="",S529,AH129)</f>
        <v>0</v>
      </c>
      <c r="T129" s="23">
        <f t="shared" si="185"/>
        <v>0</v>
      </c>
      <c r="U129" s="23">
        <f t="shared" si="185"/>
        <v>0</v>
      </c>
      <c r="W129" s="79" t="str">
        <f t="shared" ref="W129:W134" si="186">E129</f>
        <v>Product Line 2</v>
      </c>
      <c r="X129" s="64"/>
      <c r="Y129" s="64"/>
      <c r="Z129" s="64"/>
      <c r="AA129" s="64"/>
      <c r="AB129" s="60"/>
      <c r="AC129" s="64"/>
      <c r="AD129" s="64"/>
      <c r="AE129" s="64"/>
      <c r="AF129" s="64"/>
      <c r="AG129" s="60"/>
      <c r="AH129" s="64"/>
      <c r="AI129" s="64"/>
      <c r="AJ129" s="64"/>
    </row>
    <row r="130" spans="2:36" hidden="1" outlineLevel="1" x14ac:dyDescent="0.25">
      <c r="B130" s="229" t="s">
        <v>195</v>
      </c>
      <c r="C130" s="229" t="s">
        <v>195</v>
      </c>
      <c r="E130" s="78" t="s">
        <v>69</v>
      </c>
      <c r="F130" s="21">
        <f t="shared" si="177"/>
        <v>0</v>
      </c>
      <c r="G130" s="21">
        <f t="shared" si="177"/>
        <v>0</v>
      </c>
      <c r="H130" s="21">
        <f t="shared" si="177"/>
        <v>0</v>
      </c>
      <c r="I130" s="10">
        <f t="shared" ref="I130:L130" si="187">IF(X130="",I530,X130)</f>
        <v>0</v>
      </c>
      <c r="J130" s="10">
        <f t="shared" si="187"/>
        <v>0</v>
      </c>
      <c r="K130" s="10">
        <f t="shared" si="187"/>
        <v>0</v>
      </c>
      <c r="L130" s="10">
        <f t="shared" si="187"/>
        <v>0</v>
      </c>
      <c r="M130" s="17">
        <f t="shared" si="179"/>
        <v>0</v>
      </c>
      <c r="N130" s="10">
        <f t="shared" ref="N130:Q130" si="188">IF(AC130="",N530,AC130)</f>
        <v>0</v>
      </c>
      <c r="O130" s="10">
        <f t="shared" si="188"/>
        <v>0</v>
      </c>
      <c r="P130" s="10">
        <f t="shared" si="188"/>
        <v>0</v>
      </c>
      <c r="Q130" s="10">
        <f t="shared" si="188"/>
        <v>0</v>
      </c>
      <c r="R130" s="22">
        <f t="shared" si="181"/>
        <v>0</v>
      </c>
      <c r="S130" s="23">
        <f t="shared" ref="S130:U130" si="189">IF(AH130="",S530,AH130)</f>
        <v>0</v>
      </c>
      <c r="T130" s="23">
        <f t="shared" si="189"/>
        <v>0</v>
      </c>
      <c r="U130" s="23">
        <f t="shared" si="189"/>
        <v>0</v>
      </c>
      <c r="W130" s="79" t="str">
        <f t="shared" si="186"/>
        <v>Product Line 3</v>
      </c>
      <c r="X130" s="64"/>
      <c r="Y130" s="64"/>
      <c r="Z130" s="64"/>
      <c r="AA130" s="64"/>
      <c r="AB130" s="60"/>
      <c r="AC130" s="64"/>
      <c r="AD130" s="64"/>
      <c r="AE130" s="64"/>
      <c r="AF130" s="64"/>
      <c r="AG130" s="60"/>
      <c r="AH130" s="64"/>
      <c r="AI130" s="64"/>
      <c r="AJ130" s="64"/>
    </row>
    <row r="131" spans="2:36" hidden="1" outlineLevel="1" x14ac:dyDescent="0.25">
      <c r="B131" s="229" t="s">
        <v>195</v>
      </c>
      <c r="C131" s="229" t="s">
        <v>195</v>
      </c>
      <c r="E131" s="78" t="s">
        <v>70</v>
      </c>
      <c r="F131" s="21">
        <f t="shared" si="177"/>
        <v>0</v>
      </c>
      <c r="G131" s="21">
        <f t="shared" si="177"/>
        <v>0</v>
      </c>
      <c r="H131" s="21">
        <f t="shared" si="177"/>
        <v>0</v>
      </c>
      <c r="I131" s="10">
        <f t="shared" ref="I131:L131" si="190">IF(X131="",I531,X131)</f>
        <v>0</v>
      </c>
      <c r="J131" s="10">
        <f t="shared" si="190"/>
        <v>0</v>
      </c>
      <c r="K131" s="10">
        <f t="shared" si="190"/>
        <v>0</v>
      </c>
      <c r="L131" s="10">
        <f t="shared" si="190"/>
        <v>0</v>
      </c>
      <c r="M131" s="17">
        <f t="shared" si="179"/>
        <v>0</v>
      </c>
      <c r="N131" s="10">
        <f t="shared" ref="N131:Q131" si="191">IF(AC131="",N531,AC131)</f>
        <v>0</v>
      </c>
      <c r="O131" s="10">
        <f t="shared" si="191"/>
        <v>0</v>
      </c>
      <c r="P131" s="10">
        <f t="shared" si="191"/>
        <v>0</v>
      </c>
      <c r="Q131" s="10">
        <f t="shared" si="191"/>
        <v>0</v>
      </c>
      <c r="R131" s="22">
        <f t="shared" si="181"/>
        <v>0</v>
      </c>
      <c r="S131" s="23">
        <f t="shared" ref="S131:U131" si="192">IF(AH131="",S531,AH131)</f>
        <v>0</v>
      </c>
      <c r="T131" s="23">
        <f t="shared" si="192"/>
        <v>0</v>
      </c>
      <c r="U131" s="23">
        <f t="shared" si="192"/>
        <v>0</v>
      </c>
      <c r="W131" s="79" t="str">
        <f t="shared" si="186"/>
        <v>Product Line 4</v>
      </c>
      <c r="X131" s="64"/>
      <c r="Y131" s="64"/>
      <c r="Z131" s="64"/>
      <c r="AA131" s="64"/>
      <c r="AB131" s="60"/>
      <c r="AC131" s="64"/>
      <c r="AD131" s="64"/>
      <c r="AE131" s="64"/>
      <c r="AF131" s="64"/>
      <c r="AG131" s="60"/>
      <c r="AH131" s="64"/>
      <c r="AI131" s="64"/>
      <c r="AJ131" s="64"/>
    </row>
    <row r="132" spans="2:36" hidden="1" outlineLevel="1" x14ac:dyDescent="0.25">
      <c r="B132" s="229" t="s">
        <v>195</v>
      </c>
      <c r="C132" s="229" t="s">
        <v>195</v>
      </c>
      <c r="E132" s="78" t="s">
        <v>71</v>
      </c>
      <c r="F132" s="21">
        <f t="shared" si="177"/>
        <v>0</v>
      </c>
      <c r="G132" s="21">
        <f t="shared" si="177"/>
        <v>0</v>
      </c>
      <c r="H132" s="21">
        <f t="shared" si="177"/>
        <v>0</v>
      </c>
      <c r="I132" s="10">
        <f t="shared" ref="I132:L132" si="193">IF(X132="",I532,X132)</f>
        <v>0</v>
      </c>
      <c r="J132" s="10">
        <f t="shared" si="193"/>
        <v>0</v>
      </c>
      <c r="K132" s="10">
        <f t="shared" si="193"/>
        <v>0</v>
      </c>
      <c r="L132" s="10">
        <f t="shared" si="193"/>
        <v>0</v>
      </c>
      <c r="M132" s="17">
        <f t="shared" si="179"/>
        <v>0</v>
      </c>
      <c r="N132" s="10">
        <f t="shared" ref="N132:Q132" si="194">IF(AC132="",N532,AC132)</f>
        <v>0</v>
      </c>
      <c r="O132" s="10">
        <f t="shared" si="194"/>
        <v>0</v>
      </c>
      <c r="P132" s="10">
        <f t="shared" si="194"/>
        <v>0</v>
      </c>
      <c r="Q132" s="10">
        <f t="shared" si="194"/>
        <v>0</v>
      </c>
      <c r="R132" s="22">
        <f t="shared" si="181"/>
        <v>0</v>
      </c>
      <c r="S132" s="23">
        <f t="shared" ref="S132:U132" si="195">IF(AH132="",S532,AH132)</f>
        <v>0</v>
      </c>
      <c r="T132" s="23">
        <f t="shared" si="195"/>
        <v>0</v>
      </c>
      <c r="U132" s="23">
        <f t="shared" si="195"/>
        <v>0</v>
      </c>
      <c r="W132" s="79" t="str">
        <f t="shared" si="186"/>
        <v>Product Line 5</v>
      </c>
      <c r="X132" s="64"/>
      <c r="Y132" s="64"/>
      <c r="Z132" s="64"/>
      <c r="AA132" s="64"/>
      <c r="AB132" s="60"/>
      <c r="AC132" s="64"/>
      <c r="AD132" s="64"/>
      <c r="AE132" s="64"/>
      <c r="AF132" s="64"/>
      <c r="AG132" s="60"/>
      <c r="AH132" s="64"/>
      <c r="AI132" s="64"/>
      <c r="AJ132" s="64"/>
    </row>
    <row r="133" spans="2:36" hidden="1" outlineLevel="1" x14ac:dyDescent="0.25">
      <c r="B133" s="229" t="s">
        <v>195</v>
      </c>
      <c r="C133" s="229" t="s">
        <v>195</v>
      </c>
      <c r="E133" s="78" t="s">
        <v>72</v>
      </c>
      <c r="F133" s="21">
        <f t="shared" si="177"/>
        <v>0</v>
      </c>
      <c r="G133" s="21">
        <f t="shared" si="177"/>
        <v>0</v>
      </c>
      <c r="H133" s="21">
        <f t="shared" si="177"/>
        <v>0</v>
      </c>
      <c r="I133" s="10">
        <f t="shared" ref="I133:L133" si="196">IF(X133="",I533,X133)</f>
        <v>0</v>
      </c>
      <c r="J133" s="10">
        <f t="shared" si="196"/>
        <v>0</v>
      </c>
      <c r="K133" s="10">
        <f t="shared" si="196"/>
        <v>0</v>
      </c>
      <c r="L133" s="10">
        <f t="shared" si="196"/>
        <v>0</v>
      </c>
      <c r="M133" s="17">
        <f t="shared" si="179"/>
        <v>0</v>
      </c>
      <c r="N133" s="10">
        <f t="shared" ref="N133:Q133" si="197">IF(AC133="",N533,AC133)</f>
        <v>0</v>
      </c>
      <c r="O133" s="10">
        <f t="shared" si="197"/>
        <v>0</v>
      </c>
      <c r="P133" s="10">
        <f t="shared" si="197"/>
        <v>0</v>
      </c>
      <c r="Q133" s="10">
        <f t="shared" si="197"/>
        <v>0</v>
      </c>
      <c r="R133" s="22">
        <f t="shared" si="181"/>
        <v>0</v>
      </c>
      <c r="S133" s="23">
        <f t="shared" ref="S133:U133" si="198">IF(AH133="",S533,AH133)</f>
        <v>0</v>
      </c>
      <c r="T133" s="23">
        <f t="shared" si="198"/>
        <v>0</v>
      </c>
      <c r="U133" s="23">
        <f t="shared" si="198"/>
        <v>0</v>
      </c>
      <c r="W133" s="79" t="str">
        <f t="shared" si="186"/>
        <v>Product Line 6</v>
      </c>
      <c r="X133" s="64"/>
      <c r="Y133" s="64"/>
      <c r="Z133" s="64"/>
      <c r="AA133" s="64"/>
      <c r="AB133" s="60"/>
      <c r="AC133" s="64"/>
      <c r="AD133" s="64"/>
      <c r="AE133" s="64"/>
      <c r="AF133" s="64"/>
      <c r="AG133" s="60"/>
      <c r="AH133" s="64"/>
      <c r="AI133" s="64"/>
      <c r="AJ133" s="64"/>
    </row>
    <row r="134" spans="2:36" hidden="1" outlineLevel="1" x14ac:dyDescent="0.25">
      <c r="B134" s="229" t="s">
        <v>195</v>
      </c>
      <c r="C134" s="229" t="s">
        <v>195</v>
      </c>
      <c r="E134" s="78" t="s">
        <v>73</v>
      </c>
      <c r="F134" s="21">
        <f t="shared" si="177"/>
        <v>0</v>
      </c>
      <c r="G134" s="21">
        <f t="shared" si="177"/>
        <v>0</v>
      </c>
      <c r="H134" s="21">
        <f t="shared" si="177"/>
        <v>0</v>
      </c>
      <c r="I134" s="10">
        <f t="shared" ref="I134:L134" si="199">IF(X134="",I534,X134)</f>
        <v>0</v>
      </c>
      <c r="J134" s="10">
        <f t="shared" si="199"/>
        <v>0</v>
      </c>
      <c r="K134" s="10">
        <f t="shared" si="199"/>
        <v>0</v>
      </c>
      <c r="L134" s="10">
        <f t="shared" si="199"/>
        <v>0</v>
      </c>
      <c r="M134" s="17">
        <f t="shared" si="179"/>
        <v>0</v>
      </c>
      <c r="N134" s="10">
        <f t="shared" ref="N134:Q134" si="200">IF(AC134="",N534,AC134)</f>
        <v>0</v>
      </c>
      <c r="O134" s="10">
        <f t="shared" si="200"/>
        <v>0</v>
      </c>
      <c r="P134" s="10">
        <f t="shared" si="200"/>
        <v>0</v>
      </c>
      <c r="Q134" s="10">
        <f t="shared" si="200"/>
        <v>0</v>
      </c>
      <c r="R134" s="22">
        <f t="shared" si="181"/>
        <v>0</v>
      </c>
      <c r="S134" s="23">
        <f t="shared" ref="S134:U134" si="201">IF(AH134="",S534,AH134)</f>
        <v>0</v>
      </c>
      <c r="T134" s="23">
        <f t="shared" si="201"/>
        <v>0</v>
      </c>
      <c r="U134" s="23">
        <f t="shared" si="201"/>
        <v>0</v>
      </c>
      <c r="W134" s="79" t="str">
        <f t="shared" si="186"/>
        <v>Product Line 7</v>
      </c>
      <c r="X134" s="64"/>
      <c r="Y134" s="64"/>
      <c r="Z134" s="64"/>
      <c r="AA134" s="64"/>
      <c r="AB134" s="60"/>
      <c r="AC134" s="64"/>
      <c r="AD134" s="64"/>
      <c r="AE134" s="64"/>
      <c r="AF134" s="64"/>
      <c r="AG134" s="60"/>
      <c r="AH134" s="64"/>
      <c r="AI134" s="64"/>
      <c r="AJ134" s="64"/>
    </row>
    <row r="135" spans="2:36" ht="15.75" hidden="1" outlineLevel="1" thickBot="1" x14ac:dyDescent="0.3">
      <c r="E135" s="8" t="s">
        <v>27</v>
      </c>
      <c r="F135" s="9">
        <f t="shared" ref="F135:U135" si="202">SUM(F128:F134)</f>
        <v>0</v>
      </c>
      <c r="G135" s="9">
        <f t="shared" si="202"/>
        <v>0</v>
      </c>
      <c r="H135" s="9">
        <f t="shared" si="202"/>
        <v>0</v>
      </c>
      <c r="I135" s="11">
        <f t="shared" si="202"/>
        <v>0</v>
      </c>
      <c r="J135" s="11">
        <f t="shared" si="202"/>
        <v>0</v>
      </c>
      <c r="K135" s="11">
        <f t="shared" si="202"/>
        <v>0</v>
      </c>
      <c r="L135" s="11">
        <f t="shared" si="202"/>
        <v>0</v>
      </c>
      <c r="M135" s="18">
        <f t="shared" si="202"/>
        <v>0</v>
      </c>
      <c r="N135" s="11">
        <f t="shared" si="202"/>
        <v>0</v>
      </c>
      <c r="O135" s="11">
        <f t="shared" si="202"/>
        <v>0</v>
      </c>
      <c r="P135" s="11">
        <f t="shared" si="202"/>
        <v>0</v>
      </c>
      <c r="Q135" s="11">
        <f t="shared" si="202"/>
        <v>0</v>
      </c>
      <c r="R135" s="19">
        <f t="shared" si="202"/>
        <v>0</v>
      </c>
      <c r="S135" s="20">
        <f t="shared" si="202"/>
        <v>0</v>
      </c>
      <c r="T135" s="20">
        <f t="shared" si="202"/>
        <v>0</v>
      </c>
      <c r="U135" s="20">
        <f t="shared" si="202"/>
        <v>0</v>
      </c>
    </row>
    <row r="136" spans="2:36" ht="15.75" hidden="1" outlineLevel="1" thickTop="1" x14ac:dyDescent="0.25"/>
    <row r="137" spans="2:36" hidden="1" outlineLevel="1" x14ac:dyDescent="0.25"/>
    <row r="138" spans="2:36" hidden="1" outlineLevel="1" x14ac:dyDescent="0.25"/>
    <row r="139" spans="2:36" hidden="1" outlineLevel="1" x14ac:dyDescent="0.25">
      <c r="E139" s="4" t="s">
        <v>52</v>
      </c>
      <c r="W139" s="4" t="s">
        <v>52</v>
      </c>
    </row>
    <row r="140" spans="2:36" hidden="1" outlineLevel="1" x14ac:dyDescent="0.25">
      <c r="E140" s="6" t="s">
        <v>25</v>
      </c>
      <c r="W140" s="61" t="s">
        <v>62</v>
      </c>
    </row>
    <row r="141" spans="2:36" hidden="1" outlineLevel="1" x14ac:dyDescent="0.25"/>
    <row r="142" spans="2:36" hidden="1" outlineLevel="1" x14ac:dyDescent="0.25">
      <c r="F142" s="12">
        <f>Inputs!$C$7</f>
        <v>2023</v>
      </c>
      <c r="G142" s="12">
        <f>Inputs!$C$8</f>
        <v>2024</v>
      </c>
      <c r="H142" s="12">
        <f>Inputs!$C$9</f>
        <v>2025</v>
      </c>
      <c r="I142" s="13" t="s">
        <v>1</v>
      </c>
      <c r="J142" s="13" t="s">
        <v>2</v>
      </c>
      <c r="K142" s="13" t="s">
        <v>3</v>
      </c>
      <c r="L142" s="13" t="s">
        <v>4</v>
      </c>
      <c r="M142" s="13">
        <f>Inputs!$C$10</f>
        <v>2026</v>
      </c>
      <c r="N142" s="14" t="s">
        <v>1</v>
      </c>
      <c r="O142" s="14" t="s">
        <v>2</v>
      </c>
      <c r="P142" s="14" t="s">
        <v>3</v>
      </c>
      <c r="Q142" s="14" t="s">
        <v>4</v>
      </c>
      <c r="R142" s="15">
        <f>Inputs!$C$11</f>
        <v>2027</v>
      </c>
      <c r="S142" s="16">
        <f>Inputs!$C$12</f>
        <v>2028</v>
      </c>
      <c r="T142" s="16">
        <f>Inputs!$C$13</f>
        <v>2029</v>
      </c>
      <c r="U142" s="16">
        <f>Inputs!$C$14</f>
        <v>2030</v>
      </c>
      <c r="X142" s="13" t="s">
        <v>1</v>
      </c>
      <c r="Y142" s="13" t="s">
        <v>2</v>
      </c>
      <c r="Z142" s="13" t="s">
        <v>3</v>
      </c>
      <c r="AA142" s="13" t="s">
        <v>4</v>
      </c>
      <c r="AB142" s="13">
        <f>Inputs!$C$10</f>
        <v>2026</v>
      </c>
      <c r="AC142" s="14" t="s">
        <v>1</v>
      </c>
      <c r="AD142" s="14" t="s">
        <v>2</v>
      </c>
      <c r="AE142" s="14" t="s">
        <v>3</v>
      </c>
      <c r="AF142" s="14" t="s">
        <v>4</v>
      </c>
      <c r="AG142" s="15">
        <f>Inputs!$C$11</f>
        <v>2027</v>
      </c>
      <c r="AH142" s="16">
        <f>Inputs!$C$12</f>
        <v>2028</v>
      </c>
      <c r="AI142" s="16">
        <f>Inputs!$C$13</f>
        <v>2029</v>
      </c>
      <c r="AJ142" s="16">
        <f>Inputs!$C$14</f>
        <v>2030</v>
      </c>
    </row>
    <row r="143" spans="2:36" hidden="1" outlineLevel="1" x14ac:dyDescent="0.25">
      <c r="F143" s="71" t="s">
        <v>63</v>
      </c>
      <c r="G143" s="71" t="s">
        <v>63</v>
      </c>
      <c r="H143" s="71" t="s">
        <v>63</v>
      </c>
      <c r="I143" s="71" t="s">
        <v>63</v>
      </c>
      <c r="J143" s="71" t="s">
        <v>63</v>
      </c>
      <c r="K143" s="71" t="s">
        <v>63</v>
      </c>
      <c r="L143" s="71" t="s">
        <v>63</v>
      </c>
      <c r="M143" s="71" t="s">
        <v>63</v>
      </c>
      <c r="N143" s="71" t="s">
        <v>63</v>
      </c>
      <c r="O143" s="71" t="s">
        <v>63</v>
      </c>
      <c r="P143" s="71" t="s">
        <v>63</v>
      </c>
      <c r="Q143" s="71" t="s">
        <v>63</v>
      </c>
      <c r="R143" s="71" t="s">
        <v>63</v>
      </c>
      <c r="S143" s="71" t="s">
        <v>63</v>
      </c>
      <c r="T143" s="71" t="s">
        <v>63</v>
      </c>
      <c r="U143" s="71" t="s">
        <v>63</v>
      </c>
      <c r="X143" s="63" t="s">
        <v>30</v>
      </c>
      <c r="Y143" s="63" t="s">
        <v>30</v>
      </c>
      <c r="Z143" s="63" t="s">
        <v>30</v>
      </c>
      <c r="AA143" s="63" t="s">
        <v>30</v>
      </c>
      <c r="AB143" s="62"/>
      <c r="AC143" s="63" t="s">
        <v>30</v>
      </c>
      <c r="AD143" s="63" t="s">
        <v>30</v>
      </c>
      <c r="AE143" s="63" t="s">
        <v>30</v>
      </c>
      <c r="AF143" s="63" t="s">
        <v>30</v>
      </c>
      <c r="AG143" s="62"/>
      <c r="AH143" s="63" t="s">
        <v>30</v>
      </c>
      <c r="AI143" s="63" t="s">
        <v>30</v>
      </c>
      <c r="AJ143" s="63" t="s">
        <v>30</v>
      </c>
    </row>
    <row r="144" spans="2:36" hidden="1" outlineLevel="1" x14ac:dyDescent="0.25">
      <c r="B144" s="229" t="s">
        <v>195</v>
      </c>
      <c r="C144" s="229" t="s">
        <v>195</v>
      </c>
      <c r="E144" s="78" t="s">
        <v>67</v>
      </c>
      <c r="F144" s="21">
        <f t="shared" ref="F144:H150" si="203">F544</f>
        <v>0</v>
      </c>
      <c r="G144" s="21">
        <f t="shared" si="203"/>
        <v>0</v>
      </c>
      <c r="H144" s="21">
        <f t="shared" si="203"/>
        <v>0</v>
      </c>
      <c r="I144" s="10">
        <f>IF(X144="",I544,X144)</f>
        <v>0</v>
      </c>
      <c r="J144" s="10">
        <f t="shared" ref="J144:L144" si="204">IF(Y144="",J544,Y144)</f>
        <v>0</v>
      </c>
      <c r="K144" s="10">
        <f t="shared" si="204"/>
        <v>0</v>
      </c>
      <c r="L144" s="10">
        <f t="shared" si="204"/>
        <v>0</v>
      </c>
      <c r="M144" s="17">
        <f t="shared" ref="M144:M150" si="205">SUM(I144:L144)</f>
        <v>0</v>
      </c>
      <c r="N144" s="10">
        <f t="shared" ref="N144:Q144" si="206">IF(AC144="",N544,AC144)</f>
        <v>0</v>
      </c>
      <c r="O144" s="10">
        <f t="shared" si="206"/>
        <v>0</v>
      </c>
      <c r="P144" s="10">
        <f t="shared" si="206"/>
        <v>0</v>
      </c>
      <c r="Q144" s="10">
        <f t="shared" si="206"/>
        <v>0</v>
      </c>
      <c r="R144" s="22">
        <f t="shared" ref="R144:R150" si="207">SUM(N144:Q144)</f>
        <v>0</v>
      </c>
      <c r="S144" s="23">
        <f t="shared" ref="S144:U144" si="208">IF(AH144="",S544,AH144)</f>
        <v>0</v>
      </c>
      <c r="T144" s="23">
        <f t="shared" si="208"/>
        <v>0</v>
      </c>
      <c r="U144" s="23">
        <f t="shared" si="208"/>
        <v>0</v>
      </c>
      <c r="W144" s="79" t="str">
        <f>E144</f>
        <v>Product Line 1</v>
      </c>
      <c r="X144" s="64"/>
      <c r="Y144" s="64"/>
      <c r="Z144" s="64"/>
      <c r="AA144" s="64"/>
      <c r="AB144" s="60"/>
      <c r="AC144" s="64"/>
      <c r="AD144" s="64"/>
      <c r="AE144" s="64"/>
      <c r="AF144" s="64"/>
      <c r="AG144" s="60"/>
      <c r="AH144" s="64"/>
      <c r="AI144" s="64"/>
      <c r="AJ144" s="64"/>
    </row>
    <row r="145" spans="2:36" hidden="1" outlineLevel="1" x14ac:dyDescent="0.25">
      <c r="B145" s="229" t="s">
        <v>195</v>
      </c>
      <c r="C145" s="229" t="s">
        <v>195</v>
      </c>
      <c r="E145" s="78" t="s">
        <v>68</v>
      </c>
      <c r="F145" s="21">
        <f t="shared" si="203"/>
        <v>0</v>
      </c>
      <c r="G145" s="21">
        <f t="shared" si="203"/>
        <v>0</v>
      </c>
      <c r="H145" s="21">
        <f t="shared" si="203"/>
        <v>0</v>
      </c>
      <c r="I145" s="10">
        <f t="shared" ref="I145:L145" si="209">IF(X145="",I545,X145)</f>
        <v>0</v>
      </c>
      <c r="J145" s="10">
        <f t="shared" si="209"/>
        <v>0</v>
      </c>
      <c r="K145" s="10">
        <f t="shared" si="209"/>
        <v>0</v>
      </c>
      <c r="L145" s="10">
        <f t="shared" si="209"/>
        <v>0</v>
      </c>
      <c r="M145" s="17">
        <f t="shared" si="205"/>
        <v>0</v>
      </c>
      <c r="N145" s="10">
        <f t="shared" ref="N145:Q145" si="210">IF(AC145="",N545,AC145)</f>
        <v>0</v>
      </c>
      <c r="O145" s="10">
        <f t="shared" si="210"/>
        <v>0</v>
      </c>
      <c r="P145" s="10">
        <f t="shared" si="210"/>
        <v>0</v>
      </c>
      <c r="Q145" s="10">
        <f t="shared" si="210"/>
        <v>0</v>
      </c>
      <c r="R145" s="22">
        <f t="shared" si="207"/>
        <v>0</v>
      </c>
      <c r="S145" s="23">
        <f t="shared" ref="S145:U145" si="211">IF(AH145="",S545,AH145)</f>
        <v>0</v>
      </c>
      <c r="T145" s="23">
        <f t="shared" si="211"/>
        <v>0</v>
      </c>
      <c r="U145" s="23">
        <f t="shared" si="211"/>
        <v>0</v>
      </c>
      <c r="W145" s="79" t="str">
        <f t="shared" ref="W145:W150" si="212">E145</f>
        <v>Product Line 2</v>
      </c>
      <c r="X145" s="64"/>
      <c r="Y145" s="64"/>
      <c r="Z145" s="64"/>
      <c r="AA145" s="64"/>
      <c r="AB145" s="60"/>
      <c r="AC145" s="64"/>
      <c r="AD145" s="64"/>
      <c r="AE145" s="64"/>
      <c r="AF145" s="64"/>
      <c r="AG145" s="60"/>
      <c r="AH145" s="64"/>
      <c r="AI145" s="64"/>
      <c r="AJ145" s="64"/>
    </row>
    <row r="146" spans="2:36" hidden="1" outlineLevel="1" x14ac:dyDescent="0.25">
      <c r="B146" s="229" t="s">
        <v>195</v>
      </c>
      <c r="C146" s="229" t="s">
        <v>195</v>
      </c>
      <c r="E146" s="78" t="s">
        <v>69</v>
      </c>
      <c r="F146" s="21">
        <f t="shared" si="203"/>
        <v>0</v>
      </c>
      <c r="G146" s="21">
        <f t="shared" si="203"/>
        <v>0</v>
      </c>
      <c r="H146" s="21">
        <f t="shared" si="203"/>
        <v>0</v>
      </c>
      <c r="I146" s="10">
        <f t="shared" ref="I146:L146" si="213">IF(X146="",I546,X146)</f>
        <v>0</v>
      </c>
      <c r="J146" s="10">
        <f t="shared" si="213"/>
        <v>0</v>
      </c>
      <c r="K146" s="10">
        <f t="shared" si="213"/>
        <v>0</v>
      </c>
      <c r="L146" s="10">
        <f t="shared" si="213"/>
        <v>0</v>
      </c>
      <c r="M146" s="17">
        <f t="shared" si="205"/>
        <v>0</v>
      </c>
      <c r="N146" s="10">
        <f t="shared" ref="N146:Q146" si="214">IF(AC146="",N546,AC146)</f>
        <v>0</v>
      </c>
      <c r="O146" s="10">
        <f t="shared" si="214"/>
        <v>0</v>
      </c>
      <c r="P146" s="10">
        <f t="shared" si="214"/>
        <v>0</v>
      </c>
      <c r="Q146" s="10">
        <f t="shared" si="214"/>
        <v>0</v>
      </c>
      <c r="R146" s="22">
        <f t="shared" si="207"/>
        <v>0</v>
      </c>
      <c r="S146" s="23">
        <f t="shared" ref="S146:U146" si="215">IF(AH146="",S546,AH146)</f>
        <v>0</v>
      </c>
      <c r="T146" s="23">
        <f t="shared" si="215"/>
        <v>0</v>
      </c>
      <c r="U146" s="23">
        <f t="shared" si="215"/>
        <v>0</v>
      </c>
      <c r="W146" s="79" t="str">
        <f t="shared" si="212"/>
        <v>Product Line 3</v>
      </c>
      <c r="X146" s="64"/>
      <c r="Y146" s="64"/>
      <c r="Z146" s="64"/>
      <c r="AA146" s="64"/>
      <c r="AB146" s="60"/>
      <c r="AC146" s="64"/>
      <c r="AD146" s="64"/>
      <c r="AE146" s="64"/>
      <c r="AF146" s="64"/>
      <c r="AG146" s="60"/>
      <c r="AH146" s="64"/>
      <c r="AI146" s="64"/>
      <c r="AJ146" s="64"/>
    </row>
    <row r="147" spans="2:36" hidden="1" outlineLevel="1" x14ac:dyDescent="0.25">
      <c r="B147" s="229" t="s">
        <v>195</v>
      </c>
      <c r="C147" s="229" t="s">
        <v>195</v>
      </c>
      <c r="E147" s="78" t="s">
        <v>70</v>
      </c>
      <c r="F147" s="21">
        <f t="shared" si="203"/>
        <v>0</v>
      </c>
      <c r="G147" s="21">
        <f t="shared" si="203"/>
        <v>0</v>
      </c>
      <c r="H147" s="21">
        <f t="shared" si="203"/>
        <v>0</v>
      </c>
      <c r="I147" s="10">
        <f t="shared" ref="I147:L147" si="216">IF(X147="",I547,X147)</f>
        <v>0</v>
      </c>
      <c r="J147" s="10">
        <f t="shared" si="216"/>
        <v>0</v>
      </c>
      <c r="K147" s="10">
        <f t="shared" si="216"/>
        <v>0</v>
      </c>
      <c r="L147" s="10">
        <f t="shared" si="216"/>
        <v>0</v>
      </c>
      <c r="M147" s="17">
        <f t="shared" si="205"/>
        <v>0</v>
      </c>
      <c r="N147" s="10">
        <f t="shared" ref="N147:Q147" si="217">IF(AC147="",N547,AC147)</f>
        <v>0</v>
      </c>
      <c r="O147" s="10">
        <f t="shared" si="217"/>
        <v>0</v>
      </c>
      <c r="P147" s="10">
        <f t="shared" si="217"/>
        <v>0</v>
      </c>
      <c r="Q147" s="10">
        <f t="shared" si="217"/>
        <v>0</v>
      </c>
      <c r="R147" s="22">
        <f t="shared" si="207"/>
        <v>0</v>
      </c>
      <c r="S147" s="23">
        <f t="shared" ref="S147:U147" si="218">IF(AH147="",S547,AH147)</f>
        <v>0</v>
      </c>
      <c r="T147" s="23">
        <f t="shared" si="218"/>
        <v>0</v>
      </c>
      <c r="U147" s="23">
        <f t="shared" si="218"/>
        <v>0</v>
      </c>
      <c r="W147" s="79" t="str">
        <f t="shared" si="212"/>
        <v>Product Line 4</v>
      </c>
      <c r="X147" s="64"/>
      <c r="Y147" s="64"/>
      <c r="Z147" s="64"/>
      <c r="AA147" s="64"/>
      <c r="AB147" s="60"/>
      <c r="AC147" s="64"/>
      <c r="AD147" s="64"/>
      <c r="AE147" s="64"/>
      <c r="AF147" s="64"/>
      <c r="AG147" s="60"/>
      <c r="AH147" s="64"/>
      <c r="AI147" s="64"/>
      <c r="AJ147" s="64"/>
    </row>
    <row r="148" spans="2:36" hidden="1" outlineLevel="1" x14ac:dyDescent="0.25">
      <c r="B148" s="229" t="s">
        <v>195</v>
      </c>
      <c r="C148" s="229" t="s">
        <v>195</v>
      </c>
      <c r="E148" s="78" t="s">
        <v>71</v>
      </c>
      <c r="F148" s="21">
        <f t="shared" si="203"/>
        <v>0</v>
      </c>
      <c r="G148" s="21">
        <f t="shared" si="203"/>
        <v>0</v>
      </c>
      <c r="H148" s="21">
        <f t="shared" si="203"/>
        <v>0</v>
      </c>
      <c r="I148" s="10">
        <f t="shared" ref="I148:L148" si="219">IF(X148="",I548,X148)</f>
        <v>0</v>
      </c>
      <c r="J148" s="10">
        <f t="shared" si="219"/>
        <v>0</v>
      </c>
      <c r="K148" s="10">
        <f t="shared" si="219"/>
        <v>0</v>
      </c>
      <c r="L148" s="10">
        <f t="shared" si="219"/>
        <v>0</v>
      </c>
      <c r="M148" s="17">
        <f t="shared" si="205"/>
        <v>0</v>
      </c>
      <c r="N148" s="10">
        <f t="shared" ref="N148:Q148" si="220">IF(AC148="",N548,AC148)</f>
        <v>0</v>
      </c>
      <c r="O148" s="10">
        <f t="shared" si="220"/>
        <v>0</v>
      </c>
      <c r="P148" s="10">
        <f t="shared" si="220"/>
        <v>0</v>
      </c>
      <c r="Q148" s="10">
        <f t="shared" si="220"/>
        <v>0</v>
      </c>
      <c r="R148" s="22">
        <f t="shared" si="207"/>
        <v>0</v>
      </c>
      <c r="S148" s="23">
        <f t="shared" ref="S148:U148" si="221">IF(AH148="",S548,AH148)</f>
        <v>0</v>
      </c>
      <c r="T148" s="23">
        <f t="shared" si="221"/>
        <v>0</v>
      </c>
      <c r="U148" s="23">
        <f t="shared" si="221"/>
        <v>0</v>
      </c>
      <c r="W148" s="79" t="str">
        <f t="shared" si="212"/>
        <v>Product Line 5</v>
      </c>
      <c r="X148" s="64"/>
      <c r="Y148" s="64"/>
      <c r="Z148" s="64"/>
      <c r="AA148" s="64"/>
      <c r="AB148" s="60"/>
      <c r="AC148" s="64"/>
      <c r="AD148" s="64"/>
      <c r="AE148" s="64"/>
      <c r="AF148" s="64"/>
      <c r="AG148" s="60"/>
      <c r="AH148" s="64"/>
      <c r="AI148" s="64"/>
      <c r="AJ148" s="64"/>
    </row>
    <row r="149" spans="2:36" hidden="1" outlineLevel="1" x14ac:dyDescent="0.25">
      <c r="B149" s="229" t="s">
        <v>195</v>
      </c>
      <c r="C149" s="229" t="s">
        <v>195</v>
      </c>
      <c r="E149" s="78" t="s">
        <v>72</v>
      </c>
      <c r="F149" s="21">
        <f t="shared" si="203"/>
        <v>0</v>
      </c>
      <c r="G149" s="21">
        <f t="shared" si="203"/>
        <v>0</v>
      </c>
      <c r="H149" s="21">
        <f t="shared" si="203"/>
        <v>0</v>
      </c>
      <c r="I149" s="10">
        <f t="shared" ref="I149:L149" si="222">IF(X149="",I549,X149)</f>
        <v>0</v>
      </c>
      <c r="J149" s="10">
        <f t="shared" si="222"/>
        <v>0</v>
      </c>
      <c r="K149" s="10">
        <f t="shared" si="222"/>
        <v>0</v>
      </c>
      <c r="L149" s="10">
        <f t="shared" si="222"/>
        <v>0</v>
      </c>
      <c r="M149" s="17">
        <f t="shared" si="205"/>
        <v>0</v>
      </c>
      <c r="N149" s="10">
        <f t="shared" ref="N149:Q149" si="223">IF(AC149="",N549,AC149)</f>
        <v>0</v>
      </c>
      <c r="O149" s="10">
        <f t="shared" si="223"/>
        <v>0</v>
      </c>
      <c r="P149" s="10">
        <f t="shared" si="223"/>
        <v>0</v>
      </c>
      <c r="Q149" s="10">
        <f t="shared" si="223"/>
        <v>0</v>
      </c>
      <c r="R149" s="22">
        <f t="shared" si="207"/>
        <v>0</v>
      </c>
      <c r="S149" s="23">
        <f t="shared" ref="S149:U149" si="224">IF(AH149="",S549,AH149)</f>
        <v>0</v>
      </c>
      <c r="T149" s="23">
        <f t="shared" si="224"/>
        <v>0</v>
      </c>
      <c r="U149" s="23">
        <f t="shared" si="224"/>
        <v>0</v>
      </c>
      <c r="W149" s="79" t="str">
        <f t="shared" si="212"/>
        <v>Product Line 6</v>
      </c>
      <c r="X149" s="64"/>
      <c r="Y149" s="64"/>
      <c r="Z149" s="64"/>
      <c r="AA149" s="64"/>
      <c r="AB149" s="60"/>
      <c r="AC149" s="64"/>
      <c r="AD149" s="64"/>
      <c r="AE149" s="64"/>
      <c r="AF149" s="64"/>
      <c r="AG149" s="60"/>
      <c r="AH149" s="64"/>
      <c r="AI149" s="64"/>
      <c r="AJ149" s="64"/>
    </row>
    <row r="150" spans="2:36" hidden="1" outlineLevel="1" x14ac:dyDescent="0.25">
      <c r="B150" s="229" t="s">
        <v>195</v>
      </c>
      <c r="C150" s="229" t="s">
        <v>195</v>
      </c>
      <c r="E150" s="78" t="s">
        <v>73</v>
      </c>
      <c r="F150" s="21">
        <f t="shared" si="203"/>
        <v>0</v>
      </c>
      <c r="G150" s="21">
        <f t="shared" si="203"/>
        <v>0</v>
      </c>
      <c r="H150" s="21">
        <f t="shared" si="203"/>
        <v>0</v>
      </c>
      <c r="I150" s="10">
        <f t="shared" ref="I150:L150" si="225">IF(X150="",I550,X150)</f>
        <v>0</v>
      </c>
      <c r="J150" s="10">
        <f t="shared" si="225"/>
        <v>0</v>
      </c>
      <c r="K150" s="10">
        <f t="shared" si="225"/>
        <v>0</v>
      </c>
      <c r="L150" s="10">
        <f t="shared" si="225"/>
        <v>0</v>
      </c>
      <c r="M150" s="17">
        <f t="shared" si="205"/>
        <v>0</v>
      </c>
      <c r="N150" s="10">
        <f t="shared" ref="N150:Q150" si="226">IF(AC150="",N550,AC150)</f>
        <v>0</v>
      </c>
      <c r="O150" s="10">
        <f t="shared" si="226"/>
        <v>0</v>
      </c>
      <c r="P150" s="10">
        <f t="shared" si="226"/>
        <v>0</v>
      </c>
      <c r="Q150" s="10">
        <f t="shared" si="226"/>
        <v>0</v>
      </c>
      <c r="R150" s="22">
        <f t="shared" si="207"/>
        <v>0</v>
      </c>
      <c r="S150" s="23">
        <f t="shared" ref="S150:U150" si="227">IF(AH150="",S550,AH150)</f>
        <v>0</v>
      </c>
      <c r="T150" s="23">
        <f t="shared" si="227"/>
        <v>0</v>
      </c>
      <c r="U150" s="23">
        <f t="shared" si="227"/>
        <v>0</v>
      </c>
      <c r="W150" s="79" t="str">
        <f t="shared" si="212"/>
        <v>Product Line 7</v>
      </c>
      <c r="X150" s="64"/>
      <c r="Y150" s="64"/>
      <c r="Z150" s="64"/>
      <c r="AA150" s="64"/>
      <c r="AB150" s="60"/>
      <c r="AC150" s="64"/>
      <c r="AD150" s="64"/>
      <c r="AE150" s="64"/>
      <c r="AF150" s="64"/>
      <c r="AG150" s="60"/>
      <c r="AH150" s="64"/>
      <c r="AI150" s="64"/>
      <c r="AJ150" s="64"/>
    </row>
    <row r="151" spans="2:36" ht="15.75" hidden="1" outlineLevel="1" thickBot="1" x14ac:dyDescent="0.3">
      <c r="E151" s="8" t="s">
        <v>27</v>
      </c>
      <c r="F151" s="9">
        <f t="shared" ref="F151:U151" si="228">SUM(F144:F150)</f>
        <v>0</v>
      </c>
      <c r="G151" s="9">
        <f t="shared" si="228"/>
        <v>0</v>
      </c>
      <c r="H151" s="9">
        <f t="shared" si="228"/>
        <v>0</v>
      </c>
      <c r="I151" s="11">
        <f t="shared" si="228"/>
        <v>0</v>
      </c>
      <c r="J151" s="11">
        <f t="shared" si="228"/>
        <v>0</v>
      </c>
      <c r="K151" s="11">
        <f t="shared" si="228"/>
        <v>0</v>
      </c>
      <c r="L151" s="11">
        <f t="shared" si="228"/>
        <v>0</v>
      </c>
      <c r="M151" s="18">
        <f t="shared" si="228"/>
        <v>0</v>
      </c>
      <c r="N151" s="11">
        <f t="shared" si="228"/>
        <v>0</v>
      </c>
      <c r="O151" s="11">
        <f t="shared" si="228"/>
        <v>0</v>
      </c>
      <c r="P151" s="11">
        <f t="shared" si="228"/>
        <v>0</v>
      </c>
      <c r="Q151" s="11">
        <f t="shared" si="228"/>
        <v>0</v>
      </c>
      <c r="R151" s="19">
        <f t="shared" si="228"/>
        <v>0</v>
      </c>
      <c r="S151" s="20">
        <f t="shared" si="228"/>
        <v>0</v>
      </c>
      <c r="T151" s="20">
        <f t="shared" si="228"/>
        <v>0</v>
      </c>
      <c r="U151" s="20">
        <f t="shared" si="228"/>
        <v>0</v>
      </c>
    </row>
    <row r="152" spans="2:36" ht="15.75" hidden="1" outlineLevel="1" thickTop="1" x14ac:dyDescent="0.25"/>
    <row r="153" spans="2:36" hidden="1" outlineLevel="1" x14ac:dyDescent="0.25"/>
    <row r="154" spans="2:36" hidden="1" outlineLevel="1" x14ac:dyDescent="0.25"/>
    <row r="155" spans="2:36" hidden="1" outlineLevel="1" x14ac:dyDescent="0.25">
      <c r="E155" s="4" t="s">
        <v>53</v>
      </c>
      <c r="W155" s="4" t="s">
        <v>53</v>
      </c>
    </row>
    <row r="156" spans="2:36" hidden="1" outlineLevel="1" x14ac:dyDescent="0.25">
      <c r="E156" s="6" t="s">
        <v>25</v>
      </c>
      <c r="W156" s="61" t="s">
        <v>62</v>
      </c>
    </row>
    <row r="157" spans="2:36" hidden="1" outlineLevel="1" x14ac:dyDescent="0.25"/>
    <row r="158" spans="2:36" hidden="1" outlineLevel="1" x14ac:dyDescent="0.25">
      <c r="F158" s="12">
        <f>Inputs!$C$7</f>
        <v>2023</v>
      </c>
      <c r="G158" s="12">
        <f>Inputs!$C$8</f>
        <v>2024</v>
      </c>
      <c r="H158" s="12">
        <f>Inputs!$C$9</f>
        <v>2025</v>
      </c>
      <c r="I158" s="13" t="s">
        <v>1</v>
      </c>
      <c r="J158" s="13" t="s">
        <v>2</v>
      </c>
      <c r="K158" s="13" t="s">
        <v>3</v>
      </c>
      <c r="L158" s="13" t="s">
        <v>4</v>
      </c>
      <c r="M158" s="13">
        <f>Inputs!$C$10</f>
        <v>2026</v>
      </c>
      <c r="N158" s="14" t="s">
        <v>1</v>
      </c>
      <c r="O158" s="14" t="s">
        <v>2</v>
      </c>
      <c r="P158" s="14" t="s">
        <v>3</v>
      </c>
      <c r="Q158" s="14" t="s">
        <v>4</v>
      </c>
      <c r="R158" s="15">
        <f>Inputs!$C$11</f>
        <v>2027</v>
      </c>
      <c r="S158" s="16">
        <f>Inputs!$C$12</f>
        <v>2028</v>
      </c>
      <c r="T158" s="16">
        <f>Inputs!$C$13</f>
        <v>2029</v>
      </c>
      <c r="U158" s="16">
        <f>Inputs!$C$14</f>
        <v>2030</v>
      </c>
      <c r="X158" s="13" t="s">
        <v>1</v>
      </c>
      <c r="Y158" s="13" t="s">
        <v>2</v>
      </c>
      <c r="Z158" s="13" t="s">
        <v>3</v>
      </c>
      <c r="AA158" s="13" t="s">
        <v>4</v>
      </c>
      <c r="AB158" s="13">
        <f>Inputs!$C$10</f>
        <v>2026</v>
      </c>
      <c r="AC158" s="14" t="s">
        <v>1</v>
      </c>
      <c r="AD158" s="14" t="s">
        <v>2</v>
      </c>
      <c r="AE158" s="14" t="s">
        <v>3</v>
      </c>
      <c r="AF158" s="14" t="s">
        <v>4</v>
      </c>
      <c r="AG158" s="15">
        <f>Inputs!$C$11</f>
        <v>2027</v>
      </c>
      <c r="AH158" s="16">
        <f>Inputs!$C$12</f>
        <v>2028</v>
      </c>
      <c r="AI158" s="16">
        <f>Inputs!$C$13</f>
        <v>2029</v>
      </c>
      <c r="AJ158" s="16">
        <f>Inputs!$C$14</f>
        <v>2030</v>
      </c>
    </row>
    <row r="159" spans="2:36" hidden="1" outlineLevel="1" x14ac:dyDescent="0.25">
      <c r="F159" s="71" t="s">
        <v>63</v>
      </c>
      <c r="G159" s="71" t="s">
        <v>63</v>
      </c>
      <c r="H159" s="71" t="s">
        <v>63</v>
      </c>
      <c r="I159" s="71" t="s">
        <v>63</v>
      </c>
      <c r="J159" s="71" t="s">
        <v>63</v>
      </c>
      <c r="K159" s="71" t="s">
        <v>63</v>
      </c>
      <c r="L159" s="71" t="s">
        <v>63</v>
      </c>
      <c r="M159" s="71" t="s">
        <v>63</v>
      </c>
      <c r="N159" s="71" t="s">
        <v>63</v>
      </c>
      <c r="O159" s="71" t="s">
        <v>63</v>
      </c>
      <c r="P159" s="71" t="s">
        <v>63</v>
      </c>
      <c r="Q159" s="71" t="s">
        <v>63</v>
      </c>
      <c r="R159" s="71" t="s">
        <v>63</v>
      </c>
      <c r="S159" s="71" t="s">
        <v>63</v>
      </c>
      <c r="T159" s="71" t="s">
        <v>63</v>
      </c>
      <c r="U159" s="71" t="s">
        <v>63</v>
      </c>
      <c r="X159" s="63" t="s">
        <v>30</v>
      </c>
      <c r="Y159" s="63" t="s">
        <v>30</v>
      </c>
      <c r="Z159" s="63" t="s">
        <v>30</v>
      </c>
      <c r="AA159" s="63" t="s">
        <v>30</v>
      </c>
      <c r="AB159" s="62"/>
      <c r="AC159" s="63" t="s">
        <v>30</v>
      </c>
      <c r="AD159" s="63" t="s">
        <v>30</v>
      </c>
      <c r="AE159" s="63" t="s">
        <v>30</v>
      </c>
      <c r="AF159" s="63" t="s">
        <v>30</v>
      </c>
      <c r="AG159" s="62"/>
      <c r="AH159" s="63" t="s">
        <v>30</v>
      </c>
      <c r="AI159" s="63" t="s">
        <v>30</v>
      </c>
      <c r="AJ159" s="63" t="s">
        <v>30</v>
      </c>
    </row>
    <row r="160" spans="2:36" hidden="1" outlineLevel="1" x14ac:dyDescent="0.25">
      <c r="B160" s="229" t="s">
        <v>195</v>
      </c>
      <c r="C160" s="229" t="s">
        <v>195</v>
      </c>
      <c r="E160" s="78" t="s">
        <v>67</v>
      </c>
      <c r="F160" s="21">
        <f t="shared" ref="F160:H166" si="229">F560</f>
        <v>0</v>
      </c>
      <c r="G160" s="21">
        <f t="shared" si="229"/>
        <v>0</v>
      </c>
      <c r="H160" s="21">
        <f t="shared" si="229"/>
        <v>0</v>
      </c>
      <c r="I160" s="10">
        <f>IF(X160="",I560,X160)</f>
        <v>0</v>
      </c>
      <c r="J160" s="10">
        <f t="shared" ref="J160:L160" si="230">IF(Y160="",J560,Y160)</f>
        <v>0</v>
      </c>
      <c r="K160" s="10">
        <f t="shared" si="230"/>
        <v>0</v>
      </c>
      <c r="L160" s="10">
        <f t="shared" si="230"/>
        <v>0</v>
      </c>
      <c r="M160" s="17">
        <f t="shared" ref="M160:M166" si="231">SUM(I160:L160)</f>
        <v>0</v>
      </c>
      <c r="N160" s="10">
        <f t="shared" ref="N160:Q160" si="232">IF(AC160="",N560,AC160)</f>
        <v>0</v>
      </c>
      <c r="O160" s="10">
        <f t="shared" si="232"/>
        <v>0</v>
      </c>
      <c r="P160" s="10">
        <f t="shared" si="232"/>
        <v>0</v>
      </c>
      <c r="Q160" s="10">
        <f t="shared" si="232"/>
        <v>0</v>
      </c>
      <c r="R160" s="22">
        <f t="shared" ref="R160:R166" si="233">M160*(1-R136)</f>
        <v>0</v>
      </c>
      <c r="S160" s="23">
        <f t="shared" ref="S160:U160" si="234">IF(AH160="",S560,AH160)</f>
        <v>0</v>
      </c>
      <c r="T160" s="23">
        <f t="shared" si="234"/>
        <v>0</v>
      </c>
      <c r="U160" s="23">
        <f t="shared" si="234"/>
        <v>0</v>
      </c>
      <c r="W160" s="79" t="str">
        <f>E160</f>
        <v>Product Line 1</v>
      </c>
      <c r="X160" s="64"/>
      <c r="Y160" s="64"/>
      <c r="Z160" s="64"/>
      <c r="AA160" s="64"/>
      <c r="AB160" s="60"/>
      <c r="AC160" s="64"/>
      <c r="AD160" s="64"/>
      <c r="AE160" s="64"/>
      <c r="AF160" s="64"/>
      <c r="AG160" s="60"/>
      <c r="AH160" s="64"/>
      <c r="AI160" s="64"/>
      <c r="AJ160" s="64"/>
    </row>
    <row r="161" spans="2:36" hidden="1" outlineLevel="1" x14ac:dyDescent="0.25">
      <c r="B161" s="229" t="s">
        <v>195</v>
      </c>
      <c r="C161" s="229" t="s">
        <v>195</v>
      </c>
      <c r="E161" s="78" t="s">
        <v>68</v>
      </c>
      <c r="F161" s="21">
        <f t="shared" si="229"/>
        <v>0</v>
      </c>
      <c r="G161" s="21">
        <f t="shared" si="229"/>
        <v>0</v>
      </c>
      <c r="H161" s="21">
        <f t="shared" si="229"/>
        <v>0</v>
      </c>
      <c r="I161" s="10">
        <f t="shared" ref="I161:L161" si="235">IF(X161="",I561,X161)</f>
        <v>0</v>
      </c>
      <c r="J161" s="10">
        <f t="shared" si="235"/>
        <v>0</v>
      </c>
      <c r="K161" s="10">
        <f t="shared" si="235"/>
        <v>0</v>
      </c>
      <c r="L161" s="10">
        <f t="shared" si="235"/>
        <v>0</v>
      </c>
      <c r="M161" s="17">
        <f t="shared" si="231"/>
        <v>0</v>
      </c>
      <c r="N161" s="10">
        <f t="shared" ref="N161:Q161" si="236">IF(AC161="",N561,AC161)</f>
        <v>0</v>
      </c>
      <c r="O161" s="10">
        <f t="shared" si="236"/>
        <v>0</v>
      </c>
      <c r="P161" s="10">
        <f t="shared" si="236"/>
        <v>0</v>
      </c>
      <c r="Q161" s="10">
        <f t="shared" si="236"/>
        <v>0</v>
      </c>
      <c r="R161" s="22">
        <f t="shared" si="233"/>
        <v>0</v>
      </c>
      <c r="S161" s="23">
        <f t="shared" ref="S161:U161" si="237">IF(AH161="",S561,AH161)</f>
        <v>0</v>
      </c>
      <c r="T161" s="23">
        <f t="shared" si="237"/>
        <v>0</v>
      </c>
      <c r="U161" s="23">
        <f t="shared" si="237"/>
        <v>0</v>
      </c>
      <c r="W161" s="79" t="str">
        <f t="shared" ref="W161:W166" si="238">E161</f>
        <v>Product Line 2</v>
      </c>
      <c r="X161" s="64"/>
      <c r="Y161" s="64"/>
      <c r="Z161" s="64"/>
      <c r="AA161" s="64"/>
      <c r="AB161" s="60"/>
      <c r="AC161" s="64"/>
      <c r="AD161" s="64"/>
      <c r="AE161" s="64"/>
      <c r="AF161" s="64"/>
      <c r="AG161" s="60"/>
      <c r="AH161" s="64"/>
      <c r="AI161" s="64"/>
      <c r="AJ161" s="64"/>
    </row>
    <row r="162" spans="2:36" hidden="1" outlineLevel="1" x14ac:dyDescent="0.25">
      <c r="B162" s="229" t="s">
        <v>195</v>
      </c>
      <c r="C162" s="229" t="s">
        <v>195</v>
      </c>
      <c r="E162" s="78" t="s">
        <v>69</v>
      </c>
      <c r="F162" s="21">
        <f t="shared" si="229"/>
        <v>0</v>
      </c>
      <c r="G162" s="21">
        <f t="shared" si="229"/>
        <v>0</v>
      </c>
      <c r="H162" s="21">
        <f t="shared" si="229"/>
        <v>0</v>
      </c>
      <c r="I162" s="10">
        <f t="shared" ref="I162:L162" si="239">IF(X162="",I562,X162)</f>
        <v>0</v>
      </c>
      <c r="J162" s="10">
        <f t="shared" si="239"/>
        <v>0</v>
      </c>
      <c r="K162" s="10">
        <f t="shared" si="239"/>
        <v>0</v>
      </c>
      <c r="L162" s="10">
        <f t="shared" si="239"/>
        <v>0</v>
      </c>
      <c r="M162" s="17">
        <f t="shared" si="231"/>
        <v>0</v>
      </c>
      <c r="N162" s="10">
        <f t="shared" ref="N162:Q162" si="240">IF(AC162="",N562,AC162)</f>
        <v>0</v>
      </c>
      <c r="O162" s="10">
        <f t="shared" si="240"/>
        <v>0</v>
      </c>
      <c r="P162" s="10">
        <f t="shared" si="240"/>
        <v>0</v>
      </c>
      <c r="Q162" s="10">
        <f t="shared" si="240"/>
        <v>0</v>
      </c>
      <c r="R162" s="22">
        <f t="shared" si="233"/>
        <v>0</v>
      </c>
      <c r="S162" s="23">
        <f t="shared" ref="S162:U162" si="241">IF(AH162="",S562,AH162)</f>
        <v>0</v>
      </c>
      <c r="T162" s="23">
        <f t="shared" si="241"/>
        <v>0</v>
      </c>
      <c r="U162" s="23">
        <f t="shared" si="241"/>
        <v>0</v>
      </c>
      <c r="W162" s="79" t="str">
        <f t="shared" si="238"/>
        <v>Product Line 3</v>
      </c>
      <c r="X162" s="64"/>
      <c r="Y162" s="64"/>
      <c r="Z162" s="64"/>
      <c r="AA162" s="64"/>
      <c r="AB162" s="60"/>
      <c r="AC162" s="64"/>
      <c r="AD162" s="64"/>
      <c r="AE162" s="64"/>
      <c r="AF162" s="64"/>
      <c r="AG162" s="60"/>
      <c r="AH162" s="64"/>
      <c r="AI162" s="64"/>
      <c r="AJ162" s="64"/>
    </row>
    <row r="163" spans="2:36" hidden="1" outlineLevel="1" x14ac:dyDescent="0.25">
      <c r="B163" s="229" t="s">
        <v>195</v>
      </c>
      <c r="C163" s="229" t="s">
        <v>195</v>
      </c>
      <c r="E163" s="78" t="s">
        <v>70</v>
      </c>
      <c r="F163" s="21">
        <f t="shared" si="229"/>
        <v>0</v>
      </c>
      <c r="G163" s="21">
        <f t="shared" si="229"/>
        <v>0</v>
      </c>
      <c r="H163" s="21">
        <f t="shared" si="229"/>
        <v>0</v>
      </c>
      <c r="I163" s="10">
        <f t="shared" ref="I163:L163" si="242">IF(X163="",I563,X163)</f>
        <v>0</v>
      </c>
      <c r="J163" s="10">
        <f t="shared" si="242"/>
        <v>0</v>
      </c>
      <c r="K163" s="10">
        <f t="shared" si="242"/>
        <v>0</v>
      </c>
      <c r="L163" s="10">
        <f t="shared" si="242"/>
        <v>0</v>
      </c>
      <c r="M163" s="17">
        <f t="shared" si="231"/>
        <v>0</v>
      </c>
      <c r="N163" s="10">
        <f t="shared" ref="N163:Q163" si="243">IF(AC163="",N563,AC163)</f>
        <v>0</v>
      </c>
      <c r="O163" s="10">
        <f t="shared" si="243"/>
        <v>0</v>
      </c>
      <c r="P163" s="10">
        <f t="shared" si="243"/>
        <v>0</v>
      </c>
      <c r="Q163" s="10">
        <f t="shared" si="243"/>
        <v>0</v>
      </c>
      <c r="R163" s="22">
        <f t="shared" si="233"/>
        <v>0</v>
      </c>
      <c r="S163" s="23">
        <f t="shared" ref="S163:U163" si="244">IF(AH163="",S563,AH163)</f>
        <v>0</v>
      </c>
      <c r="T163" s="23">
        <f t="shared" si="244"/>
        <v>0</v>
      </c>
      <c r="U163" s="23">
        <f t="shared" si="244"/>
        <v>0</v>
      </c>
      <c r="W163" s="79" t="str">
        <f t="shared" si="238"/>
        <v>Product Line 4</v>
      </c>
      <c r="X163" s="64"/>
      <c r="Y163" s="64"/>
      <c r="Z163" s="64"/>
      <c r="AA163" s="64"/>
      <c r="AB163" s="60"/>
      <c r="AC163" s="64"/>
      <c r="AD163" s="64"/>
      <c r="AE163" s="64"/>
      <c r="AF163" s="64"/>
      <c r="AG163" s="60"/>
      <c r="AH163" s="64"/>
      <c r="AI163" s="64"/>
      <c r="AJ163" s="64"/>
    </row>
    <row r="164" spans="2:36" hidden="1" outlineLevel="1" x14ac:dyDescent="0.25">
      <c r="B164" s="229" t="s">
        <v>195</v>
      </c>
      <c r="C164" s="229" t="s">
        <v>195</v>
      </c>
      <c r="E164" s="78" t="s">
        <v>71</v>
      </c>
      <c r="F164" s="21">
        <f t="shared" si="229"/>
        <v>0</v>
      </c>
      <c r="G164" s="21">
        <f t="shared" si="229"/>
        <v>0</v>
      </c>
      <c r="H164" s="21">
        <f t="shared" si="229"/>
        <v>0</v>
      </c>
      <c r="I164" s="10">
        <f t="shared" ref="I164:L164" si="245">IF(X164="",I564,X164)</f>
        <v>0</v>
      </c>
      <c r="J164" s="10">
        <f t="shared" si="245"/>
        <v>0</v>
      </c>
      <c r="K164" s="10">
        <f t="shared" si="245"/>
        <v>0</v>
      </c>
      <c r="L164" s="10">
        <f t="shared" si="245"/>
        <v>0</v>
      </c>
      <c r="M164" s="17">
        <f t="shared" si="231"/>
        <v>0</v>
      </c>
      <c r="N164" s="10">
        <f t="shared" ref="N164:Q164" si="246">IF(AC164="",N564,AC164)</f>
        <v>0</v>
      </c>
      <c r="O164" s="10">
        <f t="shared" si="246"/>
        <v>0</v>
      </c>
      <c r="P164" s="10">
        <f t="shared" si="246"/>
        <v>0</v>
      </c>
      <c r="Q164" s="10">
        <f t="shared" si="246"/>
        <v>0</v>
      </c>
      <c r="R164" s="22">
        <f t="shared" si="233"/>
        <v>0</v>
      </c>
      <c r="S164" s="23">
        <f t="shared" ref="S164:U164" si="247">IF(AH164="",S564,AH164)</f>
        <v>0</v>
      </c>
      <c r="T164" s="23">
        <f t="shared" si="247"/>
        <v>0</v>
      </c>
      <c r="U164" s="23">
        <f t="shared" si="247"/>
        <v>0</v>
      </c>
      <c r="W164" s="79" t="str">
        <f t="shared" si="238"/>
        <v>Product Line 5</v>
      </c>
      <c r="X164" s="64"/>
      <c r="Y164" s="64"/>
      <c r="Z164" s="64"/>
      <c r="AA164" s="64"/>
      <c r="AB164" s="60"/>
      <c r="AC164" s="64"/>
      <c r="AD164" s="64"/>
      <c r="AE164" s="64"/>
      <c r="AF164" s="64"/>
      <c r="AG164" s="60"/>
      <c r="AH164" s="64"/>
      <c r="AI164" s="64"/>
      <c r="AJ164" s="64"/>
    </row>
    <row r="165" spans="2:36" hidden="1" outlineLevel="1" x14ac:dyDescent="0.25">
      <c r="B165" s="229" t="s">
        <v>195</v>
      </c>
      <c r="C165" s="229" t="s">
        <v>195</v>
      </c>
      <c r="E165" s="78" t="s">
        <v>72</v>
      </c>
      <c r="F165" s="21">
        <f t="shared" si="229"/>
        <v>0</v>
      </c>
      <c r="G165" s="21">
        <f t="shared" si="229"/>
        <v>0</v>
      </c>
      <c r="H165" s="21">
        <f t="shared" si="229"/>
        <v>0</v>
      </c>
      <c r="I165" s="10">
        <f t="shared" ref="I165:L165" si="248">IF(X165="",I565,X165)</f>
        <v>0</v>
      </c>
      <c r="J165" s="10">
        <f t="shared" si="248"/>
        <v>0</v>
      </c>
      <c r="K165" s="10">
        <f t="shared" si="248"/>
        <v>0</v>
      </c>
      <c r="L165" s="10">
        <f t="shared" si="248"/>
        <v>0</v>
      </c>
      <c r="M165" s="17">
        <f t="shared" si="231"/>
        <v>0</v>
      </c>
      <c r="N165" s="10">
        <f t="shared" ref="N165:Q165" si="249">IF(AC165="",N565,AC165)</f>
        <v>0</v>
      </c>
      <c r="O165" s="10">
        <f t="shared" si="249"/>
        <v>0</v>
      </c>
      <c r="P165" s="10">
        <f t="shared" si="249"/>
        <v>0</v>
      </c>
      <c r="Q165" s="10">
        <f t="shared" si="249"/>
        <v>0</v>
      </c>
      <c r="R165" s="22">
        <f t="shared" si="233"/>
        <v>0</v>
      </c>
      <c r="S165" s="23">
        <f t="shared" ref="S165:U165" si="250">IF(AH165="",S565,AH165)</f>
        <v>0</v>
      </c>
      <c r="T165" s="23">
        <f t="shared" si="250"/>
        <v>0</v>
      </c>
      <c r="U165" s="23">
        <f t="shared" si="250"/>
        <v>0</v>
      </c>
      <c r="W165" s="79" t="str">
        <f t="shared" si="238"/>
        <v>Product Line 6</v>
      </c>
      <c r="X165" s="64"/>
      <c r="Y165" s="64"/>
      <c r="Z165" s="64"/>
      <c r="AA165" s="64"/>
      <c r="AB165" s="60"/>
      <c r="AC165" s="64"/>
      <c r="AD165" s="64"/>
      <c r="AE165" s="64"/>
      <c r="AF165" s="64"/>
      <c r="AG165" s="60"/>
      <c r="AH165" s="64"/>
      <c r="AI165" s="64"/>
      <c r="AJ165" s="64"/>
    </row>
    <row r="166" spans="2:36" hidden="1" outlineLevel="1" x14ac:dyDescent="0.25">
      <c r="B166" s="229" t="s">
        <v>195</v>
      </c>
      <c r="C166" s="229" t="s">
        <v>195</v>
      </c>
      <c r="E166" s="78" t="s">
        <v>73</v>
      </c>
      <c r="F166" s="21">
        <f t="shared" si="229"/>
        <v>0</v>
      </c>
      <c r="G166" s="21">
        <f t="shared" si="229"/>
        <v>0</v>
      </c>
      <c r="H166" s="21">
        <f t="shared" si="229"/>
        <v>0</v>
      </c>
      <c r="I166" s="10">
        <f t="shared" ref="I166:L166" si="251">IF(X166="",I566,X166)</f>
        <v>0</v>
      </c>
      <c r="J166" s="10">
        <f t="shared" si="251"/>
        <v>0</v>
      </c>
      <c r="K166" s="10">
        <f t="shared" si="251"/>
        <v>0</v>
      </c>
      <c r="L166" s="10">
        <f t="shared" si="251"/>
        <v>0</v>
      </c>
      <c r="M166" s="17">
        <f t="shared" si="231"/>
        <v>0</v>
      </c>
      <c r="N166" s="10">
        <f t="shared" ref="N166:Q166" si="252">IF(AC166="",N566,AC166)</f>
        <v>0</v>
      </c>
      <c r="O166" s="10">
        <f t="shared" si="252"/>
        <v>0</v>
      </c>
      <c r="P166" s="10">
        <f t="shared" si="252"/>
        <v>0</v>
      </c>
      <c r="Q166" s="10">
        <f t="shared" si="252"/>
        <v>0</v>
      </c>
      <c r="R166" s="22">
        <f t="shared" si="233"/>
        <v>0</v>
      </c>
      <c r="S166" s="23">
        <f t="shared" ref="S166:U166" si="253">IF(AH166="",S566,AH166)</f>
        <v>0</v>
      </c>
      <c r="T166" s="23">
        <f t="shared" si="253"/>
        <v>0</v>
      </c>
      <c r="U166" s="23">
        <f t="shared" si="253"/>
        <v>0</v>
      </c>
      <c r="W166" s="79" t="str">
        <f t="shared" si="238"/>
        <v>Product Line 7</v>
      </c>
      <c r="X166" s="64"/>
      <c r="Y166" s="64"/>
      <c r="Z166" s="64"/>
      <c r="AA166" s="64"/>
      <c r="AB166" s="60"/>
      <c r="AC166" s="64"/>
      <c r="AD166" s="64"/>
      <c r="AE166" s="64"/>
      <c r="AF166" s="64"/>
      <c r="AG166" s="60"/>
      <c r="AH166" s="64"/>
      <c r="AI166" s="64"/>
      <c r="AJ166" s="64"/>
    </row>
    <row r="167" spans="2:36" ht="15.75" hidden="1" outlineLevel="1" thickBot="1" x14ac:dyDescent="0.3">
      <c r="E167" s="8" t="s">
        <v>27</v>
      </c>
      <c r="F167" s="9">
        <f t="shared" ref="F167:U167" si="254">SUM(F160:F166)</f>
        <v>0</v>
      </c>
      <c r="G167" s="9">
        <f t="shared" si="254"/>
        <v>0</v>
      </c>
      <c r="H167" s="9">
        <f t="shared" si="254"/>
        <v>0</v>
      </c>
      <c r="I167" s="11">
        <f t="shared" si="254"/>
        <v>0</v>
      </c>
      <c r="J167" s="11">
        <f t="shared" si="254"/>
        <v>0</v>
      </c>
      <c r="K167" s="11">
        <f t="shared" si="254"/>
        <v>0</v>
      </c>
      <c r="L167" s="11">
        <f t="shared" si="254"/>
        <v>0</v>
      </c>
      <c r="M167" s="18">
        <f t="shared" si="254"/>
        <v>0</v>
      </c>
      <c r="N167" s="11">
        <f t="shared" si="254"/>
        <v>0</v>
      </c>
      <c r="O167" s="11">
        <f t="shared" si="254"/>
        <v>0</v>
      </c>
      <c r="P167" s="11">
        <f t="shared" si="254"/>
        <v>0</v>
      </c>
      <c r="Q167" s="11">
        <f t="shared" si="254"/>
        <v>0</v>
      </c>
      <c r="R167" s="19">
        <f t="shared" si="254"/>
        <v>0</v>
      </c>
      <c r="S167" s="20">
        <f t="shared" si="254"/>
        <v>0</v>
      </c>
      <c r="T167" s="20">
        <f t="shared" si="254"/>
        <v>0</v>
      </c>
      <c r="U167" s="20">
        <f t="shared" si="254"/>
        <v>0</v>
      </c>
    </row>
    <row r="168" spans="2:36" ht="15.75" hidden="1" outlineLevel="1" thickTop="1" x14ac:dyDescent="0.25"/>
    <row r="169" spans="2:36" hidden="1" outlineLevel="1" x14ac:dyDescent="0.25"/>
    <row r="170" spans="2:36" hidden="1" outlineLevel="1" x14ac:dyDescent="0.25"/>
    <row r="171" spans="2:36" hidden="1" outlineLevel="1" x14ac:dyDescent="0.25">
      <c r="E171" s="4" t="s">
        <v>24</v>
      </c>
    </row>
    <row r="172" spans="2:36" hidden="1" outlineLevel="1" x14ac:dyDescent="0.25">
      <c r="E172" s="6" t="s">
        <v>25</v>
      </c>
    </row>
    <row r="173" spans="2:36" hidden="1" outlineLevel="1" x14ac:dyDescent="0.25"/>
    <row r="174" spans="2:36" hidden="1" outlineLevel="1" x14ac:dyDescent="0.25">
      <c r="F174" s="12">
        <v>2023</v>
      </c>
      <c r="G174" s="12">
        <v>2024</v>
      </c>
      <c r="H174" s="12">
        <v>2025</v>
      </c>
      <c r="I174" s="13" t="s">
        <v>1</v>
      </c>
      <c r="J174" s="13" t="s">
        <v>2</v>
      </c>
      <c r="K174" s="13" t="s">
        <v>3</v>
      </c>
      <c r="L174" s="13" t="s">
        <v>4</v>
      </c>
      <c r="M174" s="13">
        <v>2026</v>
      </c>
      <c r="N174" s="14" t="s">
        <v>1</v>
      </c>
      <c r="O174" s="14" t="s">
        <v>2</v>
      </c>
      <c r="P174" s="14" t="s">
        <v>3</v>
      </c>
      <c r="Q174" s="14" t="s">
        <v>4</v>
      </c>
      <c r="R174" s="15">
        <v>2027</v>
      </c>
      <c r="S174" s="16">
        <v>2028</v>
      </c>
      <c r="T174" s="16">
        <v>2029</v>
      </c>
      <c r="U174" s="16">
        <v>2030</v>
      </c>
    </row>
    <row r="175" spans="2:36" hidden="1" outlineLevel="1" x14ac:dyDescent="0.25">
      <c r="F175" s="71" t="s">
        <v>63</v>
      </c>
      <c r="G175" s="71" t="s">
        <v>63</v>
      </c>
      <c r="H175" s="71" t="s">
        <v>63</v>
      </c>
      <c r="I175" s="71" t="s">
        <v>63</v>
      </c>
      <c r="J175" s="71" t="s">
        <v>63</v>
      </c>
      <c r="K175" s="71" t="s">
        <v>63</v>
      </c>
      <c r="L175" s="71" t="s">
        <v>63</v>
      </c>
      <c r="M175" s="71" t="s">
        <v>63</v>
      </c>
      <c r="N175" s="71" t="s">
        <v>63</v>
      </c>
      <c r="O175" s="71" t="s">
        <v>63</v>
      </c>
      <c r="P175" s="71" t="s">
        <v>63</v>
      </c>
      <c r="Q175" s="71" t="s">
        <v>63</v>
      </c>
      <c r="R175" s="71" t="s">
        <v>63</v>
      </c>
      <c r="S175" s="71" t="s">
        <v>63</v>
      </c>
      <c r="T175" s="71" t="s">
        <v>63</v>
      </c>
      <c r="U175" s="71" t="s">
        <v>63</v>
      </c>
    </row>
    <row r="176" spans="2:36" hidden="1" outlineLevel="1" x14ac:dyDescent="0.25">
      <c r="B176" s="229" t="s">
        <v>195</v>
      </c>
      <c r="C176" s="229" t="s">
        <v>195</v>
      </c>
      <c r="E176" s="78" t="s">
        <v>67</v>
      </c>
      <c r="F176" s="21">
        <f>F576</f>
        <v>0</v>
      </c>
      <c r="G176" s="21">
        <f t="shared" ref="G176:H176" si="255">G576</f>
        <v>0</v>
      </c>
      <c r="H176" s="21">
        <f t="shared" si="255"/>
        <v>0</v>
      </c>
      <c r="I176" s="10">
        <f>IF(X192="",I112*I592,I112*X192)</f>
        <v>0</v>
      </c>
      <c r="J176" s="10">
        <f t="shared" ref="J176:L176" si="256">IF(Y192="",J112*J592,J112*Y192)</f>
        <v>0</v>
      </c>
      <c r="K176" s="10">
        <f t="shared" si="256"/>
        <v>0</v>
      </c>
      <c r="L176" s="10">
        <f t="shared" si="256"/>
        <v>0</v>
      </c>
      <c r="M176" s="17">
        <f t="shared" ref="M176:M182" si="257">SUM(I176:L176)</f>
        <v>0</v>
      </c>
      <c r="N176" s="10">
        <f t="shared" ref="N176:Q176" si="258">IF(AC192="",N112*N592,N112*AC192)</f>
        <v>0</v>
      </c>
      <c r="O176" s="10">
        <f t="shared" si="258"/>
        <v>0</v>
      </c>
      <c r="P176" s="10">
        <f t="shared" si="258"/>
        <v>0</v>
      </c>
      <c r="Q176" s="10">
        <f t="shared" si="258"/>
        <v>0</v>
      </c>
      <c r="R176" s="22">
        <f t="shared" ref="R176:R182" si="259">SUM(N176:Q176)</f>
        <v>0</v>
      </c>
      <c r="S176" s="23">
        <f t="shared" ref="S176:U176" si="260">IF(AH192="",S112*S592,S112*AH192)</f>
        <v>0</v>
      </c>
      <c r="T176" s="23">
        <f t="shared" si="260"/>
        <v>0</v>
      </c>
      <c r="U176" s="23">
        <f t="shared" si="260"/>
        <v>0</v>
      </c>
    </row>
    <row r="177" spans="2:36" hidden="1" outlineLevel="1" x14ac:dyDescent="0.25">
      <c r="B177" s="229" t="s">
        <v>195</v>
      </c>
      <c r="C177" s="229" t="s">
        <v>195</v>
      </c>
      <c r="E177" s="78" t="s">
        <v>68</v>
      </c>
      <c r="F177" s="21">
        <f t="shared" ref="F177:H177" si="261">F577</f>
        <v>0</v>
      </c>
      <c r="G177" s="21">
        <f t="shared" si="261"/>
        <v>0</v>
      </c>
      <c r="H177" s="21">
        <f t="shared" si="261"/>
        <v>0</v>
      </c>
      <c r="I177" s="10">
        <f t="shared" ref="I177:L177" si="262">IF(X193="",I113*I593,I113*X193)</f>
        <v>0</v>
      </c>
      <c r="J177" s="10">
        <f t="shared" si="262"/>
        <v>0</v>
      </c>
      <c r="K177" s="10">
        <f t="shared" si="262"/>
        <v>0</v>
      </c>
      <c r="L177" s="10">
        <f t="shared" si="262"/>
        <v>0</v>
      </c>
      <c r="M177" s="17">
        <f t="shared" si="257"/>
        <v>0</v>
      </c>
      <c r="N177" s="10">
        <f t="shared" ref="N177:Q177" si="263">IF(AC193="",N113*N593,N113*AC193)</f>
        <v>0</v>
      </c>
      <c r="O177" s="10">
        <f t="shared" si="263"/>
        <v>0</v>
      </c>
      <c r="P177" s="10">
        <f t="shared" si="263"/>
        <v>0</v>
      </c>
      <c r="Q177" s="10">
        <f t="shared" si="263"/>
        <v>0</v>
      </c>
      <c r="R177" s="22">
        <f t="shared" si="259"/>
        <v>0</v>
      </c>
      <c r="S177" s="23">
        <f t="shared" ref="S177:U177" si="264">IF(AH193="",S113*S593,S113*AH193)</f>
        <v>0</v>
      </c>
      <c r="T177" s="23">
        <f t="shared" si="264"/>
        <v>0</v>
      </c>
      <c r="U177" s="23">
        <f t="shared" si="264"/>
        <v>0</v>
      </c>
    </row>
    <row r="178" spans="2:36" hidden="1" outlineLevel="1" x14ac:dyDescent="0.25">
      <c r="B178" s="229" t="s">
        <v>195</v>
      </c>
      <c r="C178" s="229" t="s">
        <v>195</v>
      </c>
      <c r="E178" s="78" t="s">
        <v>69</v>
      </c>
      <c r="F178" s="21">
        <f t="shared" ref="F178:H178" si="265">F578</f>
        <v>0</v>
      </c>
      <c r="G178" s="21">
        <f t="shared" si="265"/>
        <v>0</v>
      </c>
      <c r="H178" s="21">
        <f t="shared" si="265"/>
        <v>0</v>
      </c>
      <c r="I178" s="10">
        <f t="shared" ref="I178:L178" si="266">IF(X194="",I114*I594,I114*X194)</f>
        <v>0</v>
      </c>
      <c r="J178" s="10">
        <f t="shared" si="266"/>
        <v>0</v>
      </c>
      <c r="K178" s="10">
        <f t="shared" si="266"/>
        <v>0</v>
      </c>
      <c r="L178" s="10">
        <f t="shared" si="266"/>
        <v>0</v>
      </c>
      <c r="M178" s="17">
        <f t="shared" si="257"/>
        <v>0</v>
      </c>
      <c r="N178" s="10">
        <f t="shared" ref="N178:Q178" si="267">IF(AC194="",N114*N594,N114*AC194)</f>
        <v>0</v>
      </c>
      <c r="O178" s="10">
        <f t="shared" si="267"/>
        <v>0</v>
      </c>
      <c r="P178" s="10">
        <f t="shared" si="267"/>
        <v>0</v>
      </c>
      <c r="Q178" s="10">
        <f t="shared" si="267"/>
        <v>0</v>
      </c>
      <c r="R178" s="22">
        <f t="shared" si="259"/>
        <v>0</v>
      </c>
      <c r="S178" s="23">
        <f t="shared" ref="S178:U178" si="268">IF(AH194="",S114*S594,S114*AH194)</f>
        <v>0</v>
      </c>
      <c r="T178" s="23">
        <f t="shared" si="268"/>
        <v>0</v>
      </c>
      <c r="U178" s="23">
        <f t="shared" si="268"/>
        <v>0</v>
      </c>
    </row>
    <row r="179" spans="2:36" hidden="1" outlineLevel="1" x14ac:dyDescent="0.25">
      <c r="B179" s="229" t="s">
        <v>195</v>
      </c>
      <c r="C179" s="229" t="s">
        <v>195</v>
      </c>
      <c r="E179" s="78" t="s">
        <v>70</v>
      </c>
      <c r="F179" s="21">
        <f t="shared" ref="F179:H179" si="269">F579</f>
        <v>0</v>
      </c>
      <c r="G179" s="21">
        <f t="shared" si="269"/>
        <v>0</v>
      </c>
      <c r="H179" s="21">
        <f t="shared" si="269"/>
        <v>0</v>
      </c>
      <c r="I179" s="10">
        <f t="shared" ref="I179:L179" si="270">IF(X195="",I115*I595,I115*X195)</f>
        <v>0</v>
      </c>
      <c r="J179" s="10">
        <f t="shared" si="270"/>
        <v>0</v>
      </c>
      <c r="K179" s="10">
        <f t="shared" si="270"/>
        <v>0</v>
      </c>
      <c r="L179" s="10">
        <f t="shared" si="270"/>
        <v>0</v>
      </c>
      <c r="M179" s="17">
        <f t="shared" si="257"/>
        <v>0</v>
      </c>
      <c r="N179" s="10">
        <f t="shared" ref="N179:Q179" si="271">IF(AC195="",N115*N595,N115*AC195)</f>
        <v>0</v>
      </c>
      <c r="O179" s="10">
        <f t="shared" si="271"/>
        <v>0</v>
      </c>
      <c r="P179" s="10">
        <f t="shared" si="271"/>
        <v>0</v>
      </c>
      <c r="Q179" s="10">
        <f t="shared" si="271"/>
        <v>0</v>
      </c>
      <c r="R179" s="22">
        <f t="shared" si="259"/>
        <v>0</v>
      </c>
      <c r="S179" s="23">
        <f t="shared" ref="S179:U179" si="272">IF(AH195="",S115*S595,S115*AH195)</f>
        <v>0</v>
      </c>
      <c r="T179" s="23">
        <f t="shared" si="272"/>
        <v>0</v>
      </c>
      <c r="U179" s="23">
        <f t="shared" si="272"/>
        <v>0</v>
      </c>
    </row>
    <row r="180" spans="2:36" hidden="1" outlineLevel="1" x14ac:dyDescent="0.25">
      <c r="B180" s="229" t="s">
        <v>195</v>
      </c>
      <c r="C180" s="229" t="s">
        <v>195</v>
      </c>
      <c r="E180" s="78" t="s">
        <v>71</v>
      </c>
      <c r="F180" s="21">
        <f t="shared" ref="F180:H180" si="273">F580</f>
        <v>0</v>
      </c>
      <c r="G180" s="21">
        <f t="shared" si="273"/>
        <v>0</v>
      </c>
      <c r="H180" s="21">
        <f t="shared" si="273"/>
        <v>0</v>
      </c>
      <c r="I180" s="10">
        <f t="shared" ref="I180:L180" si="274">IF(X196="",I116*I596,I116*X196)</f>
        <v>0</v>
      </c>
      <c r="J180" s="10">
        <f t="shared" si="274"/>
        <v>0</v>
      </c>
      <c r="K180" s="10">
        <f t="shared" si="274"/>
        <v>0</v>
      </c>
      <c r="L180" s="10">
        <f t="shared" si="274"/>
        <v>0</v>
      </c>
      <c r="M180" s="17">
        <f t="shared" si="257"/>
        <v>0</v>
      </c>
      <c r="N180" s="10">
        <f t="shared" ref="N180:Q180" si="275">IF(AC196="",N116*N596,N116*AC196)</f>
        <v>0</v>
      </c>
      <c r="O180" s="10">
        <f t="shared" si="275"/>
        <v>0</v>
      </c>
      <c r="P180" s="10">
        <f t="shared" si="275"/>
        <v>0</v>
      </c>
      <c r="Q180" s="10">
        <f t="shared" si="275"/>
        <v>0</v>
      </c>
      <c r="R180" s="22">
        <f t="shared" si="259"/>
        <v>0</v>
      </c>
      <c r="S180" s="23">
        <f t="shared" ref="S180:U180" si="276">IF(AH196="",S116*S596,S116*AH196)</f>
        <v>0</v>
      </c>
      <c r="T180" s="23">
        <f t="shared" si="276"/>
        <v>0</v>
      </c>
      <c r="U180" s="23">
        <f t="shared" si="276"/>
        <v>0</v>
      </c>
    </row>
    <row r="181" spans="2:36" hidden="1" outlineLevel="1" x14ac:dyDescent="0.25">
      <c r="B181" s="229" t="s">
        <v>195</v>
      </c>
      <c r="C181" s="229" t="s">
        <v>195</v>
      </c>
      <c r="E181" s="78" t="s">
        <v>72</v>
      </c>
      <c r="F181" s="21">
        <f t="shared" ref="F181:H181" si="277">F581</f>
        <v>0</v>
      </c>
      <c r="G181" s="21">
        <f t="shared" si="277"/>
        <v>0</v>
      </c>
      <c r="H181" s="21">
        <f t="shared" si="277"/>
        <v>0</v>
      </c>
      <c r="I181" s="10">
        <f t="shared" ref="I181:L181" si="278">IF(X197="",I117*I597,I117*X197)</f>
        <v>0</v>
      </c>
      <c r="J181" s="10">
        <f t="shared" si="278"/>
        <v>0</v>
      </c>
      <c r="K181" s="10">
        <f t="shared" si="278"/>
        <v>0</v>
      </c>
      <c r="L181" s="10">
        <f t="shared" si="278"/>
        <v>0</v>
      </c>
      <c r="M181" s="17">
        <f t="shared" si="257"/>
        <v>0</v>
      </c>
      <c r="N181" s="10">
        <f t="shared" ref="N181:Q181" si="279">IF(AC197="",N117*N597,N117*AC197)</f>
        <v>0</v>
      </c>
      <c r="O181" s="10">
        <f t="shared" si="279"/>
        <v>0</v>
      </c>
      <c r="P181" s="10">
        <f t="shared" si="279"/>
        <v>0</v>
      </c>
      <c r="Q181" s="10">
        <f t="shared" si="279"/>
        <v>0</v>
      </c>
      <c r="R181" s="22">
        <f t="shared" si="259"/>
        <v>0</v>
      </c>
      <c r="S181" s="23">
        <f t="shared" ref="S181:U181" si="280">IF(AH197="",S117*S597,S117*AH197)</f>
        <v>0</v>
      </c>
      <c r="T181" s="23">
        <f t="shared" si="280"/>
        <v>0</v>
      </c>
      <c r="U181" s="23">
        <f t="shared" si="280"/>
        <v>0</v>
      </c>
    </row>
    <row r="182" spans="2:36" hidden="1" outlineLevel="1" x14ac:dyDescent="0.25">
      <c r="B182" s="229" t="s">
        <v>195</v>
      </c>
      <c r="C182" s="229" t="s">
        <v>195</v>
      </c>
      <c r="E182" s="78" t="s">
        <v>73</v>
      </c>
      <c r="F182" s="21">
        <f t="shared" ref="F182:H182" si="281">F582</f>
        <v>0</v>
      </c>
      <c r="G182" s="21">
        <f t="shared" si="281"/>
        <v>0</v>
      </c>
      <c r="H182" s="21">
        <f t="shared" si="281"/>
        <v>0</v>
      </c>
      <c r="I182" s="10">
        <f t="shared" ref="I182:L182" si="282">IF(X198="",I118*I598,I118*X198)</f>
        <v>0</v>
      </c>
      <c r="J182" s="10">
        <f t="shared" si="282"/>
        <v>0</v>
      </c>
      <c r="K182" s="10">
        <f t="shared" si="282"/>
        <v>0</v>
      </c>
      <c r="L182" s="10">
        <f t="shared" si="282"/>
        <v>0</v>
      </c>
      <c r="M182" s="17">
        <f t="shared" si="257"/>
        <v>0</v>
      </c>
      <c r="N182" s="10">
        <f t="shared" ref="N182:Q182" si="283">IF(AC198="",N118*N598,N118*AC198)</f>
        <v>0</v>
      </c>
      <c r="O182" s="10">
        <f t="shared" si="283"/>
        <v>0</v>
      </c>
      <c r="P182" s="10">
        <f t="shared" si="283"/>
        <v>0</v>
      </c>
      <c r="Q182" s="10">
        <f t="shared" si="283"/>
        <v>0</v>
      </c>
      <c r="R182" s="22">
        <f t="shared" si="259"/>
        <v>0</v>
      </c>
      <c r="S182" s="23">
        <f t="shared" ref="S182:U182" si="284">IF(AH198="",S118*S598,S118*AH198)</f>
        <v>0</v>
      </c>
      <c r="T182" s="23">
        <f t="shared" si="284"/>
        <v>0</v>
      </c>
      <c r="U182" s="23">
        <f t="shared" si="284"/>
        <v>0</v>
      </c>
    </row>
    <row r="183" spans="2:36" ht="15.75" hidden="1" outlineLevel="1" thickBot="1" x14ac:dyDescent="0.3">
      <c r="E183" s="8" t="s">
        <v>27</v>
      </c>
      <c r="F183" s="9">
        <f t="shared" ref="F183:U183" si="285">SUM(F176:F182)</f>
        <v>0</v>
      </c>
      <c r="G183" s="9">
        <f t="shared" si="285"/>
        <v>0</v>
      </c>
      <c r="H183" s="9">
        <f t="shared" si="285"/>
        <v>0</v>
      </c>
      <c r="I183" s="11">
        <f t="shared" si="285"/>
        <v>0</v>
      </c>
      <c r="J183" s="11">
        <f t="shared" si="285"/>
        <v>0</v>
      </c>
      <c r="K183" s="11">
        <f t="shared" si="285"/>
        <v>0</v>
      </c>
      <c r="L183" s="11">
        <f t="shared" si="285"/>
        <v>0</v>
      </c>
      <c r="M183" s="18">
        <f t="shared" si="285"/>
        <v>0</v>
      </c>
      <c r="N183" s="11">
        <f t="shared" si="285"/>
        <v>0</v>
      </c>
      <c r="O183" s="11">
        <f t="shared" si="285"/>
        <v>0</v>
      </c>
      <c r="P183" s="11">
        <f t="shared" si="285"/>
        <v>0</v>
      </c>
      <c r="Q183" s="11">
        <f t="shared" si="285"/>
        <v>0</v>
      </c>
      <c r="R183" s="19">
        <f t="shared" si="285"/>
        <v>0</v>
      </c>
      <c r="S183" s="20">
        <f t="shared" si="285"/>
        <v>0</v>
      </c>
      <c r="T183" s="20">
        <f t="shared" si="285"/>
        <v>0</v>
      </c>
      <c r="U183" s="20">
        <f t="shared" si="285"/>
        <v>0</v>
      </c>
    </row>
    <row r="184" spans="2:36" ht="15.75" hidden="1" outlineLevel="1" thickTop="1" x14ac:dyDescent="0.25">
      <c r="F184" s="24"/>
      <c r="G184" s="25"/>
      <c r="H184" s="25"/>
      <c r="I184" s="25"/>
      <c r="J184" s="25"/>
      <c r="K184" s="25"/>
      <c r="L184" s="25"/>
      <c r="M184" s="25"/>
      <c r="N184" s="25"/>
      <c r="O184" s="25"/>
      <c r="P184" s="25"/>
      <c r="Q184" s="25"/>
      <c r="R184" s="25"/>
      <c r="S184" s="25"/>
      <c r="T184" s="25"/>
      <c r="U184" s="25"/>
    </row>
    <row r="185" spans="2:36" hidden="1" outlineLevel="1" x14ac:dyDescent="0.25"/>
    <row r="186" spans="2:36" hidden="1" outlineLevel="1" x14ac:dyDescent="0.25"/>
    <row r="187" spans="2:36" hidden="1" outlineLevel="1" x14ac:dyDescent="0.25">
      <c r="E187" s="4" t="s">
        <v>26</v>
      </c>
      <c r="W187" s="4" t="s">
        <v>26</v>
      </c>
    </row>
    <row r="188" spans="2:36" hidden="1" outlineLevel="1" x14ac:dyDescent="0.25">
      <c r="E188" s="6" t="s">
        <v>25</v>
      </c>
      <c r="W188" s="61" t="s">
        <v>66</v>
      </c>
    </row>
    <row r="189" spans="2:36" hidden="1" outlineLevel="1" x14ac:dyDescent="0.25"/>
    <row r="190" spans="2:36" hidden="1" outlineLevel="1" x14ac:dyDescent="0.25">
      <c r="F190" s="12">
        <f>Inputs!$C$7</f>
        <v>2023</v>
      </c>
      <c r="G190" s="12">
        <f>Inputs!$C$8</f>
        <v>2024</v>
      </c>
      <c r="H190" s="12">
        <f>Inputs!$C$9</f>
        <v>2025</v>
      </c>
      <c r="I190" s="13" t="s">
        <v>1</v>
      </c>
      <c r="J190" s="13" t="s">
        <v>2</v>
      </c>
      <c r="K190" s="13" t="s">
        <v>3</v>
      </c>
      <c r="L190" s="13" t="s">
        <v>4</v>
      </c>
      <c r="M190" s="13">
        <f>Inputs!$C$10</f>
        <v>2026</v>
      </c>
      <c r="N190" s="14" t="s">
        <v>1</v>
      </c>
      <c r="O190" s="14" t="s">
        <v>2</v>
      </c>
      <c r="P190" s="14" t="s">
        <v>3</v>
      </c>
      <c r="Q190" s="14" t="s">
        <v>4</v>
      </c>
      <c r="R190" s="15">
        <f>Inputs!$C$11</f>
        <v>2027</v>
      </c>
      <c r="S190" s="16">
        <f>Inputs!$C$12</f>
        <v>2028</v>
      </c>
      <c r="T190" s="16">
        <f>Inputs!$C$13</f>
        <v>2029</v>
      </c>
      <c r="U190" s="16">
        <f>Inputs!$C$14</f>
        <v>2030</v>
      </c>
      <c r="X190" s="13" t="s">
        <v>1</v>
      </c>
      <c r="Y190" s="13" t="s">
        <v>2</v>
      </c>
      <c r="Z190" s="13" t="s">
        <v>3</v>
      </c>
      <c r="AA190" s="13" t="s">
        <v>4</v>
      </c>
      <c r="AB190" s="13">
        <f>Inputs!$C$10</f>
        <v>2026</v>
      </c>
      <c r="AC190" s="14" t="s">
        <v>1</v>
      </c>
      <c r="AD190" s="14" t="s">
        <v>2</v>
      </c>
      <c r="AE190" s="14" t="s">
        <v>3</v>
      </c>
      <c r="AF190" s="14" t="s">
        <v>4</v>
      </c>
      <c r="AG190" s="15">
        <f>Inputs!$C$11</f>
        <v>2027</v>
      </c>
      <c r="AH190" s="16">
        <f>Inputs!$C$12</f>
        <v>2028</v>
      </c>
      <c r="AI190" s="16">
        <f>Inputs!$C$13</f>
        <v>2029</v>
      </c>
      <c r="AJ190" s="16">
        <f>Inputs!$C$14</f>
        <v>2030</v>
      </c>
    </row>
    <row r="191" spans="2:36" hidden="1" outlineLevel="1" x14ac:dyDescent="0.25">
      <c r="F191" s="71" t="s">
        <v>64</v>
      </c>
      <c r="G191" s="71" t="s">
        <v>64</v>
      </c>
      <c r="H191" s="71" t="s">
        <v>64</v>
      </c>
      <c r="I191" s="71" t="s">
        <v>64</v>
      </c>
      <c r="J191" s="71" t="s">
        <v>64</v>
      </c>
      <c r="K191" s="71" t="s">
        <v>64</v>
      </c>
      <c r="L191" s="71" t="s">
        <v>64</v>
      </c>
      <c r="M191" s="71" t="s">
        <v>64</v>
      </c>
      <c r="N191" s="71" t="s">
        <v>64</v>
      </c>
      <c r="O191" s="71" t="s">
        <v>64</v>
      </c>
      <c r="P191" s="71" t="s">
        <v>64</v>
      </c>
      <c r="Q191" s="71" t="s">
        <v>64</v>
      </c>
      <c r="R191" s="71" t="s">
        <v>64</v>
      </c>
      <c r="S191" s="71" t="s">
        <v>64</v>
      </c>
      <c r="T191" s="71" t="s">
        <v>64</v>
      </c>
      <c r="U191" s="71" t="s">
        <v>64</v>
      </c>
      <c r="X191" s="63" t="s">
        <v>64</v>
      </c>
      <c r="Y191" s="63" t="s">
        <v>64</v>
      </c>
      <c r="Z191" s="63" t="s">
        <v>64</v>
      </c>
      <c r="AA191" s="63" t="s">
        <v>64</v>
      </c>
      <c r="AB191" s="62"/>
      <c r="AC191" s="63" t="s">
        <v>64</v>
      </c>
      <c r="AD191" s="63" t="s">
        <v>64</v>
      </c>
      <c r="AE191" s="63" t="s">
        <v>64</v>
      </c>
      <c r="AF191" s="63" t="s">
        <v>64</v>
      </c>
      <c r="AG191" s="62"/>
      <c r="AH191" s="63" t="s">
        <v>64</v>
      </c>
      <c r="AI191" s="63" t="s">
        <v>64</v>
      </c>
      <c r="AJ191" s="63" t="s">
        <v>64</v>
      </c>
    </row>
    <row r="192" spans="2:36" hidden="1" outlineLevel="1" x14ac:dyDescent="0.25">
      <c r="B192" s="229" t="s">
        <v>195</v>
      </c>
      <c r="C192" s="229" t="s">
        <v>195</v>
      </c>
      <c r="E192" s="78" t="s">
        <v>67</v>
      </c>
      <c r="F192" s="26">
        <f t="shared" ref="F192:U192" si="286">IFERROR(F176/F112,0)</f>
        <v>0</v>
      </c>
      <c r="G192" s="26">
        <f t="shared" si="286"/>
        <v>0</v>
      </c>
      <c r="H192" s="26">
        <f t="shared" si="286"/>
        <v>0</v>
      </c>
      <c r="I192" s="27">
        <f t="shared" si="286"/>
        <v>0</v>
      </c>
      <c r="J192" s="27">
        <f t="shared" si="286"/>
        <v>0</v>
      </c>
      <c r="K192" s="27">
        <f t="shared" si="286"/>
        <v>0</v>
      </c>
      <c r="L192" s="27">
        <f t="shared" si="286"/>
        <v>0</v>
      </c>
      <c r="M192" s="28">
        <f t="shared" si="286"/>
        <v>0</v>
      </c>
      <c r="N192" s="27">
        <f t="shared" si="286"/>
        <v>0</v>
      </c>
      <c r="O192" s="27">
        <f t="shared" si="286"/>
        <v>0</v>
      </c>
      <c r="P192" s="27">
        <f t="shared" si="286"/>
        <v>0</v>
      </c>
      <c r="Q192" s="27">
        <f t="shared" si="286"/>
        <v>0</v>
      </c>
      <c r="R192" s="29">
        <f t="shared" si="286"/>
        <v>0</v>
      </c>
      <c r="S192" s="30">
        <f t="shared" si="286"/>
        <v>0</v>
      </c>
      <c r="T192" s="30">
        <f t="shared" si="286"/>
        <v>0</v>
      </c>
      <c r="U192" s="30">
        <f t="shared" si="286"/>
        <v>0</v>
      </c>
      <c r="W192" s="79" t="str">
        <f>E192</f>
        <v>Product Line 1</v>
      </c>
      <c r="X192" s="64"/>
      <c r="Y192" s="64"/>
      <c r="Z192" s="64"/>
      <c r="AA192" s="64"/>
      <c r="AB192" s="60"/>
      <c r="AC192" s="64"/>
      <c r="AD192" s="64"/>
      <c r="AE192" s="64"/>
      <c r="AF192" s="64"/>
      <c r="AG192" s="60"/>
      <c r="AH192" s="64"/>
      <c r="AI192" s="64"/>
      <c r="AJ192" s="64"/>
    </row>
    <row r="193" spans="2:36" hidden="1" outlineLevel="1" x14ac:dyDescent="0.25">
      <c r="B193" s="229" t="s">
        <v>195</v>
      </c>
      <c r="C193" s="229" t="s">
        <v>195</v>
      </c>
      <c r="E193" s="78" t="s">
        <v>68</v>
      </c>
      <c r="F193" s="26">
        <f t="shared" ref="F193:U193" si="287">IFERROR(F177/F113,0)</f>
        <v>0</v>
      </c>
      <c r="G193" s="26">
        <f t="shared" si="287"/>
        <v>0</v>
      </c>
      <c r="H193" s="26">
        <f t="shared" si="287"/>
        <v>0</v>
      </c>
      <c r="I193" s="27">
        <f t="shared" si="287"/>
        <v>0</v>
      </c>
      <c r="J193" s="27">
        <f t="shared" si="287"/>
        <v>0</v>
      </c>
      <c r="K193" s="27">
        <f t="shared" si="287"/>
        <v>0</v>
      </c>
      <c r="L193" s="27">
        <f t="shared" si="287"/>
        <v>0</v>
      </c>
      <c r="M193" s="28">
        <f t="shared" si="287"/>
        <v>0</v>
      </c>
      <c r="N193" s="27">
        <f t="shared" si="287"/>
        <v>0</v>
      </c>
      <c r="O193" s="27">
        <f t="shared" si="287"/>
        <v>0</v>
      </c>
      <c r="P193" s="27">
        <f t="shared" si="287"/>
        <v>0</v>
      </c>
      <c r="Q193" s="27">
        <f t="shared" si="287"/>
        <v>0</v>
      </c>
      <c r="R193" s="29">
        <f t="shared" si="287"/>
        <v>0</v>
      </c>
      <c r="S193" s="30">
        <f t="shared" si="287"/>
        <v>0</v>
      </c>
      <c r="T193" s="30">
        <f t="shared" si="287"/>
        <v>0</v>
      </c>
      <c r="U193" s="30">
        <f t="shared" si="287"/>
        <v>0</v>
      </c>
      <c r="W193" s="79" t="str">
        <f t="shared" ref="W193:W198" si="288">E193</f>
        <v>Product Line 2</v>
      </c>
      <c r="X193" s="64"/>
      <c r="Y193" s="64"/>
      <c r="Z193" s="64"/>
      <c r="AA193" s="64"/>
      <c r="AB193" s="60"/>
      <c r="AC193" s="64"/>
      <c r="AD193" s="64"/>
      <c r="AE193" s="64"/>
      <c r="AF193" s="64"/>
      <c r="AG193" s="60"/>
      <c r="AH193" s="64"/>
      <c r="AI193" s="64"/>
      <c r="AJ193" s="64"/>
    </row>
    <row r="194" spans="2:36" hidden="1" outlineLevel="1" x14ac:dyDescent="0.25">
      <c r="B194" s="229" t="s">
        <v>195</v>
      </c>
      <c r="C194" s="229" t="s">
        <v>195</v>
      </c>
      <c r="E194" s="78" t="s">
        <v>69</v>
      </c>
      <c r="F194" s="26">
        <f t="shared" ref="F194:U194" si="289">IFERROR(F178/F114,0)</f>
        <v>0</v>
      </c>
      <c r="G194" s="26">
        <f t="shared" si="289"/>
        <v>0</v>
      </c>
      <c r="H194" s="26">
        <f t="shared" si="289"/>
        <v>0</v>
      </c>
      <c r="I194" s="27">
        <f t="shared" si="289"/>
        <v>0</v>
      </c>
      <c r="J194" s="27">
        <f t="shared" si="289"/>
        <v>0</v>
      </c>
      <c r="K194" s="27">
        <f t="shared" si="289"/>
        <v>0</v>
      </c>
      <c r="L194" s="27">
        <f t="shared" si="289"/>
        <v>0</v>
      </c>
      <c r="M194" s="28">
        <f t="shared" si="289"/>
        <v>0</v>
      </c>
      <c r="N194" s="27">
        <f t="shared" si="289"/>
        <v>0</v>
      </c>
      <c r="O194" s="27">
        <f t="shared" si="289"/>
        <v>0</v>
      </c>
      <c r="P194" s="27">
        <f t="shared" si="289"/>
        <v>0</v>
      </c>
      <c r="Q194" s="27">
        <f t="shared" si="289"/>
        <v>0</v>
      </c>
      <c r="R194" s="29">
        <f t="shared" si="289"/>
        <v>0</v>
      </c>
      <c r="S194" s="30">
        <f t="shared" si="289"/>
        <v>0</v>
      </c>
      <c r="T194" s="30">
        <f t="shared" si="289"/>
        <v>0</v>
      </c>
      <c r="U194" s="30">
        <f t="shared" si="289"/>
        <v>0</v>
      </c>
      <c r="W194" s="79" t="str">
        <f t="shared" si="288"/>
        <v>Product Line 3</v>
      </c>
      <c r="X194" s="64"/>
      <c r="Y194" s="64"/>
      <c r="Z194" s="64"/>
      <c r="AA194" s="64"/>
      <c r="AB194" s="60"/>
      <c r="AC194" s="64"/>
      <c r="AD194" s="64"/>
      <c r="AE194" s="64"/>
      <c r="AF194" s="64"/>
      <c r="AG194" s="60"/>
      <c r="AH194" s="64"/>
      <c r="AI194" s="64"/>
      <c r="AJ194" s="64"/>
    </row>
    <row r="195" spans="2:36" hidden="1" outlineLevel="1" x14ac:dyDescent="0.25">
      <c r="B195" s="229" t="s">
        <v>195</v>
      </c>
      <c r="C195" s="229" t="s">
        <v>195</v>
      </c>
      <c r="E195" s="78" t="s">
        <v>70</v>
      </c>
      <c r="F195" s="26">
        <f t="shared" ref="F195:U195" si="290">IFERROR(F179/F115,0)</f>
        <v>0</v>
      </c>
      <c r="G195" s="26">
        <f t="shared" si="290"/>
        <v>0</v>
      </c>
      <c r="H195" s="26">
        <f t="shared" si="290"/>
        <v>0</v>
      </c>
      <c r="I195" s="27">
        <f t="shared" si="290"/>
        <v>0</v>
      </c>
      <c r="J195" s="27">
        <f t="shared" si="290"/>
        <v>0</v>
      </c>
      <c r="K195" s="27">
        <f t="shared" si="290"/>
        <v>0</v>
      </c>
      <c r="L195" s="27">
        <f t="shared" si="290"/>
        <v>0</v>
      </c>
      <c r="M195" s="28">
        <f t="shared" si="290"/>
        <v>0</v>
      </c>
      <c r="N195" s="27">
        <f t="shared" si="290"/>
        <v>0</v>
      </c>
      <c r="O195" s="27">
        <f t="shared" si="290"/>
        <v>0</v>
      </c>
      <c r="P195" s="27">
        <f t="shared" si="290"/>
        <v>0</v>
      </c>
      <c r="Q195" s="27">
        <f t="shared" si="290"/>
        <v>0</v>
      </c>
      <c r="R195" s="29">
        <f t="shared" si="290"/>
        <v>0</v>
      </c>
      <c r="S195" s="30">
        <f t="shared" si="290"/>
        <v>0</v>
      </c>
      <c r="T195" s="30">
        <f t="shared" si="290"/>
        <v>0</v>
      </c>
      <c r="U195" s="30">
        <f t="shared" si="290"/>
        <v>0</v>
      </c>
      <c r="W195" s="79" t="str">
        <f t="shared" si="288"/>
        <v>Product Line 4</v>
      </c>
      <c r="X195" s="64"/>
      <c r="Y195" s="64"/>
      <c r="Z195" s="64"/>
      <c r="AA195" s="64"/>
      <c r="AB195" s="60"/>
      <c r="AC195" s="64"/>
      <c r="AD195" s="64"/>
      <c r="AE195" s="64"/>
      <c r="AF195" s="64"/>
      <c r="AG195" s="60"/>
      <c r="AH195" s="64"/>
      <c r="AI195" s="64"/>
      <c r="AJ195" s="64"/>
    </row>
    <row r="196" spans="2:36" hidden="1" outlineLevel="1" x14ac:dyDescent="0.25">
      <c r="B196" s="229" t="s">
        <v>195</v>
      </c>
      <c r="C196" s="229" t="s">
        <v>195</v>
      </c>
      <c r="E196" s="78" t="s">
        <v>71</v>
      </c>
      <c r="F196" s="26">
        <f t="shared" ref="F196:U196" si="291">IFERROR(F180/F116,0)</f>
        <v>0</v>
      </c>
      <c r="G196" s="26">
        <f t="shared" si="291"/>
        <v>0</v>
      </c>
      <c r="H196" s="26">
        <f t="shared" si="291"/>
        <v>0</v>
      </c>
      <c r="I196" s="27">
        <f t="shared" si="291"/>
        <v>0</v>
      </c>
      <c r="J196" s="27">
        <f t="shared" si="291"/>
        <v>0</v>
      </c>
      <c r="K196" s="27">
        <f t="shared" si="291"/>
        <v>0</v>
      </c>
      <c r="L196" s="27">
        <f t="shared" si="291"/>
        <v>0</v>
      </c>
      <c r="M196" s="28">
        <f t="shared" si="291"/>
        <v>0</v>
      </c>
      <c r="N196" s="27">
        <f t="shared" si="291"/>
        <v>0</v>
      </c>
      <c r="O196" s="27">
        <f t="shared" si="291"/>
        <v>0</v>
      </c>
      <c r="P196" s="27">
        <f t="shared" si="291"/>
        <v>0</v>
      </c>
      <c r="Q196" s="27">
        <f t="shared" si="291"/>
        <v>0</v>
      </c>
      <c r="R196" s="29">
        <f t="shared" si="291"/>
        <v>0</v>
      </c>
      <c r="S196" s="30">
        <f t="shared" si="291"/>
        <v>0</v>
      </c>
      <c r="T196" s="30">
        <f t="shared" si="291"/>
        <v>0</v>
      </c>
      <c r="U196" s="30">
        <f t="shared" si="291"/>
        <v>0</v>
      </c>
      <c r="W196" s="79" t="str">
        <f t="shared" si="288"/>
        <v>Product Line 5</v>
      </c>
      <c r="X196" s="64"/>
      <c r="Y196" s="64"/>
      <c r="Z196" s="64"/>
      <c r="AA196" s="64"/>
      <c r="AB196" s="60"/>
      <c r="AC196" s="64"/>
      <c r="AD196" s="64"/>
      <c r="AE196" s="64"/>
      <c r="AF196" s="64"/>
      <c r="AG196" s="60"/>
      <c r="AH196" s="64"/>
      <c r="AI196" s="64"/>
      <c r="AJ196" s="64"/>
    </row>
    <row r="197" spans="2:36" hidden="1" outlineLevel="1" x14ac:dyDescent="0.25">
      <c r="B197" s="229" t="s">
        <v>195</v>
      </c>
      <c r="C197" s="229" t="s">
        <v>195</v>
      </c>
      <c r="E197" s="78" t="s">
        <v>72</v>
      </c>
      <c r="F197" s="26">
        <f t="shared" ref="F197:U197" si="292">IFERROR(F181/F117,0)</f>
        <v>0</v>
      </c>
      <c r="G197" s="26">
        <f t="shared" si="292"/>
        <v>0</v>
      </c>
      <c r="H197" s="26">
        <f t="shared" si="292"/>
        <v>0</v>
      </c>
      <c r="I197" s="27">
        <f t="shared" si="292"/>
        <v>0</v>
      </c>
      <c r="J197" s="27">
        <f t="shared" si="292"/>
        <v>0</v>
      </c>
      <c r="K197" s="27">
        <f t="shared" si="292"/>
        <v>0</v>
      </c>
      <c r="L197" s="27">
        <f t="shared" si="292"/>
        <v>0</v>
      </c>
      <c r="M197" s="28">
        <f t="shared" si="292"/>
        <v>0</v>
      </c>
      <c r="N197" s="27">
        <f t="shared" si="292"/>
        <v>0</v>
      </c>
      <c r="O197" s="27">
        <f t="shared" si="292"/>
        <v>0</v>
      </c>
      <c r="P197" s="27">
        <f t="shared" si="292"/>
        <v>0</v>
      </c>
      <c r="Q197" s="27">
        <f t="shared" si="292"/>
        <v>0</v>
      </c>
      <c r="R197" s="29">
        <f t="shared" si="292"/>
        <v>0</v>
      </c>
      <c r="S197" s="30">
        <f t="shared" si="292"/>
        <v>0</v>
      </c>
      <c r="T197" s="30">
        <f t="shared" si="292"/>
        <v>0</v>
      </c>
      <c r="U197" s="30">
        <f t="shared" si="292"/>
        <v>0</v>
      </c>
      <c r="W197" s="79" t="str">
        <f t="shared" si="288"/>
        <v>Product Line 6</v>
      </c>
      <c r="X197" s="64"/>
      <c r="Y197" s="64"/>
      <c r="Z197" s="64"/>
      <c r="AA197" s="64"/>
      <c r="AB197" s="60"/>
      <c r="AC197" s="64"/>
      <c r="AD197" s="64"/>
      <c r="AE197" s="64"/>
      <c r="AF197" s="64"/>
      <c r="AG197" s="60"/>
      <c r="AH197" s="64"/>
      <c r="AI197" s="64"/>
      <c r="AJ197" s="64"/>
    </row>
    <row r="198" spans="2:36" hidden="1" outlineLevel="1" x14ac:dyDescent="0.25">
      <c r="B198" s="229" t="s">
        <v>195</v>
      </c>
      <c r="C198" s="229" t="s">
        <v>195</v>
      </c>
      <c r="E198" s="78" t="s">
        <v>73</v>
      </c>
      <c r="F198" s="26">
        <f t="shared" ref="F198:U198" si="293">IFERROR(F182/F118,0)</f>
        <v>0</v>
      </c>
      <c r="G198" s="26">
        <f t="shared" si="293"/>
        <v>0</v>
      </c>
      <c r="H198" s="26">
        <f t="shared" si="293"/>
        <v>0</v>
      </c>
      <c r="I198" s="27">
        <f t="shared" si="293"/>
        <v>0</v>
      </c>
      <c r="J198" s="27">
        <f t="shared" si="293"/>
        <v>0</v>
      </c>
      <c r="K198" s="27">
        <f t="shared" si="293"/>
        <v>0</v>
      </c>
      <c r="L198" s="27">
        <f t="shared" si="293"/>
        <v>0</v>
      </c>
      <c r="M198" s="28">
        <f t="shared" si="293"/>
        <v>0</v>
      </c>
      <c r="N198" s="27">
        <f t="shared" si="293"/>
        <v>0</v>
      </c>
      <c r="O198" s="27">
        <f t="shared" si="293"/>
        <v>0</v>
      </c>
      <c r="P198" s="27">
        <f t="shared" si="293"/>
        <v>0</v>
      </c>
      <c r="Q198" s="27">
        <f t="shared" si="293"/>
        <v>0</v>
      </c>
      <c r="R198" s="29">
        <f t="shared" si="293"/>
        <v>0</v>
      </c>
      <c r="S198" s="30">
        <f t="shared" si="293"/>
        <v>0</v>
      </c>
      <c r="T198" s="30">
        <f t="shared" si="293"/>
        <v>0</v>
      </c>
      <c r="U198" s="30">
        <f t="shared" si="293"/>
        <v>0</v>
      </c>
      <c r="W198" s="79" t="str">
        <f t="shared" si="288"/>
        <v>Product Line 7</v>
      </c>
      <c r="X198" s="64"/>
      <c r="Y198" s="64"/>
      <c r="Z198" s="64"/>
      <c r="AA198" s="64"/>
      <c r="AB198" s="60"/>
      <c r="AC198" s="64"/>
      <c r="AD198" s="64"/>
      <c r="AE198" s="64"/>
      <c r="AF198" s="64"/>
      <c r="AG198" s="60"/>
      <c r="AH198" s="64"/>
      <c r="AI198" s="64"/>
      <c r="AJ198" s="64"/>
    </row>
    <row r="199" spans="2:36" ht="15.75" hidden="1" outlineLevel="1" thickBot="1" x14ac:dyDescent="0.3">
      <c r="E199" s="8" t="s">
        <v>27</v>
      </c>
      <c r="F199" s="31">
        <f t="shared" ref="F199:U199" si="294">IFERROR(F183/F119,0)</f>
        <v>0</v>
      </c>
      <c r="G199" s="31">
        <f t="shared" si="294"/>
        <v>0</v>
      </c>
      <c r="H199" s="31">
        <f t="shared" si="294"/>
        <v>0</v>
      </c>
      <c r="I199" s="32">
        <f t="shared" si="294"/>
        <v>0</v>
      </c>
      <c r="J199" s="32">
        <f t="shared" si="294"/>
        <v>0</v>
      </c>
      <c r="K199" s="32">
        <f t="shared" si="294"/>
        <v>0</v>
      </c>
      <c r="L199" s="32">
        <f t="shared" si="294"/>
        <v>0</v>
      </c>
      <c r="M199" s="33">
        <f t="shared" si="294"/>
        <v>0</v>
      </c>
      <c r="N199" s="32">
        <f t="shared" si="294"/>
        <v>0</v>
      </c>
      <c r="O199" s="32">
        <f t="shared" si="294"/>
        <v>0</v>
      </c>
      <c r="P199" s="32">
        <f t="shared" si="294"/>
        <v>0</v>
      </c>
      <c r="Q199" s="32">
        <f t="shared" si="294"/>
        <v>0</v>
      </c>
      <c r="R199" s="34">
        <f t="shared" si="294"/>
        <v>0</v>
      </c>
      <c r="S199" s="35">
        <f t="shared" si="294"/>
        <v>0</v>
      </c>
      <c r="T199" s="35">
        <f t="shared" si="294"/>
        <v>0</v>
      </c>
      <c r="U199" s="35">
        <f t="shared" si="294"/>
        <v>0</v>
      </c>
    </row>
    <row r="200" spans="2:36" ht="15.75" hidden="1" outlineLevel="1" thickTop="1" x14ac:dyDescent="0.25"/>
    <row r="201" spans="2:36" hidden="1" outlineLevel="1" x14ac:dyDescent="0.25"/>
    <row r="202" spans="2:36" hidden="1" outlineLevel="1" x14ac:dyDescent="0.25"/>
    <row r="203" spans="2:36" ht="18.75" collapsed="1" x14ac:dyDescent="0.3">
      <c r="B203" s="4" t="s">
        <v>34</v>
      </c>
      <c r="C203" s="4" t="s">
        <v>387</v>
      </c>
      <c r="E203" s="53" t="str">
        <f>"Scenario 3: "&amp;Inputs!B24</f>
        <v>Scenario 3: Scenario 3</v>
      </c>
      <c r="F203" s="49"/>
      <c r="G203" s="49"/>
      <c r="H203" s="49"/>
      <c r="I203" s="49"/>
      <c r="J203" s="49"/>
      <c r="K203" s="49"/>
      <c r="L203" s="49"/>
      <c r="M203" s="49"/>
      <c r="N203" s="49"/>
      <c r="O203" s="49"/>
      <c r="P203" s="49"/>
      <c r="Q203" s="49"/>
      <c r="R203" s="49"/>
      <c r="S203" s="49"/>
      <c r="T203" s="49"/>
      <c r="U203" s="49"/>
    </row>
    <row r="204" spans="2:36" hidden="1" outlineLevel="1" x14ac:dyDescent="0.25">
      <c r="E204" s="52" t="str">
        <f>Inputs!C24</f>
        <v>Scenario 3 Description</v>
      </c>
    </row>
    <row r="205" spans="2:36" hidden="1" outlineLevel="1" x14ac:dyDescent="0.25"/>
    <row r="206" spans="2:36" hidden="1" outlineLevel="1" x14ac:dyDescent="0.25"/>
    <row r="207" spans="2:36" hidden="1" outlineLevel="1" x14ac:dyDescent="0.25">
      <c r="E207" s="4" t="s">
        <v>23</v>
      </c>
      <c r="W207" s="4" t="s">
        <v>23</v>
      </c>
    </row>
    <row r="208" spans="2:36" hidden="1" outlineLevel="1" x14ac:dyDescent="0.25">
      <c r="E208" s="6" t="s">
        <v>25</v>
      </c>
      <c r="W208" s="61" t="s">
        <v>62</v>
      </c>
    </row>
    <row r="209" spans="2:36" hidden="1" outlineLevel="1" x14ac:dyDescent="0.25"/>
    <row r="210" spans="2:36" hidden="1" outlineLevel="1" x14ac:dyDescent="0.25">
      <c r="F210" s="12">
        <f>Inputs!$C$7</f>
        <v>2023</v>
      </c>
      <c r="G210" s="12">
        <f>Inputs!$C$8</f>
        <v>2024</v>
      </c>
      <c r="H210" s="12">
        <f>Inputs!$C$9</f>
        <v>2025</v>
      </c>
      <c r="I210" s="13" t="s">
        <v>1</v>
      </c>
      <c r="J210" s="13" t="s">
        <v>2</v>
      </c>
      <c r="K210" s="13" t="s">
        <v>3</v>
      </c>
      <c r="L210" s="13" t="s">
        <v>4</v>
      </c>
      <c r="M210" s="13">
        <f>Inputs!$C$10</f>
        <v>2026</v>
      </c>
      <c r="N210" s="14" t="s">
        <v>1</v>
      </c>
      <c r="O210" s="14" t="s">
        <v>2</v>
      </c>
      <c r="P210" s="14" t="s">
        <v>3</v>
      </c>
      <c r="Q210" s="14" t="s">
        <v>4</v>
      </c>
      <c r="R210" s="15">
        <f>Inputs!$C$11</f>
        <v>2027</v>
      </c>
      <c r="S210" s="16">
        <f>Inputs!$C$12</f>
        <v>2028</v>
      </c>
      <c r="T210" s="16">
        <f>Inputs!$C$13</f>
        <v>2029</v>
      </c>
      <c r="U210" s="16">
        <f>Inputs!$C$14</f>
        <v>2030</v>
      </c>
      <c r="X210" s="13" t="s">
        <v>1</v>
      </c>
      <c r="Y210" s="13" t="s">
        <v>2</v>
      </c>
      <c r="Z210" s="13" t="s">
        <v>3</v>
      </c>
      <c r="AA210" s="13" t="s">
        <v>4</v>
      </c>
      <c r="AB210" s="13">
        <f>Inputs!$C$10</f>
        <v>2026</v>
      </c>
      <c r="AC210" s="14" t="s">
        <v>1</v>
      </c>
      <c r="AD210" s="14" t="s">
        <v>2</v>
      </c>
      <c r="AE210" s="14" t="s">
        <v>3</v>
      </c>
      <c r="AF210" s="14" t="s">
        <v>4</v>
      </c>
      <c r="AG210" s="15">
        <f>Inputs!$C$11</f>
        <v>2027</v>
      </c>
      <c r="AH210" s="16">
        <f>Inputs!$C$12</f>
        <v>2028</v>
      </c>
      <c r="AI210" s="16">
        <f>Inputs!$C$13</f>
        <v>2029</v>
      </c>
      <c r="AJ210" s="16">
        <f>Inputs!$C$14</f>
        <v>2030</v>
      </c>
    </row>
    <row r="211" spans="2:36" hidden="1" outlineLevel="1" x14ac:dyDescent="0.25">
      <c r="F211" s="71" t="s">
        <v>63</v>
      </c>
      <c r="G211" s="71" t="s">
        <v>63</v>
      </c>
      <c r="H211" s="71" t="s">
        <v>63</v>
      </c>
      <c r="I211" s="71" t="s">
        <v>63</v>
      </c>
      <c r="J211" s="71" t="s">
        <v>63</v>
      </c>
      <c r="K211" s="71" t="s">
        <v>63</v>
      </c>
      <c r="L211" s="71" t="s">
        <v>63</v>
      </c>
      <c r="M211" s="71" t="s">
        <v>63</v>
      </c>
      <c r="N211" s="71" t="s">
        <v>63</v>
      </c>
      <c r="O211" s="71" t="s">
        <v>63</v>
      </c>
      <c r="P211" s="71" t="s">
        <v>63</v>
      </c>
      <c r="Q211" s="71" t="s">
        <v>63</v>
      </c>
      <c r="R211" s="71" t="s">
        <v>63</v>
      </c>
      <c r="S211" s="71" t="s">
        <v>63</v>
      </c>
      <c r="T211" s="71" t="s">
        <v>63</v>
      </c>
      <c r="U211" s="71" t="s">
        <v>63</v>
      </c>
      <c r="X211" s="63" t="s">
        <v>30</v>
      </c>
      <c r="Y211" s="63" t="s">
        <v>30</v>
      </c>
      <c r="Z211" s="63" t="s">
        <v>30</v>
      </c>
      <c r="AA211" s="63" t="s">
        <v>30</v>
      </c>
      <c r="AB211" s="62"/>
      <c r="AC211" s="63" t="s">
        <v>30</v>
      </c>
      <c r="AD211" s="63" t="s">
        <v>30</v>
      </c>
      <c r="AE211" s="63" t="s">
        <v>30</v>
      </c>
      <c r="AF211" s="63" t="s">
        <v>30</v>
      </c>
      <c r="AG211" s="62"/>
      <c r="AH211" s="63" t="s">
        <v>30</v>
      </c>
      <c r="AI211" s="63" t="s">
        <v>30</v>
      </c>
      <c r="AJ211" s="63" t="s">
        <v>30</v>
      </c>
    </row>
    <row r="212" spans="2:36" hidden="1" outlineLevel="1" x14ac:dyDescent="0.25">
      <c r="B212" s="229" t="s">
        <v>195</v>
      </c>
      <c r="C212" s="229" t="s">
        <v>195</v>
      </c>
      <c r="E212" s="78" t="s">
        <v>67</v>
      </c>
      <c r="F212" s="21">
        <f>F512</f>
        <v>0</v>
      </c>
      <c r="G212" s="21">
        <f t="shared" ref="G212:H212" si="295">G512</f>
        <v>0</v>
      </c>
      <c r="H212" s="21">
        <f t="shared" si="295"/>
        <v>0</v>
      </c>
      <c r="I212" s="10">
        <f>IF(X212="",I512,X212)</f>
        <v>0</v>
      </c>
      <c r="J212" s="10">
        <f t="shared" ref="J212:L212" si="296">IF(Y212="",J512,Y212)</f>
        <v>0</v>
      </c>
      <c r="K212" s="10">
        <f t="shared" si="296"/>
        <v>0</v>
      </c>
      <c r="L212" s="10">
        <f t="shared" si="296"/>
        <v>0</v>
      </c>
      <c r="M212" s="17">
        <f t="shared" ref="M212:M218" si="297">SUM(I212:L212)</f>
        <v>0</v>
      </c>
      <c r="N212" s="10">
        <f t="shared" ref="N212:Q212" si="298">IF(AC212="",N512,AC212)</f>
        <v>0</v>
      </c>
      <c r="O212" s="10">
        <f t="shared" si="298"/>
        <v>0</v>
      </c>
      <c r="P212" s="10">
        <f t="shared" si="298"/>
        <v>0</v>
      </c>
      <c r="Q212" s="10">
        <f t="shared" si="298"/>
        <v>0</v>
      </c>
      <c r="R212" s="22">
        <f t="shared" ref="R212:R218" si="299">SUM(N212:Q212)</f>
        <v>0</v>
      </c>
      <c r="S212" s="23">
        <f t="shared" ref="S212:U212" si="300">IF(AH212="",S512,AH212)</f>
        <v>0</v>
      </c>
      <c r="T212" s="23">
        <f t="shared" si="300"/>
        <v>0</v>
      </c>
      <c r="U212" s="23">
        <f t="shared" si="300"/>
        <v>0</v>
      </c>
      <c r="W212" s="79" t="str">
        <f>E212</f>
        <v>Product Line 1</v>
      </c>
      <c r="X212" s="64"/>
      <c r="Y212" s="64"/>
      <c r="Z212" s="64"/>
      <c r="AA212" s="64"/>
      <c r="AB212" s="60"/>
      <c r="AC212" s="64"/>
      <c r="AD212" s="64"/>
      <c r="AE212" s="64"/>
      <c r="AF212" s="64"/>
      <c r="AG212" s="60"/>
      <c r="AH212" s="64"/>
      <c r="AI212" s="64"/>
      <c r="AJ212" s="64"/>
    </row>
    <row r="213" spans="2:36" hidden="1" outlineLevel="1" x14ac:dyDescent="0.25">
      <c r="B213" s="229" t="s">
        <v>195</v>
      </c>
      <c r="C213" s="229" t="s">
        <v>195</v>
      </c>
      <c r="E213" s="78" t="s">
        <v>68</v>
      </c>
      <c r="F213" s="21">
        <f t="shared" ref="F213:H213" si="301">F513</f>
        <v>0</v>
      </c>
      <c r="G213" s="21">
        <f t="shared" si="301"/>
        <v>0</v>
      </c>
      <c r="H213" s="21">
        <f t="shared" si="301"/>
        <v>0</v>
      </c>
      <c r="I213" s="10">
        <f t="shared" ref="I213:L213" si="302">IF(X213="",I513,X213)</f>
        <v>0</v>
      </c>
      <c r="J213" s="10">
        <f t="shared" si="302"/>
        <v>0</v>
      </c>
      <c r="K213" s="10">
        <f t="shared" si="302"/>
        <v>0</v>
      </c>
      <c r="L213" s="10">
        <f t="shared" si="302"/>
        <v>0</v>
      </c>
      <c r="M213" s="17">
        <f t="shared" si="297"/>
        <v>0</v>
      </c>
      <c r="N213" s="10">
        <f t="shared" ref="N213:Q213" si="303">IF(AC213="",N513,AC213)</f>
        <v>0</v>
      </c>
      <c r="O213" s="10">
        <f t="shared" si="303"/>
        <v>0</v>
      </c>
      <c r="P213" s="10">
        <f t="shared" si="303"/>
        <v>0</v>
      </c>
      <c r="Q213" s="10">
        <f t="shared" si="303"/>
        <v>0</v>
      </c>
      <c r="R213" s="22">
        <f t="shared" si="299"/>
        <v>0</v>
      </c>
      <c r="S213" s="23">
        <f t="shared" ref="S213:U213" si="304">IF(AH213="",S513,AH213)</f>
        <v>0</v>
      </c>
      <c r="T213" s="23">
        <f t="shared" si="304"/>
        <v>0</v>
      </c>
      <c r="U213" s="23">
        <f t="shared" si="304"/>
        <v>0</v>
      </c>
      <c r="W213" s="79" t="str">
        <f t="shared" ref="W213:W218" si="305">E213</f>
        <v>Product Line 2</v>
      </c>
      <c r="X213" s="64"/>
      <c r="Y213" s="64"/>
      <c r="Z213" s="64"/>
      <c r="AA213" s="64"/>
      <c r="AB213" s="60"/>
      <c r="AC213" s="64"/>
      <c r="AD213" s="64"/>
      <c r="AE213" s="64"/>
      <c r="AF213" s="64"/>
      <c r="AG213" s="60"/>
      <c r="AH213" s="64"/>
      <c r="AI213" s="64"/>
      <c r="AJ213" s="64"/>
    </row>
    <row r="214" spans="2:36" hidden="1" outlineLevel="1" x14ac:dyDescent="0.25">
      <c r="B214" s="229" t="s">
        <v>195</v>
      </c>
      <c r="C214" s="229" t="s">
        <v>195</v>
      </c>
      <c r="E214" s="78" t="s">
        <v>69</v>
      </c>
      <c r="F214" s="21">
        <f t="shared" ref="F214:H214" si="306">F514</f>
        <v>0</v>
      </c>
      <c r="G214" s="21">
        <f t="shared" si="306"/>
        <v>0</v>
      </c>
      <c r="H214" s="21">
        <f t="shared" si="306"/>
        <v>0</v>
      </c>
      <c r="I214" s="10">
        <f t="shared" ref="I214:L214" si="307">IF(X214="",I514,X214)</f>
        <v>0</v>
      </c>
      <c r="J214" s="10">
        <f t="shared" si="307"/>
        <v>0</v>
      </c>
      <c r="K214" s="10">
        <f t="shared" si="307"/>
        <v>0</v>
      </c>
      <c r="L214" s="10">
        <f t="shared" si="307"/>
        <v>0</v>
      </c>
      <c r="M214" s="17">
        <f t="shared" si="297"/>
        <v>0</v>
      </c>
      <c r="N214" s="10">
        <f t="shared" ref="N214:Q214" si="308">IF(AC214="",N514,AC214)</f>
        <v>0</v>
      </c>
      <c r="O214" s="10">
        <f t="shared" si="308"/>
        <v>0</v>
      </c>
      <c r="P214" s="10">
        <f t="shared" si="308"/>
        <v>0</v>
      </c>
      <c r="Q214" s="10">
        <f t="shared" si="308"/>
        <v>0</v>
      </c>
      <c r="R214" s="22">
        <f t="shared" si="299"/>
        <v>0</v>
      </c>
      <c r="S214" s="23">
        <f t="shared" ref="S214:U214" si="309">IF(AH214="",S514,AH214)</f>
        <v>0</v>
      </c>
      <c r="T214" s="23">
        <f t="shared" si="309"/>
        <v>0</v>
      </c>
      <c r="U214" s="23">
        <f t="shared" si="309"/>
        <v>0</v>
      </c>
      <c r="W214" s="79" t="str">
        <f t="shared" si="305"/>
        <v>Product Line 3</v>
      </c>
      <c r="X214" s="64"/>
      <c r="Y214" s="64"/>
      <c r="Z214" s="64"/>
      <c r="AA214" s="64"/>
      <c r="AB214" s="60"/>
      <c r="AC214" s="64"/>
      <c r="AD214" s="64"/>
      <c r="AE214" s="64"/>
      <c r="AF214" s="64"/>
      <c r="AG214" s="60"/>
      <c r="AH214" s="64"/>
      <c r="AI214" s="64"/>
      <c r="AJ214" s="64"/>
    </row>
    <row r="215" spans="2:36" hidden="1" outlineLevel="1" x14ac:dyDescent="0.25">
      <c r="B215" s="229" t="s">
        <v>195</v>
      </c>
      <c r="C215" s="229" t="s">
        <v>195</v>
      </c>
      <c r="E215" s="78" t="s">
        <v>70</v>
      </c>
      <c r="F215" s="21">
        <f t="shared" ref="F215:H215" si="310">F515</f>
        <v>0</v>
      </c>
      <c r="G215" s="21">
        <f t="shared" si="310"/>
        <v>0</v>
      </c>
      <c r="H215" s="21">
        <f t="shared" si="310"/>
        <v>0</v>
      </c>
      <c r="I215" s="10">
        <f t="shared" ref="I215:L215" si="311">IF(X215="",I515,X215)</f>
        <v>0</v>
      </c>
      <c r="J215" s="10">
        <f t="shared" si="311"/>
        <v>0</v>
      </c>
      <c r="K215" s="10">
        <f t="shared" si="311"/>
        <v>0</v>
      </c>
      <c r="L215" s="10">
        <f t="shared" si="311"/>
        <v>0</v>
      </c>
      <c r="M215" s="17">
        <f t="shared" si="297"/>
        <v>0</v>
      </c>
      <c r="N215" s="10">
        <f t="shared" ref="N215:Q215" si="312">IF(AC215="",N515,AC215)</f>
        <v>0</v>
      </c>
      <c r="O215" s="10">
        <f t="shared" si="312"/>
        <v>0</v>
      </c>
      <c r="P215" s="10">
        <f t="shared" si="312"/>
        <v>0</v>
      </c>
      <c r="Q215" s="10">
        <f t="shared" si="312"/>
        <v>0</v>
      </c>
      <c r="R215" s="22">
        <f t="shared" si="299"/>
        <v>0</v>
      </c>
      <c r="S215" s="23">
        <f t="shared" ref="S215:U215" si="313">IF(AH215="",S515,AH215)</f>
        <v>0</v>
      </c>
      <c r="T215" s="23">
        <f t="shared" si="313"/>
        <v>0</v>
      </c>
      <c r="U215" s="23">
        <f t="shared" si="313"/>
        <v>0</v>
      </c>
      <c r="W215" s="79" t="str">
        <f t="shared" si="305"/>
        <v>Product Line 4</v>
      </c>
      <c r="X215" s="64"/>
      <c r="Y215" s="64"/>
      <c r="Z215" s="64"/>
      <c r="AA215" s="64"/>
      <c r="AB215" s="60"/>
      <c r="AC215" s="64"/>
      <c r="AD215" s="64"/>
      <c r="AE215" s="64"/>
      <c r="AF215" s="64"/>
      <c r="AG215" s="60"/>
      <c r="AH215" s="64"/>
      <c r="AI215" s="64"/>
      <c r="AJ215" s="64"/>
    </row>
    <row r="216" spans="2:36" hidden="1" outlineLevel="1" x14ac:dyDescent="0.25">
      <c r="B216" s="229" t="s">
        <v>195</v>
      </c>
      <c r="C216" s="229" t="s">
        <v>195</v>
      </c>
      <c r="E216" s="78" t="s">
        <v>71</v>
      </c>
      <c r="F216" s="21">
        <f t="shared" ref="F216:H216" si="314">F516</f>
        <v>0</v>
      </c>
      <c r="G216" s="21">
        <f t="shared" si="314"/>
        <v>0</v>
      </c>
      <c r="H216" s="21">
        <f t="shared" si="314"/>
        <v>0</v>
      </c>
      <c r="I216" s="10">
        <f t="shared" ref="I216:L216" si="315">IF(X216="",I516,X216)</f>
        <v>0</v>
      </c>
      <c r="J216" s="10">
        <f t="shared" si="315"/>
        <v>0</v>
      </c>
      <c r="K216" s="10">
        <f t="shared" si="315"/>
        <v>0</v>
      </c>
      <c r="L216" s="10">
        <f t="shared" si="315"/>
        <v>0</v>
      </c>
      <c r="M216" s="17">
        <f t="shared" si="297"/>
        <v>0</v>
      </c>
      <c r="N216" s="10">
        <f t="shared" ref="N216:Q216" si="316">IF(AC216="",N516,AC216)</f>
        <v>0</v>
      </c>
      <c r="O216" s="10">
        <f t="shared" si="316"/>
        <v>0</v>
      </c>
      <c r="P216" s="10">
        <f t="shared" si="316"/>
        <v>0</v>
      </c>
      <c r="Q216" s="10">
        <f t="shared" si="316"/>
        <v>0</v>
      </c>
      <c r="R216" s="22">
        <f t="shared" si="299"/>
        <v>0</v>
      </c>
      <c r="S216" s="23">
        <f t="shared" ref="S216:U216" si="317">IF(AH216="",S516,AH216)</f>
        <v>0</v>
      </c>
      <c r="T216" s="23">
        <f t="shared" si="317"/>
        <v>0</v>
      </c>
      <c r="U216" s="23">
        <f t="shared" si="317"/>
        <v>0</v>
      </c>
      <c r="W216" s="79" t="str">
        <f t="shared" si="305"/>
        <v>Product Line 5</v>
      </c>
      <c r="X216" s="64"/>
      <c r="Y216" s="64"/>
      <c r="Z216" s="64"/>
      <c r="AA216" s="64"/>
      <c r="AB216" s="60"/>
      <c r="AC216" s="64"/>
      <c r="AD216" s="64"/>
      <c r="AE216" s="64"/>
      <c r="AF216" s="64"/>
      <c r="AG216" s="60"/>
      <c r="AH216" s="64"/>
      <c r="AI216" s="64"/>
      <c r="AJ216" s="64"/>
    </row>
    <row r="217" spans="2:36" hidden="1" outlineLevel="1" x14ac:dyDescent="0.25">
      <c r="B217" s="229" t="s">
        <v>195</v>
      </c>
      <c r="C217" s="229" t="s">
        <v>195</v>
      </c>
      <c r="E217" s="78" t="s">
        <v>72</v>
      </c>
      <c r="F217" s="21">
        <f t="shared" ref="F217:H217" si="318">F517</f>
        <v>0</v>
      </c>
      <c r="G217" s="21">
        <f t="shared" si="318"/>
        <v>0</v>
      </c>
      <c r="H217" s="21">
        <f t="shared" si="318"/>
        <v>0</v>
      </c>
      <c r="I217" s="10">
        <f t="shared" ref="I217:L217" si="319">IF(X217="",I517,X217)</f>
        <v>0</v>
      </c>
      <c r="J217" s="10">
        <f t="shared" si="319"/>
        <v>0</v>
      </c>
      <c r="K217" s="10">
        <f t="shared" si="319"/>
        <v>0</v>
      </c>
      <c r="L217" s="10">
        <f t="shared" si="319"/>
        <v>0</v>
      </c>
      <c r="M217" s="17">
        <f t="shared" si="297"/>
        <v>0</v>
      </c>
      <c r="N217" s="10">
        <f t="shared" ref="N217:Q217" si="320">IF(AC217="",N517,AC217)</f>
        <v>0</v>
      </c>
      <c r="O217" s="10">
        <f t="shared" si="320"/>
        <v>0</v>
      </c>
      <c r="P217" s="10">
        <f t="shared" si="320"/>
        <v>0</v>
      </c>
      <c r="Q217" s="10">
        <f t="shared" si="320"/>
        <v>0</v>
      </c>
      <c r="R217" s="22">
        <f t="shared" si="299"/>
        <v>0</v>
      </c>
      <c r="S217" s="23">
        <f t="shared" ref="S217:U217" si="321">IF(AH217="",S517,AH217)</f>
        <v>0</v>
      </c>
      <c r="T217" s="23">
        <f t="shared" si="321"/>
        <v>0</v>
      </c>
      <c r="U217" s="23">
        <f t="shared" si="321"/>
        <v>0</v>
      </c>
      <c r="W217" s="79" t="str">
        <f t="shared" si="305"/>
        <v>Product Line 6</v>
      </c>
      <c r="X217" s="64"/>
      <c r="Y217" s="64"/>
      <c r="Z217" s="64"/>
      <c r="AA217" s="64"/>
      <c r="AB217" s="60"/>
      <c r="AC217" s="64"/>
      <c r="AD217" s="64"/>
      <c r="AE217" s="64"/>
      <c r="AF217" s="64"/>
      <c r="AG217" s="60"/>
      <c r="AH217" s="64"/>
      <c r="AI217" s="64"/>
      <c r="AJ217" s="64"/>
    </row>
    <row r="218" spans="2:36" hidden="1" outlineLevel="1" x14ac:dyDescent="0.25">
      <c r="B218" s="229" t="s">
        <v>195</v>
      </c>
      <c r="C218" s="229" t="s">
        <v>195</v>
      </c>
      <c r="E218" s="78" t="s">
        <v>73</v>
      </c>
      <c r="F218" s="21">
        <f t="shared" ref="F218:H218" si="322">F518</f>
        <v>0</v>
      </c>
      <c r="G218" s="21">
        <f t="shared" si="322"/>
        <v>0</v>
      </c>
      <c r="H218" s="21">
        <f t="shared" si="322"/>
        <v>0</v>
      </c>
      <c r="I218" s="10">
        <f t="shared" ref="I218:L218" si="323">IF(X218="",I518,X218)</f>
        <v>0</v>
      </c>
      <c r="J218" s="10">
        <f t="shared" si="323"/>
        <v>0</v>
      </c>
      <c r="K218" s="10">
        <f t="shared" si="323"/>
        <v>0</v>
      </c>
      <c r="L218" s="10">
        <f t="shared" si="323"/>
        <v>0</v>
      </c>
      <c r="M218" s="17">
        <f t="shared" si="297"/>
        <v>0</v>
      </c>
      <c r="N218" s="10">
        <f t="shared" ref="N218:Q218" si="324">IF(AC218="",N518,AC218)</f>
        <v>0</v>
      </c>
      <c r="O218" s="10">
        <f t="shared" si="324"/>
        <v>0</v>
      </c>
      <c r="P218" s="10">
        <f t="shared" si="324"/>
        <v>0</v>
      </c>
      <c r="Q218" s="10">
        <f t="shared" si="324"/>
        <v>0</v>
      </c>
      <c r="R218" s="22">
        <f t="shared" si="299"/>
        <v>0</v>
      </c>
      <c r="S218" s="23">
        <f t="shared" ref="S218:U218" si="325">IF(AH218="",S518,AH218)</f>
        <v>0</v>
      </c>
      <c r="T218" s="23">
        <f t="shared" si="325"/>
        <v>0</v>
      </c>
      <c r="U218" s="23">
        <f t="shared" si="325"/>
        <v>0</v>
      </c>
      <c r="W218" s="79" t="str">
        <f t="shared" si="305"/>
        <v>Product Line 7</v>
      </c>
      <c r="X218" s="64"/>
      <c r="Y218" s="64"/>
      <c r="Z218" s="64"/>
      <c r="AA218" s="64"/>
      <c r="AB218" s="60"/>
      <c r="AC218" s="64"/>
      <c r="AD218" s="64"/>
      <c r="AE218" s="64"/>
      <c r="AF218" s="64"/>
      <c r="AG218" s="60"/>
      <c r="AH218" s="64"/>
      <c r="AI218" s="64"/>
      <c r="AJ218" s="64"/>
    </row>
    <row r="219" spans="2:36" ht="15.75" hidden="1" outlineLevel="1" thickBot="1" x14ac:dyDescent="0.3">
      <c r="E219" s="8" t="s">
        <v>27</v>
      </c>
      <c r="F219" s="9">
        <f t="shared" ref="F219:U219" si="326">SUM(F212:F218)</f>
        <v>0</v>
      </c>
      <c r="G219" s="9">
        <f t="shared" si="326"/>
        <v>0</v>
      </c>
      <c r="H219" s="9">
        <f t="shared" si="326"/>
        <v>0</v>
      </c>
      <c r="I219" s="11">
        <f t="shared" si="326"/>
        <v>0</v>
      </c>
      <c r="J219" s="11">
        <f t="shared" si="326"/>
        <v>0</v>
      </c>
      <c r="K219" s="11">
        <f t="shared" si="326"/>
        <v>0</v>
      </c>
      <c r="L219" s="11">
        <f t="shared" si="326"/>
        <v>0</v>
      </c>
      <c r="M219" s="18">
        <f t="shared" si="326"/>
        <v>0</v>
      </c>
      <c r="N219" s="11">
        <f t="shared" si="326"/>
        <v>0</v>
      </c>
      <c r="O219" s="11">
        <f t="shared" si="326"/>
        <v>0</v>
      </c>
      <c r="P219" s="11">
        <f t="shared" si="326"/>
        <v>0</v>
      </c>
      <c r="Q219" s="11">
        <f t="shared" si="326"/>
        <v>0</v>
      </c>
      <c r="R219" s="19">
        <f t="shared" si="326"/>
        <v>0</v>
      </c>
      <c r="S219" s="20">
        <f t="shared" si="326"/>
        <v>0</v>
      </c>
      <c r="T219" s="20">
        <f t="shared" si="326"/>
        <v>0</v>
      </c>
      <c r="U219" s="20">
        <f t="shared" si="326"/>
        <v>0</v>
      </c>
    </row>
    <row r="220" spans="2:36" ht="15.75" hidden="1" outlineLevel="1" thickTop="1" x14ac:dyDescent="0.25">
      <c r="M220" s="3"/>
    </row>
    <row r="221" spans="2:36" hidden="1" outlineLevel="1" x14ac:dyDescent="0.25">
      <c r="M221" s="3"/>
    </row>
    <row r="222" spans="2:36" hidden="1" outlineLevel="1" x14ac:dyDescent="0.25">
      <c r="M222" s="3"/>
    </row>
    <row r="223" spans="2:36" hidden="1" outlineLevel="1" x14ac:dyDescent="0.25">
      <c r="E223" s="4" t="s">
        <v>51</v>
      </c>
      <c r="W223" s="4" t="s">
        <v>51</v>
      </c>
    </row>
    <row r="224" spans="2:36" hidden="1" outlineLevel="1" x14ac:dyDescent="0.25">
      <c r="E224" s="6" t="s">
        <v>25</v>
      </c>
      <c r="W224" s="61" t="s">
        <v>62</v>
      </c>
    </row>
    <row r="225" spans="2:36" hidden="1" outlineLevel="1" x14ac:dyDescent="0.25"/>
    <row r="226" spans="2:36" hidden="1" outlineLevel="1" x14ac:dyDescent="0.25">
      <c r="F226" s="12">
        <f>Inputs!$C$7</f>
        <v>2023</v>
      </c>
      <c r="G226" s="12">
        <f>Inputs!$C$8</f>
        <v>2024</v>
      </c>
      <c r="H226" s="12">
        <f>Inputs!$C$9</f>
        <v>2025</v>
      </c>
      <c r="I226" s="13" t="s">
        <v>1</v>
      </c>
      <c r="J226" s="13" t="s">
        <v>2</v>
      </c>
      <c r="K226" s="13" t="s">
        <v>3</v>
      </c>
      <c r="L226" s="13" t="s">
        <v>4</v>
      </c>
      <c r="M226" s="13">
        <f>Inputs!$C$10</f>
        <v>2026</v>
      </c>
      <c r="N226" s="14" t="s">
        <v>1</v>
      </c>
      <c r="O226" s="14" t="s">
        <v>2</v>
      </c>
      <c r="P226" s="14" t="s">
        <v>3</v>
      </c>
      <c r="Q226" s="14" t="s">
        <v>4</v>
      </c>
      <c r="R226" s="15">
        <f>Inputs!$C$11</f>
        <v>2027</v>
      </c>
      <c r="S226" s="16">
        <f>Inputs!$C$12</f>
        <v>2028</v>
      </c>
      <c r="T226" s="16">
        <f>Inputs!$C$13</f>
        <v>2029</v>
      </c>
      <c r="U226" s="16">
        <f>Inputs!$C$14</f>
        <v>2030</v>
      </c>
      <c r="X226" s="13" t="s">
        <v>1</v>
      </c>
      <c r="Y226" s="13" t="s">
        <v>2</v>
      </c>
      <c r="Z226" s="13" t="s">
        <v>3</v>
      </c>
      <c r="AA226" s="13" t="s">
        <v>4</v>
      </c>
      <c r="AB226" s="13">
        <f>Inputs!$C$10</f>
        <v>2026</v>
      </c>
      <c r="AC226" s="14" t="s">
        <v>1</v>
      </c>
      <c r="AD226" s="14" t="s">
        <v>2</v>
      </c>
      <c r="AE226" s="14" t="s">
        <v>3</v>
      </c>
      <c r="AF226" s="14" t="s">
        <v>4</v>
      </c>
      <c r="AG226" s="15">
        <f>Inputs!$C$11</f>
        <v>2027</v>
      </c>
      <c r="AH226" s="16">
        <f>Inputs!$C$12</f>
        <v>2028</v>
      </c>
      <c r="AI226" s="16">
        <f>Inputs!$C$13</f>
        <v>2029</v>
      </c>
      <c r="AJ226" s="16">
        <f>Inputs!$C$14</f>
        <v>2030</v>
      </c>
    </row>
    <row r="227" spans="2:36" hidden="1" outlineLevel="1" x14ac:dyDescent="0.25">
      <c r="F227" s="71" t="s">
        <v>63</v>
      </c>
      <c r="G227" s="71" t="s">
        <v>63</v>
      </c>
      <c r="H227" s="71" t="s">
        <v>63</v>
      </c>
      <c r="I227" s="71" t="s">
        <v>63</v>
      </c>
      <c r="J227" s="71" t="s">
        <v>63</v>
      </c>
      <c r="K227" s="71" t="s">
        <v>63</v>
      </c>
      <c r="L227" s="71" t="s">
        <v>63</v>
      </c>
      <c r="M227" s="71" t="s">
        <v>63</v>
      </c>
      <c r="N227" s="71" t="s">
        <v>63</v>
      </c>
      <c r="O227" s="71" t="s">
        <v>63</v>
      </c>
      <c r="P227" s="71" t="s">
        <v>63</v>
      </c>
      <c r="Q227" s="71" t="s">
        <v>63</v>
      </c>
      <c r="R227" s="71" t="s">
        <v>63</v>
      </c>
      <c r="S227" s="71" t="s">
        <v>63</v>
      </c>
      <c r="T227" s="71" t="s">
        <v>63</v>
      </c>
      <c r="U227" s="71" t="s">
        <v>63</v>
      </c>
      <c r="X227" s="63" t="s">
        <v>30</v>
      </c>
      <c r="Y227" s="63" t="s">
        <v>30</v>
      </c>
      <c r="Z227" s="63" t="s">
        <v>30</v>
      </c>
      <c r="AA227" s="63" t="s">
        <v>30</v>
      </c>
      <c r="AB227" s="62"/>
      <c r="AC227" s="63" t="s">
        <v>30</v>
      </c>
      <c r="AD227" s="63" t="s">
        <v>30</v>
      </c>
      <c r="AE227" s="63" t="s">
        <v>30</v>
      </c>
      <c r="AF227" s="63" t="s">
        <v>30</v>
      </c>
      <c r="AG227" s="62"/>
      <c r="AH227" s="63" t="s">
        <v>30</v>
      </c>
      <c r="AI227" s="63" t="s">
        <v>30</v>
      </c>
      <c r="AJ227" s="63" t="s">
        <v>30</v>
      </c>
    </row>
    <row r="228" spans="2:36" hidden="1" outlineLevel="1" x14ac:dyDescent="0.25">
      <c r="B228" s="229" t="s">
        <v>195</v>
      </c>
      <c r="C228" s="229" t="s">
        <v>195</v>
      </c>
      <c r="E228" s="78" t="s">
        <v>67</v>
      </c>
      <c r="F228" s="21">
        <f>F528</f>
        <v>0</v>
      </c>
      <c r="G228" s="21">
        <f t="shared" ref="G228:H228" si="327">G528</f>
        <v>0</v>
      </c>
      <c r="H228" s="21">
        <f t="shared" si="327"/>
        <v>0</v>
      </c>
      <c r="I228" s="10">
        <f>IF(X228="",I528,X228)</f>
        <v>0</v>
      </c>
      <c r="J228" s="10">
        <f t="shared" ref="J228:L228" si="328">IF(Y228="",J528,Y228)</f>
        <v>0</v>
      </c>
      <c r="K228" s="10">
        <f t="shared" si="328"/>
        <v>0</v>
      </c>
      <c r="L228" s="10">
        <f t="shared" si="328"/>
        <v>0</v>
      </c>
      <c r="M228" s="17">
        <f t="shared" ref="M228:M234" si="329">SUM(I228:L228)</f>
        <v>0</v>
      </c>
      <c r="N228" s="10">
        <f t="shared" ref="N228:Q228" si="330">IF(AC228="",N528,AC228)</f>
        <v>0</v>
      </c>
      <c r="O228" s="10">
        <f t="shared" si="330"/>
        <v>0</v>
      </c>
      <c r="P228" s="10">
        <f t="shared" si="330"/>
        <v>0</v>
      </c>
      <c r="Q228" s="10">
        <f t="shared" si="330"/>
        <v>0</v>
      </c>
      <c r="R228" s="22">
        <f t="shared" ref="R228:R234" si="331">SUM(N228:Q228)</f>
        <v>0</v>
      </c>
      <c r="S228" s="23">
        <f t="shared" ref="S228:U228" si="332">IF(AH228="",S528,AH228)</f>
        <v>0</v>
      </c>
      <c r="T228" s="23">
        <f t="shared" si="332"/>
        <v>0</v>
      </c>
      <c r="U228" s="23">
        <f t="shared" si="332"/>
        <v>0</v>
      </c>
      <c r="W228" s="79" t="str">
        <f>E228</f>
        <v>Product Line 1</v>
      </c>
      <c r="X228" s="64"/>
      <c r="Y228" s="64"/>
      <c r="Z228" s="64"/>
      <c r="AA228" s="64"/>
      <c r="AB228" s="60"/>
      <c r="AC228" s="64"/>
      <c r="AD228" s="64"/>
      <c r="AE228" s="64"/>
      <c r="AF228" s="64"/>
      <c r="AG228" s="60"/>
      <c r="AH228" s="64"/>
      <c r="AI228" s="64"/>
      <c r="AJ228" s="64"/>
    </row>
    <row r="229" spans="2:36" hidden="1" outlineLevel="1" x14ac:dyDescent="0.25">
      <c r="B229" s="229" t="s">
        <v>195</v>
      </c>
      <c r="C229" s="229" t="s">
        <v>195</v>
      </c>
      <c r="E229" s="78" t="s">
        <v>68</v>
      </c>
      <c r="F229" s="21">
        <f t="shared" ref="F229:H229" si="333">F529</f>
        <v>0</v>
      </c>
      <c r="G229" s="21">
        <f t="shared" si="333"/>
        <v>0</v>
      </c>
      <c r="H229" s="21">
        <f t="shared" si="333"/>
        <v>0</v>
      </c>
      <c r="I229" s="10">
        <f t="shared" ref="I229:L229" si="334">IF(X229="",I529,X229)</f>
        <v>0</v>
      </c>
      <c r="J229" s="10">
        <f t="shared" si="334"/>
        <v>0</v>
      </c>
      <c r="K229" s="10">
        <f t="shared" si="334"/>
        <v>0</v>
      </c>
      <c r="L229" s="10">
        <f t="shared" si="334"/>
        <v>0</v>
      </c>
      <c r="M229" s="17">
        <f t="shared" si="329"/>
        <v>0</v>
      </c>
      <c r="N229" s="10">
        <f t="shared" ref="N229:Q229" si="335">IF(AC229="",N529,AC229)</f>
        <v>0</v>
      </c>
      <c r="O229" s="10">
        <f t="shared" si="335"/>
        <v>0</v>
      </c>
      <c r="P229" s="10">
        <f t="shared" si="335"/>
        <v>0</v>
      </c>
      <c r="Q229" s="10">
        <f t="shared" si="335"/>
        <v>0</v>
      </c>
      <c r="R229" s="22">
        <f t="shared" si="331"/>
        <v>0</v>
      </c>
      <c r="S229" s="23">
        <f t="shared" ref="S229:U229" si="336">IF(AH229="",S529,AH229)</f>
        <v>0</v>
      </c>
      <c r="T229" s="23">
        <f t="shared" si="336"/>
        <v>0</v>
      </c>
      <c r="U229" s="23">
        <f t="shared" si="336"/>
        <v>0</v>
      </c>
      <c r="W229" s="79" t="str">
        <f t="shared" ref="W229:W234" si="337">E229</f>
        <v>Product Line 2</v>
      </c>
      <c r="X229" s="64"/>
      <c r="Y229" s="64"/>
      <c r="Z229" s="64"/>
      <c r="AA229" s="64"/>
      <c r="AB229" s="60"/>
      <c r="AC229" s="64"/>
      <c r="AD229" s="64"/>
      <c r="AE229" s="64"/>
      <c r="AF229" s="64"/>
      <c r="AG229" s="60"/>
      <c r="AH229" s="64"/>
      <c r="AI229" s="64"/>
      <c r="AJ229" s="64"/>
    </row>
    <row r="230" spans="2:36" hidden="1" outlineLevel="1" x14ac:dyDescent="0.25">
      <c r="B230" s="229" t="s">
        <v>195</v>
      </c>
      <c r="C230" s="229" t="s">
        <v>195</v>
      </c>
      <c r="E230" s="78" t="s">
        <v>69</v>
      </c>
      <c r="F230" s="21">
        <f t="shared" ref="F230:H230" si="338">F530</f>
        <v>0</v>
      </c>
      <c r="G230" s="21">
        <f t="shared" si="338"/>
        <v>0</v>
      </c>
      <c r="H230" s="21">
        <f t="shared" si="338"/>
        <v>0</v>
      </c>
      <c r="I230" s="10">
        <f t="shared" ref="I230:L230" si="339">IF(X230="",I530,X230)</f>
        <v>0</v>
      </c>
      <c r="J230" s="10">
        <f t="shared" si="339"/>
        <v>0</v>
      </c>
      <c r="K230" s="10">
        <f t="shared" si="339"/>
        <v>0</v>
      </c>
      <c r="L230" s="10">
        <f t="shared" si="339"/>
        <v>0</v>
      </c>
      <c r="M230" s="17">
        <f t="shared" si="329"/>
        <v>0</v>
      </c>
      <c r="N230" s="10">
        <f t="shared" ref="N230:Q230" si="340">IF(AC230="",N530,AC230)</f>
        <v>0</v>
      </c>
      <c r="O230" s="10">
        <f t="shared" si="340"/>
        <v>0</v>
      </c>
      <c r="P230" s="10">
        <f t="shared" si="340"/>
        <v>0</v>
      </c>
      <c r="Q230" s="10">
        <f t="shared" si="340"/>
        <v>0</v>
      </c>
      <c r="R230" s="22">
        <f t="shared" si="331"/>
        <v>0</v>
      </c>
      <c r="S230" s="23">
        <f t="shared" ref="S230:U230" si="341">IF(AH230="",S530,AH230)</f>
        <v>0</v>
      </c>
      <c r="T230" s="23">
        <f t="shared" si="341"/>
        <v>0</v>
      </c>
      <c r="U230" s="23">
        <f t="shared" si="341"/>
        <v>0</v>
      </c>
      <c r="W230" s="79" t="str">
        <f t="shared" si="337"/>
        <v>Product Line 3</v>
      </c>
      <c r="X230" s="64"/>
      <c r="Y230" s="64"/>
      <c r="Z230" s="64"/>
      <c r="AA230" s="64"/>
      <c r="AB230" s="60"/>
      <c r="AC230" s="64"/>
      <c r="AD230" s="64"/>
      <c r="AE230" s="64"/>
      <c r="AF230" s="64"/>
      <c r="AG230" s="60"/>
      <c r="AH230" s="64"/>
      <c r="AI230" s="64"/>
      <c r="AJ230" s="64"/>
    </row>
    <row r="231" spans="2:36" hidden="1" outlineLevel="1" x14ac:dyDescent="0.25">
      <c r="B231" s="229" t="s">
        <v>195</v>
      </c>
      <c r="C231" s="229" t="s">
        <v>195</v>
      </c>
      <c r="E231" s="78" t="s">
        <v>70</v>
      </c>
      <c r="F231" s="21">
        <f t="shared" ref="F231:H231" si="342">F531</f>
        <v>0</v>
      </c>
      <c r="G231" s="21">
        <f t="shared" si="342"/>
        <v>0</v>
      </c>
      <c r="H231" s="21">
        <f t="shared" si="342"/>
        <v>0</v>
      </c>
      <c r="I231" s="10">
        <f t="shared" ref="I231:L231" si="343">IF(X231="",I531,X231)</f>
        <v>0</v>
      </c>
      <c r="J231" s="10">
        <f t="shared" si="343"/>
        <v>0</v>
      </c>
      <c r="K231" s="10">
        <f t="shared" si="343"/>
        <v>0</v>
      </c>
      <c r="L231" s="10">
        <f t="shared" si="343"/>
        <v>0</v>
      </c>
      <c r="M231" s="17">
        <f t="shared" si="329"/>
        <v>0</v>
      </c>
      <c r="N231" s="10">
        <f t="shared" ref="N231:Q231" si="344">IF(AC231="",N531,AC231)</f>
        <v>0</v>
      </c>
      <c r="O231" s="10">
        <f t="shared" si="344"/>
        <v>0</v>
      </c>
      <c r="P231" s="10">
        <f t="shared" si="344"/>
        <v>0</v>
      </c>
      <c r="Q231" s="10">
        <f t="shared" si="344"/>
        <v>0</v>
      </c>
      <c r="R231" s="22">
        <f t="shared" si="331"/>
        <v>0</v>
      </c>
      <c r="S231" s="23">
        <f t="shared" ref="S231:U231" si="345">IF(AH231="",S531,AH231)</f>
        <v>0</v>
      </c>
      <c r="T231" s="23">
        <f t="shared" si="345"/>
        <v>0</v>
      </c>
      <c r="U231" s="23">
        <f t="shared" si="345"/>
        <v>0</v>
      </c>
      <c r="W231" s="79" t="str">
        <f t="shared" si="337"/>
        <v>Product Line 4</v>
      </c>
      <c r="X231" s="64"/>
      <c r="Y231" s="64"/>
      <c r="Z231" s="64"/>
      <c r="AA231" s="64"/>
      <c r="AB231" s="60"/>
      <c r="AC231" s="64"/>
      <c r="AD231" s="64"/>
      <c r="AE231" s="64"/>
      <c r="AF231" s="64"/>
      <c r="AG231" s="60"/>
      <c r="AH231" s="64"/>
      <c r="AI231" s="64"/>
      <c r="AJ231" s="64"/>
    </row>
    <row r="232" spans="2:36" hidden="1" outlineLevel="1" x14ac:dyDescent="0.25">
      <c r="B232" s="229" t="s">
        <v>195</v>
      </c>
      <c r="C232" s="229" t="s">
        <v>195</v>
      </c>
      <c r="E232" s="78" t="s">
        <v>71</v>
      </c>
      <c r="F232" s="21">
        <f t="shared" ref="F232:H232" si="346">F532</f>
        <v>0</v>
      </c>
      <c r="G232" s="21">
        <f t="shared" si="346"/>
        <v>0</v>
      </c>
      <c r="H232" s="21">
        <f t="shared" si="346"/>
        <v>0</v>
      </c>
      <c r="I232" s="10">
        <f t="shared" ref="I232:L232" si="347">IF(X232="",I532,X232)</f>
        <v>0</v>
      </c>
      <c r="J232" s="10">
        <f t="shared" si="347"/>
        <v>0</v>
      </c>
      <c r="K232" s="10">
        <f t="shared" si="347"/>
        <v>0</v>
      </c>
      <c r="L232" s="10">
        <f t="shared" si="347"/>
        <v>0</v>
      </c>
      <c r="M232" s="17">
        <f t="shared" si="329"/>
        <v>0</v>
      </c>
      <c r="N232" s="10">
        <f t="shared" ref="N232:Q232" si="348">IF(AC232="",N532,AC232)</f>
        <v>0</v>
      </c>
      <c r="O232" s="10">
        <f t="shared" si="348"/>
        <v>0</v>
      </c>
      <c r="P232" s="10">
        <f t="shared" si="348"/>
        <v>0</v>
      </c>
      <c r="Q232" s="10">
        <f t="shared" si="348"/>
        <v>0</v>
      </c>
      <c r="R232" s="22">
        <f t="shared" si="331"/>
        <v>0</v>
      </c>
      <c r="S232" s="23">
        <f t="shared" ref="S232:U232" si="349">IF(AH232="",S532,AH232)</f>
        <v>0</v>
      </c>
      <c r="T232" s="23">
        <f t="shared" si="349"/>
        <v>0</v>
      </c>
      <c r="U232" s="23">
        <f t="shared" si="349"/>
        <v>0</v>
      </c>
      <c r="W232" s="79" t="str">
        <f t="shared" si="337"/>
        <v>Product Line 5</v>
      </c>
      <c r="X232" s="64"/>
      <c r="Y232" s="64"/>
      <c r="Z232" s="64"/>
      <c r="AA232" s="64"/>
      <c r="AB232" s="60"/>
      <c r="AC232" s="64"/>
      <c r="AD232" s="64"/>
      <c r="AE232" s="64"/>
      <c r="AF232" s="64"/>
      <c r="AG232" s="60"/>
      <c r="AH232" s="64"/>
      <c r="AI232" s="64"/>
      <c r="AJ232" s="64"/>
    </row>
    <row r="233" spans="2:36" hidden="1" outlineLevel="1" x14ac:dyDescent="0.25">
      <c r="B233" s="229" t="s">
        <v>195</v>
      </c>
      <c r="C233" s="229" t="s">
        <v>195</v>
      </c>
      <c r="E233" s="78" t="s">
        <v>72</v>
      </c>
      <c r="F233" s="21">
        <f t="shared" ref="F233:H233" si="350">F533</f>
        <v>0</v>
      </c>
      <c r="G233" s="21">
        <f t="shared" si="350"/>
        <v>0</v>
      </c>
      <c r="H233" s="21">
        <f t="shared" si="350"/>
        <v>0</v>
      </c>
      <c r="I233" s="10">
        <f t="shared" ref="I233:L233" si="351">IF(X233="",I533,X233)</f>
        <v>0</v>
      </c>
      <c r="J233" s="10">
        <f t="shared" si="351"/>
        <v>0</v>
      </c>
      <c r="K233" s="10">
        <f t="shared" si="351"/>
        <v>0</v>
      </c>
      <c r="L233" s="10">
        <f t="shared" si="351"/>
        <v>0</v>
      </c>
      <c r="M233" s="17">
        <f t="shared" si="329"/>
        <v>0</v>
      </c>
      <c r="N233" s="10">
        <f t="shared" ref="N233:Q233" si="352">IF(AC233="",N533,AC233)</f>
        <v>0</v>
      </c>
      <c r="O233" s="10">
        <f t="shared" si="352"/>
        <v>0</v>
      </c>
      <c r="P233" s="10">
        <f t="shared" si="352"/>
        <v>0</v>
      </c>
      <c r="Q233" s="10">
        <f t="shared" si="352"/>
        <v>0</v>
      </c>
      <c r="R233" s="22">
        <f t="shared" si="331"/>
        <v>0</v>
      </c>
      <c r="S233" s="23">
        <f t="shared" ref="S233:U233" si="353">IF(AH233="",S533,AH233)</f>
        <v>0</v>
      </c>
      <c r="T233" s="23">
        <f t="shared" si="353"/>
        <v>0</v>
      </c>
      <c r="U233" s="23">
        <f t="shared" si="353"/>
        <v>0</v>
      </c>
      <c r="W233" s="79" t="str">
        <f t="shared" si="337"/>
        <v>Product Line 6</v>
      </c>
      <c r="X233" s="64"/>
      <c r="Y233" s="64"/>
      <c r="Z233" s="64"/>
      <c r="AA233" s="64"/>
      <c r="AB233" s="60"/>
      <c r="AC233" s="64"/>
      <c r="AD233" s="64"/>
      <c r="AE233" s="64"/>
      <c r="AF233" s="64"/>
      <c r="AG233" s="60"/>
      <c r="AH233" s="64"/>
      <c r="AI233" s="64"/>
      <c r="AJ233" s="64"/>
    </row>
    <row r="234" spans="2:36" hidden="1" outlineLevel="1" x14ac:dyDescent="0.25">
      <c r="B234" s="229" t="s">
        <v>195</v>
      </c>
      <c r="C234" s="229" t="s">
        <v>195</v>
      </c>
      <c r="E234" s="78" t="s">
        <v>73</v>
      </c>
      <c r="F234" s="21">
        <f t="shared" ref="F234:H234" si="354">F534</f>
        <v>0</v>
      </c>
      <c r="G234" s="21">
        <f t="shared" si="354"/>
        <v>0</v>
      </c>
      <c r="H234" s="21">
        <f t="shared" si="354"/>
        <v>0</v>
      </c>
      <c r="I234" s="10">
        <f t="shared" ref="I234:L234" si="355">IF(X234="",I534,X234)</f>
        <v>0</v>
      </c>
      <c r="J234" s="10">
        <f t="shared" si="355"/>
        <v>0</v>
      </c>
      <c r="K234" s="10">
        <f t="shared" si="355"/>
        <v>0</v>
      </c>
      <c r="L234" s="10">
        <f t="shared" si="355"/>
        <v>0</v>
      </c>
      <c r="M234" s="17">
        <f t="shared" si="329"/>
        <v>0</v>
      </c>
      <c r="N234" s="10">
        <f t="shared" ref="N234:Q234" si="356">IF(AC234="",N534,AC234)</f>
        <v>0</v>
      </c>
      <c r="O234" s="10">
        <f t="shared" si="356"/>
        <v>0</v>
      </c>
      <c r="P234" s="10">
        <f t="shared" si="356"/>
        <v>0</v>
      </c>
      <c r="Q234" s="10">
        <f t="shared" si="356"/>
        <v>0</v>
      </c>
      <c r="R234" s="22">
        <f t="shared" si="331"/>
        <v>0</v>
      </c>
      <c r="S234" s="23">
        <f t="shared" ref="S234:U234" si="357">IF(AH234="",S534,AH234)</f>
        <v>0</v>
      </c>
      <c r="T234" s="23">
        <f t="shared" si="357"/>
        <v>0</v>
      </c>
      <c r="U234" s="23">
        <f t="shared" si="357"/>
        <v>0</v>
      </c>
      <c r="W234" s="79" t="str">
        <f t="shared" si="337"/>
        <v>Product Line 7</v>
      </c>
      <c r="X234" s="64"/>
      <c r="Y234" s="64"/>
      <c r="Z234" s="64"/>
      <c r="AA234" s="64"/>
      <c r="AB234" s="60"/>
      <c r="AC234" s="64"/>
      <c r="AD234" s="64"/>
      <c r="AE234" s="64"/>
      <c r="AF234" s="64"/>
      <c r="AG234" s="60"/>
      <c r="AH234" s="64"/>
      <c r="AI234" s="64"/>
      <c r="AJ234" s="64"/>
    </row>
    <row r="235" spans="2:36" ht="15.75" hidden="1" outlineLevel="1" thickBot="1" x14ac:dyDescent="0.3">
      <c r="E235" s="8" t="s">
        <v>27</v>
      </c>
      <c r="F235" s="9">
        <f t="shared" ref="F235:U235" si="358">SUM(F228:F234)</f>
        <v>0</v>
      </c>
      <c r="G235" s="9">
        <f t="shared" si="358"/>
        <v>0</v>
      </c>
      <c r="H235" s="9">
        <f t="shared" si="358"/>
        <v>0</v>
      </c>
      <c r="I235" s="11">
        <f t="shared" si="358"/>
        <v>0</v>
      </c>
      <c r="J235" s="11">
        <f t="shared" si="358"/>
        <v>0</v>
      </c>
      <c r="K235" s="11">
        <f t="shared" si="358"/>
        <v>0</v>
      </c>
      <c r="L235" s="11">
        <f t="shared" si="358"/>
        <v>0</v>
      </c>
      <c r="M235" s="18">
        <f t="shared" si="358"/>
        <v>0</v>
      </c>
      <c r="N235" s="11">
        <f t="shared" si="358"/>
        <v>0</v>
      </c>
      <c r="O235" s="11">
        <f t="shared" si="358"/>
        <v>0</v>
      </c>
      <c r="P235" s="11">
        <f t="shared" si="358"/>
        <v>0</v>
      </c>
      <c r="Q235" s="11">
        <f t="shared" si="358"/>
        <v>0</v>
      </c>
      <c r="R235" s="19">
        <f t="shared" si="358"/>
        <v>0</v>
      </c>
      <c r="S235" s="20">
        <f t="shared" si="358"/>
        <v>0</v>
      </c>
      <c r="T235" s="20">
        <f t="shared" si="358"/>
        <v>0</v>
      </c>
      <c r="U235" s="20">
        <f t="shared" si="358"/>
        <v>0</v>
      </c>
    </row>
    <row r="236" spans="2:36" ht="15.75" hidden="1" outlineLevel="1" thickTop="1" x14ac:dyDescent="0.25"/>
    <row r="237" spans="2:36" hidden="1" outlineLevel="1" x14ac:dyDescent="0.25"/>
    <row r="238" spans="2:36" hidden="1" outlineLevel="1" x14ac:dyDescent="0.25"/>
    <row r="239" spans="2:36" hidden="1" outlineLevel="1" x14ac:dyDescent="0.25">
      <c r="E239" s="4" t="s">
        <v>52</v>
      </c>
      <c r="W239" s="4" t="s">
        <v>52</v>
      </c>
    </row>
    <row r="240" spans="2:36" hidden="1" outlineLevel="1" x14ac:dyDescent="0.25">
      <c r="E240" s="6" t="s">
        <v>25</v>
      </c>
      <c r="W240" s="61" t="s">
        <v>62</v>
      </c>
    </row>
    <row r="241" spans="2:36" hidden="1" outlineLevel="1" x14ac:dyDescent="0.25"/>
    <row r="242" spans="2:36" hidden="1" outlineLevel="1" x14ac:dyDescent="0.25">
      <c r="F242" s="12">
        <f>Inputs!$C$7</f>
        <v>2023</v>
      </c>
      <c r="G242" s="12">
        <f>Inputs!$C$8</f>
        <v>2024</v>
      </c>
      <c r="H242" s="12">
        <f>Inputs!$C$9</f>
        <v>2025</v>
      </c>
      <c r="I242" s="13" t="s">
        <v>1</v>
      </c>
      <c r="J242" s="13" t="s">
        <v>2</v>
      </c>
      <c r="K242" s="13" t="s">
        <v>3</v>
      </c>
      <c r="L242" s="13" t="s">
        <v>4</v>
      </c>
      <c r="M242" s="13">
        <f>Inputs!$C$10</f>
        <v>2026</v>
      </c>
      <c r="N242" s="14" t="s">
        <v>1</v>
      </c>
      <c r="O242" s="14" t="s">
        <v>2</v>
      </c>
      <c r="P242" s="14" t="s">
        <v>3</v>
      </c>
      <c r="Q242" s="14" t="s">
        <v>4</v>
      </c>
      <c r="R242" s="15">
        <f>Inputs!$C$11</f>
        <v>2027</v>
      </c>
      <c r="S242" s="16">
        <f>Inputs!$C$12</f>
        <v>2028</v>
      </c>
      <c r="T242" s="16">
        <f>Inputs!$C$13</f>
        <v>2029</v>
      </c>
      <c r="U242" s="16">
        <f>Inputs!$C$14</f>
        <v>2030</v>
      </c>
      <c r="X242" s="13" t="s">
        <v>1</v>
      </c>
      <c r="Y242" s="13" t="s">
        <v>2</v>
      </c>
      <c r="Z242" s="13" t="s">
        <v>3</v>
      </c>
      <c r="AA242" s="13" t="s">
        <v>4</v>
      </c>
      <c r="AB242" s="13">
        <f>Inputs!$C$10</f>
        <v>2026</v>
      </c>
      <c r="AC242" s="14" t="s">
        <v>1</v>
      </c>
      <c r="AD242" s="14" t="s">
        <v>2</v>
      </c>
      <c r="AE242" s="14" t="s">
        <v>3</v>
      </c>
      <c r="AF242" s="14" t="s">
        <v>4</v>
      </c>
      <c r="AG242" s="15">
        <f>Inputs!$C$11</f>
        <v>2027</v>
      </c>
      <c r="AH242" s="16">
        <f>Inputs!$C$12</f>
        <v>2028</v>
      </c>
      <c r="AI242" s="16">
        <f>Inputs!$C$13</f>
        <v>2029</v>
      </c>
      <c r="AJ242" s="16">
        <f>Inputs!$C$14</f>
        <v>2030</v>
      </c>
    </row>
    <row r="243" spans="2:36" hidden="1" outlineLevel="1" x14ac:dyDescent="0.25">
      <c r="F243" s="71" t="s">
        <v>63</v>
      </c>
      <c r="G243" s="71" t="s">
        <v>63</v>
      </c>
      <c r="H243" s="71" t="s">
        <v>63</v>
      </c>
      <c r="I243" s="71" t="s">
        <v>63</v>
      </c>
      <c r="J243" s="71" t="s">
        <v>63</v>
      </c>
      <c r="K243" s="71" t="s">
        <v>63</v>
      </c>
      <c r="L243" s="71" t="s">
        <v>63</v>
      </c>
      <c r="M243" s="71" t="s">
        <v>63</v>
      </c>
      <c r="N243" s="71" t="s">
        <v>63</v>
      </c>
      <c r="O243" s="71" t="s">
        <v>63</v>
      </c>
      <c r="P243" s="71" t="s">
        <v>63</v>
      </c>
      <c r="Q243" s="71" t="s">
        <v>63</v>
      </c>
      <c r="R243" s="71" t="s">
        <v>63</v>
      </c>
      <c r="S243" s="71" t="s">
        <v>63</v>
      </c>
      <c r="T243" s="71" t="s">
        <v>63</v>
      </c>
      <c r="U243" s="71" t="s">
        <v>63</v>
      </c>
      <c r="X243" s="63" t="s">
        <v>30</v>
      </c>
      <c r="Y243" s="63" t="s">
        <v>30</v>
      </c>
      <c r="Z243" s="63" t="s">
        <v>30</v>
      </c>
      <c r="AA243" s="63" t="s">
        <v>30</v>
      </c>
      <c r="AB243" s="62"/>
      <c r="AC243" s="63" t="s">
        <v>30</v>
      </c>
      <c r="AD243" s="63" t="s">
        <v>30</v>
      </c>
      <c r="AE243" s="63" t="s">
        <v>30</v>
      </c>
      <c r="AF243" s="63" t="s">
        <v>30</v>
      </c>
      <c r="AG243" s="62"/>
      <c r="AH243" s="63" t="s">
        <v>30</v>
      </c>
      <c r="AI243" s="63" t="s">
        <v>30</v>
      </c>
      <c r="AJ243" s="63" t="s">
        <v>30</v>
      </c>
    </row>
    <row r="244" spans="2:36" hidden="1" outlineLevel="1" x14ac:dyDescent="0.25">
      <c r="B244" s="229" t="s">
        <v>195</v>
      </c>
      <c r="C244" s="229" t="s">
        <v>195</v>
      </c>
      <c r="E244" s="78" t="s">
        <v>67</v>
      </c>
      <c r="F244" s="21">
        <f>F544</f>
        <v>0</v>
      </c>
      <c r="G244" s="21">
        <f t="shared" ref="G244:H244" si="359">G544</f>
        <v>0</v>
      </c>
      <c r="H244" s="21">
        <f t="shared" si="359"/>
        <v>0</v>
      </c>
      <c r="I244" s="10">
        <f>IF(X244="",I544,X244)</f>
        <v>0</v>
      </c>
      <c r="J244" s="10">
        <f t="shared" ref="J244:L244" si="360">IF(Y244="",J544,Y244)</f>
        <v>0</v>
      </c>
      <c r="K244" s="10">
        <f t="shared" si="360"/>
        <v>0</v>
      </c>
      <c r="L244" s="10">
        <f t="shared" si="360"/>
        <v>0</v>
      </c>
      <c r="M244" s="17">
        <f t="shared" ref="M244:M250" si="361">SUM(I244:L244)</f>
        <v>0</v>
      </c>
      <c r="N244" s="10">
        <f t="shared" ref="N244:Q244" si="362">IF(AC244="",N544,AC244)</f>
        <v>0</v>
      </c>
      <c r="O244" s="10">
        <f t="shared" si="362"/>
        <v>0</v>
      </c>
      <c r="P244" s="10">
        <f t="shared" si="362"/>
        <v>0</v>
      </c>
      <c r="Q244" s="10">
        <f t="shared" si="362"/>
        <v>0</v>
      </c>
      <c r="R244" s="22">
        <f t="shared" ref="R244:R250" si="363">SUM(N244:Q244)</f>
        <v>0</v>
      </c>
      <c r="S244" s="23">
        <f t="shared" ref="S244:U244" si="364">IF(AH244="",S544,AH244)</f>
        <v>0</v>
      </c>
      <c r="T244" s="23">
        <f t="shared" si="364"/>
        <v>0</v>
      </c>
      <c r="U244" s="23">
        <f t="shared" si="364"/>
        <v>0</v>
      </c>
      <c r="W244" s="79" t="str">
        <f>E244</f>
        <v>Product Line 1</v>
      </c>
      <c r="X244" s="64"/>
      <c r="Y244" s="64"/>
      <c r="Z244" s="64"/>
      <c r="AA244" s="64"/>
      <c r="AB244" s="60"/>
      <c r="AC244" s="64"/>
      <c r="AD244" s="64"/>
      <c r="AE244" s="64"/>
      <c r="AF244" s="64"/>
      <c r="AG244" s="60"/>
      <c r="AH244" s="64"/>
      <c r="AI244" s="64"/>
      <c r="AJ244" s="64"/>
    </row>
    <row r="245" spans="2:36" hidden="1" outlineLevel="1" x14ac:dyDescent="0.25">
      <c r="B245" s="229" t="s">
        <v>195</v>
      </c>
      <c r="C245" s="229" t="s">
        <v>195</v>
      </c>
      <c r="E245" s="78" t="s">
        <v>68</v>
      </c>
      <c r="F245" s="21">
        <f t="shared" ref="F245:H245" si="365">F545</f>
        <v>0</v>
      </c>
      <c r="G245" s="21">
        <f t="shared" si="365"/>
        <v>0</v>
      </c>
      <c r="H245" s="21">
        <f t="shared" si="365"/>
        <v>0</v>
      </c>
      <c r="I245" s="10">
        <f t="shared" ref="I245:L245" si="366">IF(X245="",I545,X245)</f>
        <v>0</v>
      </c>
      <c r="J245" s="10">
        <f t="shared" si="366"/>
        <v>0</v>
      </c>
      <c r="K245" s="10">
        <f t="shared" si="366"/>
        <v>0</v>
      </c>
      <c r="L245" s="10">
        <f t="shared" si="366"/>
        <v>0</v>
      </c>
      <c r="M245" s="17">
        <f t="shared" si="361"/>
        <v>0</v>
      </c>
      <c r="N245" s="10">
        <f t="shared" ref="N245:Q245" si="367">IF(AC245="",N545,AC245)</f>
        <v>0</v>
      </c>
      <c r="O245" s="10">
        <f t="shared" si="367"/>
        <v>0</v>
      </c>
      <c r="P245" s="10">
        <f t="shared" si="367"/>
        <v>0</v>
      </c>
      <c r="Q245" s="10">
        <f t="shared" si="367"/>
        <v>0</v>
      </c>
      <c r="R245" s="22">
        <f t="shared" si="363"/>
        <v>0</v>
      </c>
      <c r="S245" s="23">
        <f t="shared" ref="S245:U245" si="368">IF(AH245="",S545,AH245)</f>
        <v>0</v>
      </c>
      <c r="T245" s="23">
        <f t="shared" si="368"/>
        <v>0</v>
      </c>
      <c r="U245" s="23">
        <f t="shared" si="368"/>
        <v>0</v>
      </c>
      <c r="W245" s="79" t="str">
        <f t="shared" ref="W245:W250" si="369">E245</f>
        <v>Product Line 2</v>
      </c>
      <c r="X245" s="64"/>
      <c r="Y245" s="64"/>
      <c r="Z245" s="64"/>
      <c r="AA245" s="64"/>
      <c r="AB245" s="60"/>
      <c r="AC245" s="64"/>
      <c r="AD245" s="64"/>
      <c r="AE245" s="64"/>
      <c r="AF245" s="64"/>
      <c r="AG245" s="60"/>
      <c r="AH245" s="64"/>
      <c r="AI245" s="64"/>
      <c r="AJ245" s="64"/>
    </row>
    <row r="246" spans="2:36" hidden="1" outlineLevel="1" x14ac:dyDescent="0.25">
      <c r="B246" s="229" t="s">
        <v>195</v>
      </c>
      <c r="C246" s="229" t="s">
        <v>195</v>
      </c>
      <c r="E246" s="78" t="s">
        <v>69</v>
      </c>
      <c r="F246" s="21">
        <f t="shared" ref="F246:H246" si="370">F546</f>
        <v>0</v>
      </c>
      <c r="G246" s="21">
        <f t="shared" si="370"/>
        <v>0</v>
      </c>
      <c r="H246" s="21">
        <f t="shared" si="370"/>
        <v>0</v>
      </c>
      <c r="I246" s="10">
        <f t="shared" ref="I246:L246" si="371">IF(X246="",I546,X246)</f>
        <v>0</v>
      </c>
      <c r="J246" s="10">
        <f t="shared" si="371"/>
        <v>0</v>
      </c>
      <c r="K246" s="10">
        <f t="shared" si="371"/>
        <v>0</v>
      </c>
      <c r="L246" s="10">
        <f t="shared" si="371"/>
        <v>0</v>
      </c>
      <c r="M246" s="17">
        <f t="shared" si="361"/>
        <v>0</v>
      </c>
      <c r="N246" s="10">
        <f t="shared" ref="N246:Q246" si="372">IF(AC246="",N546,AC246)</f>
        <v>0</v>
      </c>
      <c r="O246" s="10">
        <f t="shared" si="372"/>
        <v>0</v>
      </c>
      <c r="P246" s="10">
        <f t="shared" si="372"/>
        <v>0</v>
      </c>
      <c r="Q246" s="10">
        <f t="shared" si="372"/>
        <v>0</v>
      </c>
      <c r="R246" s="22">
        <f t="shared" si="363"/>
        <v>0</v>
      </c>
      <c r="S246" s="23">
        <f t="shared" ref="S246:U246" si="373">IF(AH246="",S546,AH246)</f>
        <v>0</v>
      </c>
      <c r="T246" s="23">
        <f t="shared" si="373"/>
        <v>0</v>
      </c>
      <c r="U246" s="23">
        <f t="shared" si="373"/>
        <v>0</v>
      </c>
      <c r="W246" s="79" t="str">
        <f t="shared" si="369"/>
        <v>Product Line 3</v>
      </c>
      <c r="X246" s="64"/>
      <c r="Y246" s="64"/>
      <c r="Z246" s="64"/>
      <c r="AA246" s="64"/>
      <c r="AB246" s="60"/>
      <c r="AC246" s="64"/>
      <c r="AD246" s="64"/>
      <c r="AE246" s="64"/>
      <c r="AF246" s="64"/>
      <c r="AG246" s="60"/>
      <c r="AH246" s="64"/>
      <c r="AI246" s="64"/>
      <c r="AJ246" s="64"/>
    </row>
    <row r="247" spans="2:36" hidden="1" outlineLevel="1" x14ac:dyDescent="0.25">
      <c r="B247" s="229" t="s">
        <v>195</v>
      </c>
      <c r="C247" s="229" t="s">
        <v>195</v>
      </c>
      <c r="E247" s="78" t="s">
        <v>70</v>
      </c>
      <c r="F247" s="21">
        <f t="shared" ref="F247:H247" si="374">F547</f>
        <v>0</v>
      </c>
      <c r="G247" s="21">
        <f t="shared" si="374"/>
        <v>0</v>
      </c>
      <c r="H247" s="21">
        <f t="shared" si="374"/>
        <v>0</v>
      </c>
      <c r="I247" s="10">
        <f t="shared" ref="I247:L247" si="375">IF(X247="",I547,X247)</f>
        <v>0</v>
      </c>
      <c r="J247" s="10">
        <f t="shared" si="375"/>
        <v>0</v>
      </c>
      <c r="K247" s="10">
        <f t="shared" si="375"/>
        <v>0</v>
      </c>
      <c r="L247" s="10">
        <f t="shared" si="375"/>
        <v>0</v>
      </c>
      <c r="M247" s="17">
        <f t="shared" si="361"/>
        <v>0</v>
      </c>
      <c r="N247" s="10">
        <f t="shared" ref="N247:Q247" si="376">IF(AC247="",N547,AC247)</f>
        <v>0</v>
      </c>
      <c r="O247" s="10">
        <f t="shared" si="376"/>
        <v>0</v>
      </c>
      <c r="P247" s="10">
        <f t="shared" si="376"/>
        <v>0</v>
      </c>
      <c r="Q247" s="10">
        <f t="shared" si="376"/>
        <v>0</v>
      </c>
      <c r="R247" s="22">
        <f t="shared" si="363"/>
        <v>0</v>
      </c>
      <c r="S247" s="23">
        <f t="shared" ref="S247:U247" si="377">IF(AH247="",S547,AH247)</f>
        <v>0</v>
      </c>
      <c r="T247" s="23">
        <f t="shared" si="377"/>
        <v>0</v>
      </c>
      <c r="U247" s="23">
        <f t="shared" si="377"/>
        <v>0</v>
      </c>
      <c r="W247" s="79" t="str">
        <f t="shared" si="369"/>
        <v>Product Line 4</v>
      </c>
      <c r="X247" s="64"/>
      <c r="Y247" s="64"/>
      <c r="Z247" s="64"/>
      <c r="AA247" s="64"/>
      <c r="AB247" s="60"/>
      <c r="AC247" s="64"/>
      <c r="AD247" s="64"/>
      <c r="AE247" s="64"/>
      <c r="AF247" s="64"/>
      <c r="AG247" s="60"/>
      <c r="AH247" s="64"/>
      <c r="AI247" s="64"/>
      <c r="AJ247" s="64"/>
    </row>
    <row r="248" spans="2:36" hidden="1" outlineLevel="1" x14ac:dyDescent="0.25">
      <c r="B248" s="229" t="s">
        <v>195</v>
      </c>
      <c r="C248" s="229" t="s">
        <v>195</v>
      </c>
      <c r="E248" s="78" t="s">
        <v>71</v>
      </c>
      <c r="F248" s="21">
        <f t="shared" ref="F248:H248" si="378">F548</f>
        <v>0</v>
      </c>
      <c r="G248" s="21">
        <f t="shared" si="378"/>
        <v>0</v>
      </c>
      <c r="H248" s="21">
        <f t="shared" si="378"/>
        <v>0</v>
      </c>
      <c r="I248" s="10">
        <f t="shared" ref="I248:L248" si="379">IF(X248="",I548,X248)</f>
        <v>0</v>
      </c>
      <c r="J248" s="10">
        <f t="shared" si="379"/>
        <v>0</v>
      </c>
      <c r="K248" s="10">
        <f t="shared" si="379"/>
        <v>0</v>
      </c>
      <c r="L248" s="10">
        <f t="shared" si="379"/>
        <v>0</v>
      </c>
      <c r="M248" s="17">
        <f t="shared" si="361"/>
        <v>0</v>
      </c>
      <c r="N248" s="10">
        <f t="shared" ref="N248:Q248" si="380">IF(AC248="",N548,AC248)</f>
        <v>0</v>
      </c>
      <c r="O248" s="10">
        <f t="shared" si="380"/>
        <v>0</v>
      </c>
      <c r="P248" s="10">
        <f t="shared" si="380"/>
        <v>0</v>
      </c>
      <c r="Q248" s="10">
        <f t="shared" si="380"/>
        <v>0</v>
      </c>
      <c r="R248" s="22">
        <f t="shared" si="363"/>
        <v>0</v>
      </c>
      <c r="S248" s="23">
        <f t="shared" ref="S248:U248" si="381">IF(AH248="",S548,AH248)</f>
        <v>0</v>
      </c>
      <c r="T248" s="23">
        <f t="shared" si="381"/>
        <v>0</v>
      </c>
      <c r="U248" s="23">
        <f t="shared" si="381"/>
        <v>0</v>
      </c>
      <c r="W248" s="79" t="str">
        <f t="shared" si="369"/>
        <v>Product Line 5</v>
      </c>
      <c r="X248" s="64"/>
      <c r="Y248" s="64"/>
      <c r="Z248" s="64"/>
      <c r="AA248" s="64"/>
      <c r="AB248" s="60"/>
      <c r="AC248" s="64"/>
      <c r="AD248" s="64"/>
      <c r="AE248" s="64"/>
      <c r="AF248" s="64"/>
      <c r="AG248" s="60"/>
      <c r="AH248" s="64"/>
      <c r="AI248" s="64"/>
      <c r="AJ248" s="64"/>
    </row>
    <row r="249" spans="2:36" hidden="1" outlineLevel="1" x14ac:dyDescent="0.25">
      <c r="B249" s="229" t="s">
        <v>195</v>
      </c>
      <c r="C249" s="229" t="s">
        <v>195</v>
      </c>
      <c r="E249" s="78" t="s">
        <v>72</v>
      </c>
      <c r="F249" s="21">
        <f t="shared" ref="F249:H249" si="382">F549</f>
        <v>0</v>
      </c>
      <c r="G249" s="21">
        <f t="shared" si="382"/>
        <v>0</v>
      </c>
      <c r="H249" s="21">
        <f t="shared" si="382"/>
        <v>0</v>
      </c>
      <c r="I249" s="10">
        <f t="shared" ref="I249:L249" si="383">IF(X249="",I549,X249)</f>
        <v>0</v>
      </c>
      <c r="J249" s="10">
        <f t="shared" si="383"/>
        <v>0</v>
      </c>
      <c r="K249" s="10">
        <f t="shared" si="383"/>
        <v>0</v>
      </c>
      <c r="L249" s="10">
        <f t="shared" si="383"/>
        <v>0</v>
      </c>
      <c r="M249" s="17">
        <f t="shared" si="361"/>
        <v>0</v>
      </c>
      <c r="N249" s="10">
        <f t="shared" ref="N249:Q249" si="384">IF(AC249="",N549,AC249)</f>
        <v>0</v>
      </c>
      <c r="O249" s="10">
        <f t="shared" si="384"/>
        <v>0</v>
      </c>
      <c r="P249" s="10">
        <f t="shared" si="384"/>
        <v>0</v>
      </c>
      <c r="Q249" s="10">
        <f t="shared" si="384"/>
        <v>0</v>
      </c>
      <c r="R249" s="22">
        <f t="shared" si="363"/>
        <v>0</v>
      </c>
      <c r="S249" s="23">
        <f t="shared" ref="S249:U249" si="385">IF(AH249="",S549,AH249)</f>
        <v>0</v>
      </c>
      <c r="T249" s="23">
        <f t="shared" si="385"/>
        <v>0</v>
      </c>
      <c r="U249" s="23">
        <f t="shared" si="385"/>
        <v>0</v>
      </c>
      <c r="W249" s="79" t="str">
        <f t="shared" si="369"/>
        <v>Product Line 6</v>
      </c>
      <c r="X249" s="64"/>
      <c r="Y249" s="64"/>
      <c r="Z249" s="64"/>
      <c r="AA249" s="64"/>
      <c r="AB249" s="60"/>
      <c r="AC249" s="64"/>
      <c r="AD249" s="64"/>
      <c r="AE249" s="64"/>
      <c r="AF249" s="64"/>
      <c r="AG249" s="60"/>
      <c r="AH249" s="64"/>
      <c r="AI249" s="64"/>
      <c r="AJ249" s="64"/>
    </row>
    <row r="250" spans="2:36" hidden="1" outlineLevel="1" x14ac:dyDescent="0.25">
      <c r="B250" s="229" t="s">
        <v>195</v>
      </c>
      <c r="C250" s="229" t="s">
        <v>195</v>
      </c>
      <c r="E250" s="78" t="s">
        <v>73</v>
      </c>
      <c r="F250" s="21">
        <f t="shared" ref="F250:H250" si="386">F550</f>
        <v>0</v>
      </c>
      <c r="G250" s="21">
        <f t="shared" si="386"/>
        <v>0</v>
      </c>
      <c r="H250" s="21">
        <f t="shared" si="386"/>
        <v>0</v>
      </c>
      <c r="I250" s="10">
        <f t="shared" ref="I250:L250" si="387">IF(X250="",I550,X250)</f>
        <v>0</v>
      </c>
      <c r="J250" s="10">
        <f t="shared" si="387"/>
        <v>0</v>
      </c>
      <c r="K250" s="10">
        <f t="shared" si="387"/>
        <v>0</v>
      </c>
      <c r="L250" s="10">
        <f t="shared" si="387"/>
        <v>0</v>
      </c>
      <c r="M250" s="17">
        <f t="shared" si="361"/>
        <v>0</v>
      </c>
      <c r="N250" s="10">
        <f t="shared" ref="N250:Q250" si="388">IF(AC250="",N550,AC250)</f>
        <v>0</v>
      </c>
      <c r="O250" s="10">
        <f t="shared" si="388"/>
        <v>0</v>
      </c>
      <c r="P250" s="10">
        <f t="shared" si="388"/>
        <v>0</v>
      </c>
      <c r="Q250" s="10">
        <f t="shared" si="388"/>
        <v>0</v>
      </c>
      <c r="R250" s="22">
        <f t="shared" si="363"/>
        <v>0</v>
      </c>
      <c r="S250" s="23">
        <f t="shared" ref="S250:U250" si="389">IF(AH250="",S550,AH250)</f>
        <v>0</v>
      </c>
      <c r="T250" s="23">
        <f t="shared" si="389"/>
        <v>0</v>
      </c>
      <c r="U250" s="23">
        <f t="shared" si="389"/>
        <v>0</v>
      </c>
      <c r="W250" s="79" t="str">
        <f t="shared" si="369"/>
        <v>Product Line 7</v>
      </c>
      <c r="X250" s="64"/>
      <c r="Y250" s="64"/>
      <c r="Z250" s="64"/>
      <c r="AA250" s="64"/>
      <c r="AB250" s="60"/>
      <c r="AC250" s="64"/>
      <c r="AD250" s="64"/>
      <c r="AE250" s="64"/>
      <c r="AF250" s="64"/>
      <c r="AG250" s="60"/>
      <c r="AH250" s="64"/>
      <c r="AI250" s="64"/>
      <c r="AJ250" s="64"/>
    </row>
    <row r="251" spans="2:36" ht="15.75" hidden="1" outlineLevel="1" thickBot="1" x14ac:dyDescent="0.3">
      <c r="E251" s="8" t="s">
        <v>27</v>
      </c>
      <c r="F251" s="9">
        <f t="shared" ref="F251:U251" si="390">SUM(F244:F250)</f>
        <v>0</v>
      </c>
      <c r="G251" s="9">
        <f t="shared" si="390"/>
        <v>0</v>
      </c>
      <c r="H251" s="9">
        <f t="shared" si="390"/>
        <v>0</v>
      </c>
      <c r="I251" s="11">
        <f t="shared" si="390"/>
        <v>0</v>
      </c>
      <c r="J251" s="11">
        <f t="shared" si="390"/>
        <v>0</v>
      </c>
      <c r="K251" s="11">
        <f t="shared" si="390"/>
        <v>0</v>
      </c>
      <c r="L251" s="11">
        <f t="shared" si="390"/>
        <v>0</v>
      </c>
      <c r="M251" s="18">
        <f t="shared" si="390"/>
        <v>0</v>
      </c>
      <c r="N251" s="11">
        <f t="shared" si="390"/>
        <v>0</v>
      </c>
      <c r="O251" s="11">
        <f t="shared" si="390"/>
        <v>0</v>
      </c>
      <c r="P251" s="11">
        <f t="shared" si="390"/>
        <v>0</v>
      </c>
      <c r="Q251" s="11">
        <f t="shared" si="390"/>
        <v>0</v>
      </c>
      <c r="R251" s="19">
        <f t="shared" si="390"/>
        <v>0</v>
      </c>
      <c r="S251" s="20">
        <f t="shared" si="390"/>
        <v>0</v>
      </c>
      <c r="T251" s="20">
        <f t="shared" si="390"/>
        <v>0</v>
      </c>
      <c r="U251" s="20">
        <f t="shared" si="390"/>
        <v>0</v>
      </c>
    </row>
    <row r="252" spans="2:36" ht="15.75" hidden="1" outlineLevel="1" thickTop="1" x14ac:dyDescent="0.25"/>
    <row r="253" spans="2:36" hidden="1" outlineLevel="1" x14ac:dyDescent="0.25"/>
    <row r="254" spans="2:36" hidden="1" outlineLevel="1" x14ac:dyDescent="0.25"/>
    <row r="255" spans="2:36" hidden="1" outlineLevel="1" x14ac:dyDescent="0.25">
      <c r="E255" s="4" t="s">
        <v>53</v>
      </c>
      <c r="W255" s="4" t="s">
        <v>53</v>
      </c>
    </row>
    <row r="256" spans="2:36" hidden="1" outlineLevel="1" x14ac:dyDescent="0.25">
      <c r="E256" s="6" t="s">
        <v>25</v>
      </c>
      <c r="W256" s="61" t="s">
        <v>62</v>
      </c>
    </row>
    <row r="257" spans="2:36" hidden="1" outlineLevel="1" x14ac:dyDescent="0.25"/>
    <row r="258" spans="2:36" hidden="1" outlineLevel="1" x14ac:dyDescent="0.25">
      <c r="F258" s="12">
        <f>Inputs!$C$7</f>
        <v>2023</v>
      </c>
      <c r="G258" s="12">
        <f>Inputs!$C$8</f>
        <v>2024</v>
      </c>
      <c r="H258" s="12">
        <f>Inputs!$C$9</f>
        <v>2025</v>
      </c>
      <c r="I258" s="13" t="s">
        <v>1</v>
      </c>
      <c r="J258" s="13" t="s">
        <v>2</v>
      </c>
      <c r="K258" s="13" t="s">
        <v>3</v>
      </c>
      <c r="L258" s="13" t="s">
        <v>4</v>
      </c>
      <c r="M258" s="13">
        <f>Inputs!$C$10</f>
        <v>2026</v>
      </c>
      <c r="N258" s="14" t="s">
        <v>1</v>
      </c>
      <c r="O258" s="14" t="s">
        <v>2</v>
      </c>
      <c r="P258" s="14" t="s">
        <v>3</v>
      </c>
      <c r="Q258" s="14" t="s">
        <v>4</v>
      </c>
      <c r="R258" s="15">
        <f>Inputs!$C$11</f>
        <v>2027</v>
      </c>
      <c r="S258" s="16">
        <f>Inputs!$C$12</f>
        <v>2028</v>
      </c>
      <c r="T258" s="16">
        <f>Inputs!$C$13</f>
        <v>2029</v>
      </c>
      <c r="U258" s="16">
        <f>Inputs!$C$14</f>
        <v>2030</v>
      </c>
      <c r="X258" s="13" t="s">
        <v>1</v>
      </c>
      <c r="Y258" s="13" t="s">
        <v>2</v>
      </c>
      <c r="Z258" s="13" t="s">
        <v>3</v>
      </c>
      <c r="AA258" s="13" t="s">
        <v>4</v>
      </c>
      <c r="AB258" s="13">
        <f>Inputs!$C$10</f>
        <v>2026</v>
      </c>
      <c r="AC258" s="14" t="s">
        <v>1</v>
      </c>
      <c r="AD258" s="14" t="s">
        <v>2</v>
      </c>
      <c r="AE258" s="14" t="s">
        <v>3</v>
      </c>
      <c r="AF258" s="14" t="s">
        <v>4</v>
      </c>
      <c r="AG258" s="15">
        <f>Inputs!$C$11</f>
        <v>2027</v>
      </c>
      <c r="AH258" s="16">
        <f>Inputs!$C$12</f>
        <v>2028</v>
      </c>
      <c r="AI258" s="16">
        <f>Inputs!$C$13</f>
        <v>2029</v>
      </c>
      <c r="AJ258" s="16">
        <f>Inputs!$C$14</f>
        <v>2030</v>
      </c>
    </row>
    <row r="259" spans="2:36" hidden="1" outlineLevel="1" x14ac:dyDescent="0.25">
      <c r="F259" s="71" t="s">
        <v>63</v>
      </c>
      <c r="G259" s="71" t="s">
        <v>63</v>
      </c>
      <c r="H259" s="71" t="s">
        <v>63</v>
      </c>
      <c r="I259" s="71" t="s">
        <v>63</v>
      </c>
      <c r="J259" s="71" t="s">
        <v>63</v>
      </c>
      <c r="K259" s="71" t="s">
        <v>63</v>
      </c>
      <c r="L259" s="71" t="s">
        <v>63</v>
      </c>
      <c r="M259" s="71" t="s">
        <v>63</v>
      </c>
      <c r="N259" s="71" t="s">
        <v>63</v>
      </c>
      <c r="O259" s="71" t="s">
        <v>63</v>
      </c>
      <c r="P259" s="71" t="s">
        <v>63</v>
      </c>
      <c r="Q259" s="71" t="s">
        <v>63</v>
      </c>
      <c r="R259" s="71" t="s">
        <v>63</v>
      </c>
      <c r="S259" s="71" t="s">
        <v>63</v>
      </c>
      <c r="T259" s="71" t="s">
        <v>63</v>
      </c>
      <c r="U259" s="71" t="s">
        <v>63</v>
      </c>
      <c r="X259" s="63" t="s">
        <v>30</v>
      </c>
      <c r="Y259" s="63" t="s">
        <v>30</v>
      </c>
      <c r="Z259" s="63" t="s">
        <v>30</v>
      </c>
      <c r="AA259" s="63" t="s">
        <v>30</v>
      </c>
      <c r="AB259" s="62"/>
      <c r="AC259" s="63" t="s">
        <v>30</v>
      </c>
      <c r="AD259" s="63" t="s">
        <v>30</v>
      </c>
      <c r="AE259" s="63" t="s">
        <v>30</v>
      </c>
      <c r="AF259" s="63" t="s">
        <v>30</v>
      </c>
      <c r="AG259" s="62"/>
      <c r="AH259" s="63" t="s">
        <v>30</v>
      </c>
      <c r="AI259" s="63" t="s">
        <v>30</v>
      </c>
      <c r="AJ259" s="63" t="s">
        <v>30</v>
      </c>
    </row>
    <row r="260" spans="2:36" hidden="1" outlineLevel="1" x14ac:dyDescent="0.25">
      <c r="B260" s="229" t="s">
        <v>195</v>
      </c>
      <c r="C260" s="229" t="s">
        <v>195</v>
      </c>
      <c r="E260" s="78" t="s">
        <v>67</v>
      </c>
      <c r="F260" s="21">
        <f>F560</f>
        <v>0</v>
      </c>
      <c r="G260" s="21">
        <f t="shared" ref="G260:H260" si="391">G560</f>
        <v>0</v>
      </c>
      <c r="H260" s="21">
        <f t="shared" si="391"/>
        <v>0</v>
      </c>
      <c r="I260" s="10">
        <f>IF(X260="",I560,X260)</f>
        <v>0</v>
      </c>
      <c r="J260" s="10">
        <f t="shared" ref="J260:L260" si="392">IF(Y260="",J560,Y260)</f>
        <v>0</v>
      </c>
      <c r="K260" s="10">
        <f t="shared" si="392"/>
        <v>0</v>
      </c>
      <c r="L260" s="10">
        <f t="shared" si="392"/>
        <v>0</v>
      </c>
      <c r="M260" s="17">
        <f t="shared" ref="M260:M266" si="393">SUM(I260:L260)</f>
        <v>0</v>
      </c>
      <c r="N260" s="10">
        <f t="shared" ref="N260:Q260" si="394">IF(AC260="",N560,AC260)</f>
        <v>0</v>
      </c>
      <c r="O260" s="10">
        <f t="shared" si="394"/>
        <v>0</v>
      </c>
      <c r="P260" s="10">
        <f t="shared" si="394"/>
        <v>0</v>
      </c>
      <c r="Q260" s="10">
        <f t="shared" si="394"/>
        <v>0</v>
      </c>
      <c r="R260" s="22">
        <f t="shared" ref="R260:R266" si="395">M260*(1-R236)</f>
        <v>0</v>
      </c>
      <c r="S260" s="23">
        <f t="shared" ref="S260:U260" si="396">IF(AH260="",S560,AH260)</f>
        <v>0</v>
      </c>
      <c r="T260" s="23">
        <f t="shared" si="396"/>
        <v>0</v>
      </c>
      <c r="U260" s="23">
        <f t="shared" si="396"/>
        <v>0</v>
      </c>
      <c r="W260" s="79" t="str">
        <f>E260</f>
        <v>Product Line 1</v>
      </c>
      <c r="X260" s="64"/>
      <c r="Y260" s="64"/>
      <c r="Z260" s="64"/>
      <c r="AA260" s="64"/>
      <c r="AB260" s="60"/>
      <c r="AC260" s="64"/>
      <c r="AD260" s="64"/>
      <c r="AE260" s="64"/>
      <c r="AF260" s="64"/>
      <c r="AG260" s="60"/>
      <c r="AH260" s="64"/>
      <c r="AI260" s="64"/>
      <c r="AJ260" s="64"/>
    </row>
    <row r="261" spans="2:36" hidden="1" outlineLevel="1" x14ac:dyDescent="0.25">
      <c r="B261" s="229" t="s">
        <v>195</v>
      </c>
      <c r="C261" s="229" t="s">
        <v>195</v>
      </c>
      <c r="E261" s="78" t="s">
        <v>68</v>
      </c>
      <c r="F261" s="21">
        <f t="shared" ref="F261:H261" si="397">F561</f>
        <v>0</v>
      </c>
      <c r="G261" s="21">
        <f t="shared" si="397"/>
        <v>0</v>
      </c>
      <c r="H261" s="21">
        <f t="shared" si="397"/>
        <v>0</v>
      </c>
      <c r="I261" s="10">
        <f t="shared" ref="I261:L261" si="398">IF(X261="",I561,X261)</f>
        <v>0</v>
      </c>
      <c r="J261" s="10">
        <f t="shared" si="398"/>
        <v>0</v>
      </c>
      <c r="K261" s="10">
        <f t="shared" si="398"/>
        <v>0</v>
      </c>
      <c r="L261" s="10">
        <f t="shared" si="398"/>
        <v>0</v>
      </c>
      <c r="M261" s="17">
        <f t="shared" si="393"/>
        <v>0</v>
      </c>
      <c r="N261" s="10">
        <f t="shared" ref="N261:Q261" si="399">IF(AC261="",N561,AC261)</f>
        <v>0</v>
      </c>
      <c r="O261" s="10">
        <f t="shared" si="399"/>
        <v>0</v>
      </c>
      <c r="P261" s="10">
        <f t="shared" si="399"/>
        <v>0</v>
      </c>
      <c r="Q261" s="10">
        <f t="shared" si="399"/>
        <v>0</v>
      </c>
      <c r="R261" s="22">
        <f t="shared" si="395"/>
        <v>0</v>
      </c>
      <c r="S261" s="23">
        <f t="shared" ref="S261:U261" si="400">IF(AH261="",S561,AH261)</f>
        <v>0</v>
      </c>
      <c r="T261" s="23">
        <f t="shared" si="400"/>
        <v>0</v>
      </c>
      <c r="U261" s="23">
        <f t="shared" si="400"/>
        <v>0</v>
      </c>
      <c r="W261" s="79" t="str">
        <f t="shared" ref="W261:W266" si="401">E261</f>
        <v>Product Line 2</v>
      </c>
      <c r="X261" s="64"/>
      <c r="Y261" s="64"/>
      <c r="Z261" s="64"/>
      <c r="AA261" s="64"/>
      <c r="AB261" s="60"/>
      <c r="AC261" s="64"/>
      <c r="AD261" s="64"/>
      <c r="AE261" s="64"/>
      <c r="AF261" s="64"/>
      <c r="AG261" s="60"/>
      <c r="AH261" s="64"/>
      <c r="AI261" s="64"/>
      <c r="AJ261" s="64"/>
    </row>
    <row r="262" spans="2:36" hidden="1" outlineLevel="1" x14ac:dyDescent="0.25">
      <c r="B262" s="229" t="s">
        <v>195</v>
      </c>
      <c r="C262" s="229" t="s">
        <v>195</v>
      </c>
      <c r="E262" s="78" t="s">
        <v>69</v>
      </c>
      <c r="F262" s="21">
        <f t="shared" ref="F262:H262" si="402">F562</f>
        <v>0</v>
      </c>
      <c r="G262" s="21">
        <f t="shared" si="402"/>
        <v>0</v>
      </c>
      <c r="H262" s="21">
        <f t="shared" si="402"/>
        <v>0</v>
      </c>
      <c r="I262" s="10">
        <f t="shared" ref="I262:L262" si="403">IF(X262="",I562,X262)</f>
        <v>0</v>
      </c>
      <c r="J262" s="10">
        <f t="shared" si="403"/>
        <v>0</v>
      </c>
      <c r="K262" s="10">
        <f t="shared" si="403"/>
        <v>0</v>
      </c>
      <c r="L262" s="10">
        <f t="shared" si="403"/>
        <v>0</v>
      </c>
      <c r="M262" s="17">
        <f t="shared" si="393"/>
        <v>0</v>
      </c>
      <c r="N262" s="10">
        <f t="shared" ref="N262:Q262" si="404">IF(AC262="",N562,AC262)</f>
        <v>0</v>
      </c>
      <c r="O262" s="10">
        <f t="shared" si="404"/>
        <v>0</v>
      </c>
      <c r="P262" s="10">
        <f t="shared" si="404"/>
        <v>0</v>
      </c>
      <c r="Q262" s="10">
        <f t="shared" si="404"/>
        <v>0</v>
      </c>
      <c r="R262" s="22">
        <f t="shared" si="395"/>
        <v>0</v>
      </c>
      <c r="S262" s="23">
        <f t="shared" ref="S262:U262" si="405">IF(AH262="",S562,AH262)</f>
        <v>0</v>
      </c>
      <c r="T262" s="23">
        <f t="shared" si="405"/>
        <v>0</v>
      </c>
      <c r="U262" s="23">
        <f t="shared" si="405"/>
        <v>0</v>
      </c>
      <c r="W262" s="79" t="str">
        <f t="shared" si="401"/>
        <v>Product Line 3</v>
      </c>
      <c r="X262" s="64"/>
      <c r="Y262" s="64"/>
      <c r="Z262" s="64"/>
      <c r="AA262" s="64"/>
      <c r="AB262" s="60"/>
      <c r="AC262" s="64"/>
      <c r="AD262" s="64"/>
      <c r="AE262" s="64"/>
      <c r="AF262" s="64"/>
      <c r="AG262" s="60"/>
      <c r="AH262" s="64"/>
      <c r="AI262" s="64"/>
      <c r="AJ262" s="64"/>
    </row>
    <row r="263" spans="2:36" hidden="1" outlineLevel="1" x14ac:dyDescent="0.25">
      <c r="B263" s="229" t="s">
        <v>195</v>
      </c>
      <c r="C263" s="229" t="s">
        <v>195</v>
      </c>
      <c r="E263" s="78" t="s">
        <v>70</v>
      </c>
      <c r="F263" s="21">
        <f t="shared" ref="F263:H263" si="406">F563</f>
        <v>0</v>
      </c>
      <c r="G263" s="21">
        <f t="shared" si="406"/>
        <v>0</v>
      </c>
      <c r="H263" s="21">
        <f t="shared" si="406"/>
        <v>0</v>
      </c>
      <c r="I263" s="10">
        <f t="shared" ref="I263:L263" si="407">IF(X263="",I563,X263)</f>
        <v>0</v>
      </c>
      <c r="J263" s="10">
        <f t="shared" si="407"/>
        <v>0</v>
      </c>
      <c r="K263" s="10">
        <f t="shared" si="407"/>
        <v>0</v>
      </c>
      <c r="L263" s="10">
        <f t="shared" si="407"/>
        <v>0</v>
      </c>
      <c r="M263" s="17">
        <f t="shared" si="393"/>
        <v>0</v>
      </c>
      <c r="N263" s="10">
        <f t="shared" ref="N263:Q263" si="408">IF(AC263="",N563,AC263)</f>
        <v>0</v>
      </c>
      <c r="O263" s="10">
        <f t="shared" si="408"/>
        <v>0</v>
      </c>
      <c r="P263" s="10">
        <f t="shared" si="408"/>
        <v>0</v>
      </c>
      <c r="Q263" s="10">
        <f t="shared" si="408"/>
        <v>0</v>
      </c>
      <c r="R263" s="22">
        <f t="shared" si="395"/>
        <v>0</v>
      </c>
      <c r="S263" s="23">
        <f t="shared" ref="S263:U263" si="409">IF(AH263="",S563,AH263)</f>
        <v>0</v>
      </c>
      <c r="T263" s="23">
        <f t="shared" si="409"/>
        <v>0</v>
      </c>
      <c r="U263" s="23">
        <f t="shared" si="409"/>
        <v>0</v>
      </c>
      <c r="W263" s="79" t="str">
        <f t="shared" si="401"/>
        <v>Product Line 4</v>
      </c>
      <c r="X263" s="64"/>
      <c r="Y263" s="64"/>
      <c r="Z263" s="64"/>
      <c r="AA263" s="64"/>
      <c r="AB263" s="60"/>
      <c r="AC263" s="64"/>
      <c r="AD263" s="64"/>
      <c r="AE263" s="64"/>
      <c r="AF263" s="64"/>
      <c r="AG263" s="60"/>
      <c r="AH263" s="64"/>
      <c r="AI263" s="64"/>
      <c r="AJ263" s="64"/>
    </row>
    <row r="264" spans="2:36" hidden="1" outlineLevel="1" x14ac:dyDescent="0.25">
      <c r="B264" s="229" t="s">
        <v>195</v>
      </c>
      <c r="C264" s="229" t="s">
        <v>195</v>
      </c>
      <c r="E264" s="78" t="s">
        <v>71</v>
      </c>
      <c r="F264" s="21">
        <f t="shared" ref="F264:H264" si="410">F564</f>
        <v>0</v>
      </c>
      <c r="G264" s="21">
        <f t="shared" si="410"/>
        <v>0</v>
      </c>
      <c r="H264" s="21">
        <f t="shared" si="410"/>
        <v>0</v>
      </c>
      <c r="I264" s="10">
        <f t="shared" ref="I264:L264" si="411">IF(X264="",I564,X264)</f>
        <v>0</v>
      </c>
      <c r="J264" s="10">
        <f t="shared" si="411"/>
        <v>0</v>
      </c>
      <c r="K264" s="10">
        <f t="shared" si="411"/>
        <v>0</v>
      </c>
      <c r="L264" s="10">
        <f t="shared" si="411"/>
        <v>0</v>
      </c>
      <c r="M264" s="17">
        <f t="shared" si="393"/>
        <v>0</v>
      </c>
      <c r="N264" s="10">
        <f t="shared" ref="N264:Q264" si="412">IF(AC264="",N564,AC264)</f>
        <v>0</v>
      </c>
      <c r="O264" s="10">
        <f t="shared" si="412"/>
        <v>0</v>
      </c>
      <c r="P264" s="10">
        <f t="shared" si="412"/>
        <v>0</v>
      </c>
      <c r="Q264" s="10">
        <f t="shared" si="412"/>
        <v>0</v>
      </c>
      <c r="R264" s="22">
        <f t="shared" si="395"/>
        <v>0</v>
      </c>
      <c r="S264" s="23">
        <f t="shared" ref="S264:U264" si="413">IF(AH264="",S564,AH264)</f>
        <v>0</v>
      </c>
      <c r="T264" s="23">
        <f t="shared" si="413"/>
        <v>0</v>
      </c>
      <c r="U264" s="23">
        <f t="shared" si="413"/>
        <v>0</v>
      </c>
      <c r="W264" s="79" t="str">
        <f t="shared" si="401"/>
        <v>Product Line 5</v>
      </c>
      <c r="X264" s="64"/>
      <c r="Y264" s="64"/>
      <c r="Z264" s="64"/>
      <c r="AA264" s="64"/>
      <c r="AB264" s="60"/>
      <c r="AC264" s="64"/>
      <c r="AD264" s="64"/>
      <c r="AE264" s="64"/>
      <c r="AF264" s="64"/>
      <c r="AG264" s="60"/>
      <c r="AH264" s="64"/>
      <c r="AI264" s="64"/>
      <c r="AJ264" s="64"/>
    </row>
    <row r="265" spans="2:36" hidden="1" outlineLevel="1" x14ac:dyDescent="0.25">
      <c r="B265" s="229" t="s">
        <v>195</v>
      </c>
      <c r="C265" s="229" t="s">
        <v>195</v>
      </c>
      <c r="E265" s="78" t="s">
        <v>72</v>
      </c>
      <c r="F265" s="21">
        <f t="shared" ref="F265:H265" si="414">F565</f>
        <v>0</v>
      </c>
      <c r="G265" s="21">
        <f t="shared" si="414"/>
        <v>0</v>
      </c>
      <c r="H265" s="21">
        <f t="shared" si="414"/>
        <v>0</v>
      </c>
      <c r="I265" s="10">
        <f t="shared" ref="I265:L265" si="415">IF(X265="",I565,X265)</f>
        <v>0</v>
      </c>
      <c r="J265" s="10">
        <f t="shared" si="415"/>
        <v>0</v>
      </c>
      <c r="K265" s="10">
        <f t="shared" si="415"/>
        <v>0</v>
      </c>
      <c r="L265" s="10">
        <f t="shared" si="415"/>
        <v>0</v>
      </c>
      <c r="M265" s="17">
        <f t="shared" si="393"/>
        <v>0</v>
      </c>
      <c r="N265" s="10">
        <f t="shared" ref="N265:Q265" si="416">IF(AC265="",N565,AC265)</f>
        <v>0</v>
      </c>
      <c r="O265" s="10">
        <f t="shared" si="416"/>
        <v>0</v>
      </c>
      <c r="P265" s="10">
        <f t="shared" si="416"/>
        <v>0</v>
      </c>
      <c r="Q265" s="10">
        <f t="shared" si="416"/>
        <v>0</v>
      </c>
      <c r="R265" s="22">
        <f t="shared" si="395"/>
        <v>0</v>
      </c>
      <c r="S265" s="23">
        <f t="shared" ref="S265:U265" si="417">IF(AH265="",S565,AH265)</f>
        <v>0</v>
      </c>
      <c r="T265" s="23">
        <f t="shared" si="417"/>
        <v>0</v>
      </c>
      <c r="U265" s="23">
        <f t="shared" si="417"/>
        <v>0</v>
      </c>
      <c r="W265" s="79" t="str">
        <f t="shared" si="401"/>
        <v>Product Line 6</v>
      </c>
      <c r="X265" s="64"/>
      <c r="Y265" s="64"/>
      <c r="Z265" s="64"/>
      <c r="AA265" s="64"/>
      <c r="AB265" s="60"/>
      <c r="AC265" s="64"/>
      <c r="AD265" s="64"/>
      <c r="AE265" s="64"/>
      <c r="AF265" s="64"/>
      <c r="AG265" s="60"/>
      <c r="AH265" s="64"/>
      <c r="AI265" s="64"/>
      <c r="AJ265" s="64"/>
    </row>
    <row r="266" spans="2:36" hidden="1" outlineLevel="1" x14ac:dyDescent="0.25">
      <c r="B266" s="229" t="s">
        <v>195</v>
      </c>
      <c r="C266" s="229" t="s">
        <v>195</v>
      </c>
      <c r="E266" s="78" t="s">
        <v>73</v>
      </c>
      <c r="F266" s="21">
        <f t="shared" ref="F266:H266" si="418">F566</f>
        <v>0</v>
      </c>
      <c r="G266" s="21">
        <f t="shared" si="418"/>
        <v>0</v>
      </c>
      <c r="H266" s="21">
        <f t="shared" si="418"/>
        <v>0</v>
      </c>
      <c r="I266" s="10">
        <f t="shared" ref="I266:L266" si="419">IF(X266="",I566,X266)</f>
        <v>0</v>
      </c>
      <c r="J266" s="10">
        <f t="shared" si="419"/>
        <v>0</v>
      </c>
      <c r="K266" s="10">
        <f t="shared" si="419"/>
        <v>0</v>
      </c>
      <c r="L266" s="10">
        <f t="shared" si="419"/>
        <v>0</v>
      </c>
      <c r="M266" s="17">
        <f t="shared" si="393"/>
        <v>0</v>
      </c>
      <c r="N266" s="10">
        <f t="shared" ref="N266:Q266" si="420">IF(AC266="",N566,AC266)</f>
        <v>0</v>
      </c>
      <c r="O266" s="10">
        <f t="shared" si="420"/>
        <v>0</v>
      </c>
      <c r="P266" s="10">
        <f t="shared" si="420"/>
        <v>0</v>
      </c>
      <c r="Q266" s="10">
        <f t="shared" si="420"/>
        <v>0</v>
      </c>
      <c r="R266" s="22">
        <f t="shared" si="395"/>
        <v>0</v>
      </c>
      <c r="S266" s="23">
        <f t="shared" ref="S266:U266" si="421">IF(AH266="",S566,AH266)</f>
        <v>0</v>
      </c>
      <c r="T266" s="23">
        <f t="shared" si="421"/>
        <v>0</v>
      </c>
      <c r="U266" s="23">
        <f t="shared" si="421"/>
        <v>0</v>
      </c>
      <c r="W266" s="79" t="str">
        <f t="shared" si="401"/>
        <v>Product Line 7</v>
      </c>
      <c r="X266" s="64"/>
      <c r="Y266" s="64"/>
      <c r="Z266" s="64"/>
      <c r="AA266" s="64"/>
      <c r="AB266" s="60"/>
      <c r="AC266" s="64"/>
      <c r="AD266" s="64"/>
      <c r="AE266" s="64"/>
      <c r="AF266" s="64"/>
      <c r="AG266" s="60"/>
      <c r="AH266" s="64"/>
      <c r="AI266" s="64"/>
      <c r="AJ266" s="64"/>
    </row>
    <row r="267" spans="2:36" ht="15.75" hidden="1" outlineLevel="1" thickBot="1" x14ac:dyDescent="0.3">
      <c r="E267" s="8" t="s">
        <v>27</v>
      </c>
      <c r="F267" s="9">
        <f t="shared" ref="F267:U267" si="422">SUM(F260:F266)</f>
        <v>0</v>
      </c>
      <c r="G267" s="9">
        <f t="shared" si="422"/>
        <v>0</v>
      </c>
      <c r="H267" s="9">
        <f t="shared" si="422"/>
        <v>0</v>
      </c>
      <c r="I267" s="11">
        <f t="shared" si="422"/>
        <v>0</v>
      </c>
      <c r="J267" s="11">
        <f t="shared" si="422"/>
        <v>0</v>
      </c>
      <c r="K267" s="11">
        <f t="shared" si="422"/>
        <v>0</v>
      </c>
      <c r="L267" s="11">
        <f t="shared" si="422"/>
        <v>0</v>
      </c>
      <c r="M267" s="18">
        <f t="shared" si="422"/>
        <v>0</v>
      </c>
      <c r="N267" s="11">
        <f t="shared" si="422"/>
        <v>0</v>
      </c>
      <c r="O267" s="11">
        <f t="shared" si="422"/>
        <v>0</v>
      </c>
      <c r="P267" s="11">
        <f t="shared" si="422"/>
        <v>0</v>
      </c>
      <c r="Q267" s="11">
        <f t="shared" si="422"/>
        <v>0</v>
      </c>
      <c r="R267" s="19">
        <f t="shared" si="422"/>
        <v>0</v>
      </c>
      <c r="S267" s="20">
        <f t="shared" si="422"/>
        <v>0</v>
      </c>
      <c r="T267" s="20">
        <f t="shared" si="422"/>
        <v>0</v>
      </c>
      <c r="U267" s="20">
        <f t="shared" si="422"/>
        <v>0</v>
      </c>
    </row>
    <row r="268" spans="2:36" ht="15.75" hidden="1" outlineLevel="1" thickTop="1" x14ac:dyDescent="0.25"/>
    <row r="269" spans="2:36" hidden="1" outlineLevel="1" x14ac:dyDescent="0.25"/>
    <row r="270" spans="2:36" hidden="1" outlineLevel="1" x14ac:dyDescent="0.25"/>
    <row r="271" spans="2:36" hidden="1" outlineLevel="1" x14ac:dyDescent="0.25">
      <c r="E271" s="4" t="s">
        <v>24</v>
      </c>
    </row>
    <row r="272" spans="2:36" hidden="1" outlineLevel="1" x14ac:dyDescent="0.25">
      <c r="E272" s="6" t="s">
        <v>25</v>
      </c>
    </row>
    <row r="273" spans="2:23" hidden="1" outlineLevel="1" x14ac:dyDescent="0.25"/>
    <row r="274" spans="2:23" hidden="1" outlineLevel="1" x14ac:dyDescent="0.25">
      <c r="F274" s="12">
        <f>Inputs!$C$7</f>
        <v>2023</v>
      </c>
      <c r="G274" s="12">
        <f>Inputs!$C$8</f>
        <v>2024</v>
      </c>
      <c r="H274" s="12">
        <f>Inputs!$C$9</f>
        <v>2025</v>
      </c>
      <c r="I274" s="13" t="s">
        <v>1</v>
      </c>
      <c r="J274" s="13" t="s">
        <v>2</v>
      </c>
      <c r="K274" s="13" t="s">
        <v>3</v>
      </c>
      <c r="L274" s="13" t="s">
        <v>4</v>
      </c>
      <c r="M274" s="13">
        <f>Inputs!$C$10</f>
        <v>2026</v>
      </c>
      <c r="N274" s="14" t="s">
        <v>1</v>
      </c>
      <c r="O274" s="14" t="s">
        <v>2</v>
      </c>
      <c r="P274" s="14" t="s">
        <v>3</v>
      </c>
      <c r="Q274" s="14" t="s">
        <v>4</v>
      </c>
      <c r="R274" s="15">
        <f>Inputs!$C$11</f>
        <v>2027</v>
      </c>
      <c r="S274" s="16">
        <f>Inputs!$C$12</f>
        <v>2028</v>
      </c>
      <c r="T274" s="16">
        <f>Inputs!$C$13</f>
        <v>2029</v>
      </c>
      <c r="U274" s="16">
        <f>Inputs!$C$14</f>
        <v>2030</v>
      </c>
    </row>
    <row r="275" spans="2:23" hidden="1" outlineLevel="1" x14ac:dyDescent="0.25">
      <c r="F275" s="71" t="s">
        <v>63</v>
      </c>
      <c r="G275" s="71" t="s">
        <v>63</v>
      </c>
      <c r="H275" s="71" t="s">
        <v>63</v>
      </c>
      <c r="I275" s="71" t="s">
        <v>63</v>
      </c>
      <c r="J275" s="71" t="s">
        <v>63</v>
      </c>
      <c r="K275" s="71" t="s">
        <v>63</v>
      </c>
      <c r="L275" s="71" t="s">
        <v>63</v>
      </c>
      <c r="M275" s="71" t="s">
        <v>63</v>
      </c>
      <c r="N275" s="71" t="s">
        <v>63</v>
      </c>
      <c r="O275" s="71" t="s">
        <v>63</v>
      </c>
      <c r="P275" s="71" t="s">
        <v>63</v>
      </c>
      <c r="Q275" s="71" t="s">
        <v>63</v>
      </c>
      <c r="R275" s="71" t="s">
        <v>63</v>
      </c>
      <c r="S275" s="71" t="s">
        <v>63</v>
      </c>
      <c r="T275" s="71" t="s">
        <v>63</v>
      </c>
      <c r="U275" s="71" t="s">
        <v>63</v>
      </c>
    </row>
    <row r="276" spans="2:23" hidden="1" outlineLevel="1" x14ac:dyDescent="0.25">
      <c r="B276" s="229" t="s">
        <v>195</v>
      </c>
      <c r="C276" s="229" t="s">
        <v>195</v>
      </c>
      <c r="E276" s="78" t="s">
        <v>67</v>
      </c>
      <c r="F276" s="21">
        <f>F576</f>
        <v>0</v>
      </c>
      <c r="G276" s="21">
        <f t="shared" ref="G276:H276" si="423">G576</f>
        <v>0</v>
      </c>
      <c r="H276" s="21">
        <f t="shared" si="423"/>
        <v>0</v>
      </c>
      <c r="I276" s="10">
        <f>IF(X292="",I212*I592,I212*X292)</f>
        <v>0</v>
      </c>
      <c r="J276" s="10">
        <f t="shared" ref="J276:L276" si="424">IF(Y292="",J212*J592,J212*Y292)</f>
        <v>0</v>
      </c>
      <c r="K276" s="10">
        <f t="shared" si="424"/>
        <v>0</v>
      </c>
      <c r="L276" s="10">
        <f t="shared" si="424"/>
        <v>0</v>
      </c>
      <c r="M276" s="17">
        <f t="shared" ref="M276:M282" si="425">SUM(I276:L276)</f>
        <v>0</v>
      </c>
      <c r="N276" s="10">
        <f t="shared" ref="N276:Q276" si="426">IF(AC292="",N212*N592,N212*AC292)</f>
        <v>0</v>
      </c>
      <c r="O276" s="10">
        <f t="shared" si="426"/>
        <v>0</v>
      </c>
      <c r="P276" s="10">
        <f t="shared" si="426"/>
        <v>0</v>
      </c>
      <c r="Q276" s="10">
        <f t="shared" si="426"/>
        <v>0</v>
      </c>
      <c r="R276" s="22">
        <f t="shared" ref="R276:R282" si="427">SUM(N276:Q276)</f>
        <v>0</v>
      </c>
      <c r="S276" s="23">
        <f t="shared" ref="S276:U276" si="428">IF(AH292="",S212*S592,S212*AH292)</f>
        <v>0</v>
      </c>
      <c r="T276" s="23">
        <f t="shared" si="428"/>
        <v>0</v>
      </c>
      <c r="U276" s="23">
        <f t="shared" si="428"/>
        <v>0</v>
      </c>
    </row>
    <row r="277" spans="2:23" hidden="1" outlineLevel="1" x14ac:dyDescent="0.25">
      <c r="B277" s="229" t="s">
        <v>195</v>
      </c>
      <c r="C277" s="229" t="s">
        <v>195</v>
      </c>
      <c r="E277" s="78" t="s">
        <v>68</v>
      </c>
      <c r="F277" s="21">
        <f t="shared" ref="F277:H277" si="429">F577</f>
        <v>0</v>
      </c>
      <c r="G277" s="21">
        <f t="shared" si="429"/>
        <v>0</v>
      </c>
      <c r="H277" s="21">
        <f t="shared" si="429"/>
        <v>0</v>
      </c>
      <c r="I277" s="10">
        <f t="shared" ref="I277:L277" si="430">IF(X293="",I213*I593,I213*X293)</f>
        <v>0</v>
      </c>
      <c r="J277" s="10">
        <f t="shared" si="430"/>
        <v>0</v>
      </c>
      <c r="K277" s="10">
        <f t="shared" si="430"/>
        <v>0</v>
      </c>
      <c r="L277" s="10">
        <f t="shared" si="430"/>
        <v>0</v>
      </c>
      <c r="M277" s="17">
        <f t="shared" si="425"/>
        <v>0</v>
      </c>
      <c r="N277" s="10">
        <f t="shared" ref="N277:Q277" si="431">IF(AC293="",N213*N593,N213*AC293)</f>
        <v>0</v>
      </c>
      <c r="O277" s="10">
        <f t="shared" si="431"/>
        <v>0</v>
      </c>
      <c r="P277" s="10">
        <f t="shared" si="431"/>
        <v>0</v>
      </c>
      <c r="Q277" s="10">
        <f t="shared" si="431"/>
        <v>0</v>
      </c>
      <c r="R277" s="22">
        <f t="shared" si="427"/>
        <v>0</v>
      </c>
      <c r="S277" s="23">
        <f t="shared" ref="S277:U277" si="432">IF(AH293="",S213*S593,S213*AH293)</f>
        <v>0</v>
      </c>
      <c r="T277" s="23">
        <f t="shared" si="432"/>
        <v>0</v>
      </c>
      <c r="U277" s="23">
        <f t="shared" si="432"/>
        <v>0</v>
      </c>
    </row>
    <row r="278" spans="2:23" hidden="1" outlineLevel="1" x14ac:dyDescent="0.25">
      <c r="B278" s="229" t="s">
        <v>195</v>
      </c>
      <c r="C278" s="229" t="s">
        <v>195</v>
      </c>
      <c r="E278" s="78" t="s">
        <v>69</v>
      </c>
      <c r="F278" s="21">
        <f t="shared" ref="F278:H278" si="433">F578</f>
        <v>0</v>
      </c>
      <c r="G278" s="21">
        <f t="shared" si="433"/>
        <v>0</v>
      </c>
      <c r="H278" s="21">
        <f t="shared" si="433"/>
        <v>0</v>
      </c>
      <c r="I278" s="10">
        <f t="shared" ref="I278:L278" si="434">IF(X294="",I214*I594,I214*X294)</f>
        <v>0</v>
      </c>
      <c r="J278" s="10">
        <f t="shared" si="434"/>
        <v>0</v>
      </c>
      <c r="K278" s="10">
        <f t="shared" si="434"/>
        <v>0</v>
      </c>
      <c r="L278" s="10">
        <f t="shared" si="434"/>
        <v>0</v>
      </c>
      <c r="M278" s="17">
        <f t="shared" si="425"/>
        <v>0</v>
      </c>
      <c r="N278" s="10">
        <f t="shared" ref="N278:Q278" si="435">IF(AC294="",N214*N594,N214*AC294)</f>
        <v>0</v>
      </c>
      <c r="O278" s="10">
        <f t="shared" si="435"/>
        <v>0</v>
      </c>
      <c r="P278" s="10">
        <f t="shared" si="435"/>
        <v>0</v>
      </c>
      <c r="Q278" s="10">
        <f t="shared" si="435"/>
        <v>0</v>
      </c>
      <c r="R278" s="22">
        <f t="shared" si="427"/>
        <v>0</v>
      </c>
      <c r="S278" s="23">
        <f t="shared" ref="S278:U278" si="436">IF(AH294="",S214*S594,S214*AH294)</f>
        <v>0</v>
      </c>
      <c r="T278" s="23">
        <f t="shared" si="436"/>
        <v>0</v>
      </c>
      <c r="U278" s="23">
        <f t="shared" si="436"/>
        <v>0</v>
      </c>
    </row>
    <row r="279" spans="2:23" hidden="1" outlineLevel="1" x14ac:dyDescent="0.25">
      <c r="B279" s="229" t="s">
        <v>195</v>
      </c>
      <c r="C279" s="229" t="s">
        <v>195</v>
      </c>
      <c r="E279" s="78" t="s">
        <v>70</v>
      </c>
      <c r="F279" s="21">
        <f t="shared" ref="F279:H279" si="437">F579</f>
        <v>0</v>
      </c>
      <c r="G279" s="21">
        <f t="shared" si="437"/>
        <v>0</v>
      </c>
      <c r="H279" s="21">
        <f t="shared" si="437"/>
        <v>0</v>
      </c>
      <c r="I279" s="10">
        <f t="shared" ref="I279:L279" si="438">IF(X295="",I215*I595,I215*X295)</f>
        <v>0</v>
      </c>
      <c r="J279" s="10">
        <f t="shared" si="438"/>
        <v>0</v>
      </c>
      <c r="K279" s="10">
        <f t="shared" si="438"/>
        <v>0</v>
      </c>
      <c r="L279" s="10">
        <f t="shared" si="438"/>
        <v>0</v>
      </c>
      <c r="M279" s="17">
        <f t="shared" si="425"/>
        <v>0</v>
      </c>
      <c r="N279" s="10">
        <f t="shared" ref="N279:Q279" si="439">IF(AC295="",N215*N595,N215*AC295)</f>
        <v>0</v>
      </c>
      <c r="O279" s="10">
        <f t="shared" si="439"/>
        <v>0</v>
      </c>
      <c r="P279" s="10">
        <f t="shared" si="439"/>
        <v>0</v>
      </c>
      <c r="Q279" s="10">
        <f t="shared" si="439"/>
        <v>0</v>
      </c>
      <c r="R279" s="22">
        <f t="shared" si="427"/>
        <v>0</v>
      </c>
      <c r="S279" s="23">
        <f t="shared" ref="S279:U279" si="440">IF(AH295="",S215*S595,S215*AH295)</f>
        <v>0</v>
      </c>
      <c r="T279" s="23">
        <f t="shared" si="440"/>
        <v>0</v>
      </c>
      <c r="U279" s="23">
        <f t="shared" si="440"/>
        <v>0</v>
      </c>
    </row>
    <row r="280" spans="2:23" hidden="1" outlineLevel="1" x14ac:dyDescent="0.25">
      <c r="B280" s="229" t="s">
        <v>195</v>
      </c>
      <c r="C280" s="229" t="s">
        <v>195</v>
      </c>
      <c r="E280" s="78" t="s">
        <v>71</v>
      </c>
      <c r="F280" s="21">
        <f t="shared" ref="F280:H280" si="441">F580</f>
        <v>0</v>
      </c>
      <c r="G280" s="21">
        <f t="shared" si="441"/>
        <v>0</v>
      </c>
      <c r="H280" s="21">
        <f t="shared" si="441"/>
        <v>0</v>
      </c>
      <c r="I280" s="10">
        <f t="shared" ref="I280:L280" si="442">IF(X296="",I216*I596,I216*X296)</f>
        <v>0</v>
      </c>
      <c r="J280" s="10">
        <f t="shared" si="442"/>
        <v>0</v>
      </c>
      <c r="K280" s="10">
        <f t="shared" si="442"/>
        <v>0</v>
      </c>
      <c r="L280" s="10">
        <f t="shared" si="442"/>
        <v>0</v>
      </c>
      <c r="M280" s="17">
        <f t="shared" si="425"/>
        <v>0</v>
      </c>
      <c r="N280" s="10">
        <f t="shared" ref="N280:Q280" si="443">IF(AC296="",N216*N596,N216*AC296)</f>
        <v>0</v>
      </c>
      <c r="O280" s="10">
        <f t="shared" si="443"/>
        <v>0</v>
      </c>
      <c r="P280" s="10">
        <f t="shared" si="443"/>
        <v>0</v>
      </c>
      <c r="Q280" s="10">
        <f t="shared" si="443"/>
        <v>0</v>
      </c>
      <c r="R280" s="22">
        <f t="shared" si="427"/>
        <v>0</v>
      </c>
      <c r="S280" s="23">
        <f t="shared" ref="S280:U280" si="444">IF(AH296="",S216*S596,S216*AH296)</f>
        <v>0</v>
      </c>
      <c r="T280" s="23">
        <f t="shared" si="444"/>
        <v>0</v>
      </c>
      <c r="U280" s="23">
        <f t="shared" si="444"/>
        <v>0</v>
      </c>
    </row>
    <row r="281" spans="2:23" hidden="1" outlineLevel="1" x14ac:dyDescent="0.25">
      <c r="B281" s="229" t="s">
        <v>195</v>
      </c>
      <c r="C281" s="229" t="s">
        <v>195</v>
      </c>
      <c r="E281" s="78" t="s">
        <v>72</v>
      </c>
      <c r="F281" s="21">
        <f t="shared" ref="F281:H281" si="445">F581</f>
        <v>0</v>
      </c>
      <c r="G281" s="21">
        <f t="shared" si="445"/>
        <v>0</v>
      </c>
      <c r="H281" s="21">
        <f t="shared" si="445"/>
        <v>0</v>
      </c>
      <c r="I281" s="10">
        <f t="shared" ref="I281:L281" si="446">IF(X297="",I217*I597,I217*X297)</f>
        <v>0</v>
      </c>
      <c r="J281" s="10">
        <f t="shared" si="446"/>
        <v>0</v>
      </c>
      <c r="K281" s="10">
        <f t="shared" si="446"/>
        <v>0</v>
      </c>
      <c r="L281" s="10">
        <f t="shared" si="446"/>
        <v>0</v>
      </c>
      <c r="M281" s="17">
        <f t="shared" si="425"/>
        <v>0</v>
      </c>
      <c r="N281" s="10">
        <f t="shared" ref="N281:Q281" si="447">IF(AC297="",N217*N597,N217*AC297)</f>
        <v>0</v>
      </c>
      <c r="O281" s="10">
        <f t="shared" si="447"/>
        <v>0</v>
      </c>
      <c r="P281" s="10">
        <f t="shared" si="447"/>
        <v>0</v>
      </c>
      <c r="Q281" s="10">
        <f t="shared" si="447"/>
        <v>0</v>
      </c>
      <c r="R281" s="22">
        <f t="shared" si="427"/>
        <v>0</v>
      </c>
      <c r="S281" s="23">
        <f t="shared" ref="S281:U281" si="448">IF(AH297="",S217*S597,S217*AH297)</f>
        <v>0</v>
      </c>
      <c r="T281" s="23">
        <f t="shared" si="448"/>
        <v>0</v>
      </c>
      <c r="U281" s="23">
        <f t="shared" si="448"/>
        <v>0</v>
      </c>
    </row>
    <row r="282" spans="2:23" hidden="1" outlineLevel="1" x14ac:dyDescent="0.25">
      <c r="B282" s="229" t="s">
        <v>195</v>
      </c>
      <c r="C282" s="229" t="s">
        <v>195</v>
      </c>
      <c r="E282" s="78" t="s">
        <v>73</v>
      </c>
      <c r="F282" s="21">
        <f t="shared" ref="F282:H282" si="449">F582</f>
        <v>0</v>
      </c>
      <c r="G282" s="21">
        <f t="shared" si="449"/>
        <v>0</v>
      </c>
      <c r="H282" s="21">
        <f t="shared" si="449"/>
        <v>0</v>
      </c>
      <c r="I282" s="10">
        <f t="shared" ref="I282:L282" si="450">IF(X298="",I218*I598,I218*X298)</f>
        <v>0</v>
      </c>
      <c r="J282" s="10">
        <f t="shared" si="450"/>
        <v>0</v>
      </c>
      <c r="K282" s="10">
        <f t="shared" si="450"/>
        <v>0</v>
      </c>
      <c r="L282" s="10">
        <f t="shared" si="450"/>
        <v>0</v>
      </c>
      <c r="M282" s="17">
        <f t="shared" si="425"/>
        <v>0</v>
      </c>
      <c r="N282" s="10">
        <f t="shared" ref="N282:Q282" si="451">IF(AC298="",N218*N598,N218*AC298)</f>
        <v>0</v>
      </c>
      <c r="O282" s="10">
        <f t="shared" si="451"/>
        <v>0</v>
      </c>
      <c r="P282" s="10">
        <f t="shared" si="451"/>
        <v>0</v>
      </c>
      <c r="Q282" s="10">
        <f t="shared" si="451"/>
        <v>0</v>
      </c>
      <c r="R282" s="22">
        <f t="shared" si="427"/>
        <v>0</v>
      </c>
      <c r="S282" s="23">
        <f t="shared" ref="S282:U282" si="452">IF(AH298="",S218*S598,S218*AH298)</f>
        <v>0</v>
      </c>
      <c r="T282" s="23">
        <f t="shared" si="452"/>
        <v>0</v>
      </c>
      <c r="U282" s="23">
        <f t="shared" si="452"/>
        <v>0</v>
      </c>
    </row>
    <row r="283" spans="2:23" ht="15.75" hidden="1" outlineLevel="1" thickBot="1" x14ac:dyDescent="0.3">
      <c r="E283" s="8" t="s">
        <v>27</v>
      </c>
      <c r="F283" s="9">
        <f t="shared" ref="F283:U283" si="453">SUM(F276:F282)</f>
        <v>0</v>
      </c>
      <c r="G283" s="9">
        <f t="shared" si="453"/>
        <v>0</v>
      </c>
      <c r="H283" s="9">
        <f t="shared" si="453"/>
        <v>0</v>
      </c>
      <c r="I283" s="11">
        <f t="shared" si="453"/>
        <v>0</v>
      </c>
      <c r="J283" s="11">
        <f t="shared" si="453"/>
        <v>0</v>
      </c>
      <c r="K283" s="11">
        <f t="shared" si="453"/>
        <v>0</v>
      </c>
      <c r="L283" s="11">
        <f t="shared" si="453"/>
        <v>0</v>
      </c>
      <c r="M283" s="18">
        <f t="shared" si="453"/>
        <v>0</v>
      </c>
      <c r="N283" s="11">
        <f t="shared" si="453"/>
        <v>0</v>
      </c>
      <c r="O283" s="11">
        <f t="shared" si="453"/>
        <v>0</v>
      </c>
      <c r="P283" s="11">
        <f t="shared" si="453"/>
        <v>0</v>
      </c>
      <c r="Q283" s="11">
        <f t="shared" si="453"/>
        <v>0</v>
      </c>
      <c r="R283" s="19">
        <f t="shared" si="453"/>
        <v>0</v>
      </c>
      <c r="S283" s="20">
        <f t="shared" si="453"/>
        <v>0</v>
      </c>
      <c r="T283" s="20">
        <f t="shared" si="453"/>
        <v>0</v>
      </c>
      <c r="U283" s="20">
        <f t="shared" si="453"/>
        <v>0</v>
      </c>
    </row>
    <row r="284" spans="2:23" ht="15.75" hidden="1" outlineLevel="1" thickTop="1" x14ac:dyDescent="0.25">
      <c r="F284" s="24"/>
      <c r="G284" s="25"/>
      <c r="H284" s="25"/>
      <c r="I284" s="25"/>
      <c r="J284" s="25"/>
      <c r="K284" s="25"/>
      <c r="L284" s="25"/>
      <c r="M284" s="25"/>
      <c r="N284" s="25"/>
      <c r="O284" s="25"/>
      <c r="P284" s="25"/>
      <c r="Q284" s="25"/>
      <c r="R284" s="25"/>
      <c r="S284" s="25"/>
      <c r="T284" s="25"/>
      <c r="U284" s="25"/>
    </row>
    <row r="285" spans="2:23" hidden="1" outlineLevel="1" x14ac:dyDescent="0.25"/>
    <row r="286" spans="2:23" hidden="1" outlineLevel="1" x14ac:dyDescent="0.25"/>
    <row r="287" spans="2:23" hidden="1" outlineLevel="1" x14ac:dyDescent="0.25">
      <c r="E287" s="4" t="s">
        <v>26</v>
      </c>
      <c r="W287" s="4" t="s">
        <v>26</v>
      </c>
    </row>
    <row r="288" spans="2:23" hidden="1" outlineLevel="1" x14ac:dyDescent="0.25">
      <c r="E288" s="6" t="s">
        <v>25</v>
      </c>
      <c r="W288" s="61" t="s">
        <v>66</v>
      </c>
    </row>
    <row r="289" spans="2:36" hidden="1" outlineLevel="1" x14ac:dyDescent="0.25"/>
    <row r="290" spans="2:36" hidden="1" outlineLevel="1" x14ac:dyDescent="0.25">
      <c r="F290" s="12">
        <f>Inputs!$C$7</f>
        <v>2023</v>
      </c>
      <c r="G290" s="12">
        <f>Inputs!$C$8</f>
        <v>2024</v>
      </c>
      <c r="H290" s="12">
        <f>Inputs!$C$9</f>
        <v>2025</v>
      </c>
      <c r="I290" s="13" t="s">
        <v>1</v>
      </c>
      <c r="J290" s="13" t="s">
        <v>2</v>
      </c>
      <c r="K290" s="13" t="s">
        <v>3</v>
      </c>
      <c r="L290" s="13" t="s">
        <v>4</v>
      </c>
      <c r="M290" s="13">
        <f>Inputs!$C$10</f>
        <v>2026</v>
      </c>
      <c r="N290" s="14" t="s">
        <v>1</v>
      </c>
      <c r="O290" s="14" t="s">
        <v>2</v>
      </c>
      <c r="P290" s="14" t="s">
        <v>3</v>
      </c>
      <c r="Q290" s="14" t="s">
        <v>4</v>
      </c>
      <c r="R290" s="15">
        <f>Inputs!$C$11</f>
        <v>2027</v>
      </c>
      <c r="S290" s="16">
        <f>Inputs!$C$12</f>
        <v>2028</v>
      </c>
      <c r="T290" s="16">
        <f>Inputs!$C$13</f>
        <v>2029</v>
      </c>
      <c r="U290" s="16">
        <f>Inputs!$C$14</f>
        <v>2030</v>
      </c>
      <c r="X290" s="13" t="s">
        <v>1</v>
      </c>
      <c r="Y290" s="13" t="s">
        <v>2</v>
      </c>
      <c r="Z290" s="13" t="s">
        <v>3</v>
      </c>
      <c r="AA290" s="13" t="s">
        <v>4</v>
      </c>
      <c r="AB290" s="13">
        <f>Inputs!$C$10</f>
        <v>2026</v>
      </c>
      <c r="AC290" s="14" t="s">
        <v>1</v>
      </c>
      <c r="AD290" s="14" t="s">
        <v>2</v>
      </c>
      <c r="AE290" s="14" t="s">
        <v>3</v>
      </c>
      <c r="AF290" s="14" t="s">
        <v>4</v>
      </c>
      <c r="AG290" s="15">
        <f>Inputs!$C$11</f>
        <v>2027</v>
      </c>
      <c r="AH290" s="16">
        <f>Inputs!$C$12</f>
        <v>2028</v>
      </c>
      <c r="AI290" s="16">
        <f>Inputs!$C$13</f>
        <v>2029</v>
      </c>
      <c r="AJ290" s="16">
        <f>Inputs!$C$14</f>
        <v>2030</v>
      </c>
    </row>
    <row r="291" spans="2:36" hidden="1" outlineLevel="1" x14ac:dyDescent="0.25">
      <c r="F291" s="71" t="s">
        <v>64</v>
      </c>
      <c r="G291" s="71" t="s">
        <v>64</v>
      </c>
      <c r="H291" s="71" t="s">
        <v>64</v>
      </c>
      <c r="I291" s="71" t="s">
        <v>64</v>
      </c>
      <c r="J291" s="71" t="s">
        <v>64</v>
      </c>
      <c r="K291" s="71" t="s">
        <v>64</v>
      </c>
      <c r="L291" s="71" t="s">
        <v>64</v>
      </c>
      <c r="M291" s="71" t="s">
        <v>64</v>
      </c>
      <c r="N291" s="71" t="s">
        <v>64</v>
      </c>
      <c r="O291" s="71" t="s">
        <v>64</v>
      </c>
      <c r="P291" s="71" t="s">
        <v>64</v>
      </c>
      <c r="Q291" s="71" t="s">
        <v>64</v>
      </c>
      <c r="R291" s="71" t="s">
        <v>64</v>
      </c>
      <c r="S291" s="71" t="s">
        <v>64</v>
      </c>
      <c r="T291" s="71" t="s">
        <v>64</v>
      </c>
      <c r="U291" s="71" t="s">
        <v>64</v>
      </c>
      <c r="X291" s="63" t="s">
        <v>64</v>
      </c>
      <c r="Y291" s="63" t="s">
        <v>64</v>
      </c>
      <c r="Z291" s="63" t="s">
        <v>64</v>
      </c>
      <c r="AA291" s="63" t="s">
        <v>64</v>
      </c>
      <c r="AB291" s="62"/>
      <c r="AC291" s="63" t="s">
        <v>64</v>
      </c>
      <c r="AD291" s="63" t="s">
        <v>64</v>
      </c>
      <c r="AE291" s="63" t="s">
        <v>64</v>
      </c>
      <c r="AF291" s="63" t="s">
        <v>64</v>
      </c>
      <c r="AG291" s="62"/>
      <c r="AH291" s="63" t="s">
        <v>64</v>
      </c>
      <c r="AI291" s="63" t="s">
        <v>64</v>
      </c>
      <c r="AJ291" s="63" t="s">
        <v>64</v>
      </c>
    </row>
    <row r="292" spans="2:36" hidden="1" outlineLevel="1" x14ac:dyDescent="0.25">
      <c r="B292" s="229" t="s">
        <v>195</v>
      </c>
      <c r="C292" s="229" t="s">
        <v>195</v>
      </c>
      <c r="E292" s="78" t="s">
        <v>67</v>
      </c>
      <c r="F292" s="26">
        <f t="shared" ref="F292:U292" si="454">IFERROR(F276/F212,0)</f>
        <v>0</v>
      </c>
      <c r="G292" s="26">
        <f t="shared" si="454"/>
        <v>0</v>
      </c>
      <c r="H292" s="26">
        <f t="shared" si="454"/>
        <v>0</v>
      </c>
      <c r="I292" s="27">
        <f t="shared" si="454"/>
        <v>0</v>
      </c>
      <c r="J292" s="27">
        <f t="shared" si="454"/>
        <v>0</v>
      </c>
      <c r="K292" s="27">
        <f t="shared" si="454"/>
        <v>0</v>
      </c>
      <c r="L292" s="27">
        <f t="shared" si="454"/>
        <v>0</v>
      </c>
      <c r="M292" s="28">
        <f t="shared" si="454"/>
        <v>0</v>
      </c>
      <c r="N292" s="27">
        <f t="shared" si="454"/>
        <v>0</v>
      </c>
      <c r="O292" s="27">
        <f t="shared" si="454"/>
        <v>0</v>
      </c>
      <c r="P292" s="27">
        <f t="shared" si="454"/>
        <v>0</v>
      </c>
      <c r="Q292" s="27">
        <f t="shared" si="454"/>
        <v>0</v>
      </c>
      <c r="R292" s="29">
        <f t="shared" si="454"/>
        <v>0</v>
      </c>
      <c r="S292" s="30">
        <f t="shared" si="454"/>
        <v>0</v>
      </c>
      <c r="T292" s="30">
        <f t="shared" si="454"/>
        <v>0</v>
      </c>
      <c r="U292" s="30">
        <f t="shared" si="454"/>
        <v>0</v>
      </c>
      <c r="W292" s="79" t="str">
        <f>E292</f>
        <v>Product Line 1</v>
      </c>
      <c r="X292" s="64"/>
      <c r="Y292" s="64"/>
      <c r="Z292" s="64"/>
      <c r="AA292" s="64"/>
      <c r="AB292" s="60"/>
      <c r="AC292" s="64"/>
      <c r="AD292" s="64"/>
      <c r="AE292" s="64"/>
      <c r="AF292" s="64"/>
      <c r="AG292" s="60"/>
      <c r="AH292" s="64"/>
      <c r="AI292" s="64"/>
      <c r="AJ292" s="64"/>
    </row>
    <row r="293" spans="2:36" hidden="1" outlineLevel="1" x14ac:dyDescent="0.25">
      <c r="B293" s="229" t="s">
        <v>195</v>
      </c>
      <c r="C293" s="229" t="s">
        <v>195</v>
      </c>
      <c r="E293" s="78" t="s">
        <v>68</v>
      </c>
      <c r="F293" s="26">
        <f t="shared" ref="F293:U293" si="455">IFERROR(F277/F213,0)</f>
        <v>0</v>
      </c>
      <c r="G293" s="26">
        <f t="shared" si="455"/>
        <v>0</v>
      </c>
      <c r="H293" s="26">
        <f t="shared" si="455"/>
        <v>0</v>
      </c>
      <c r="I293" s="27">
        <f t="shared" si="455"/>
        <v>0</v>
      </c>
      <c r="J293" s="27">
        <f t="shared" si="455"/>
        <v>0</v>
      </c>
      <c r="K293" s="27">
        <f t="shared" si="455"/>
        <v>0</v>
      </c>
      <c r="L293" s="27">
        <f t="shared" si="455"/>
        <v>0</v>
      </c>
      <c r="M293" s="28">
        <f t="shared" si="455"/>
        <v>0</v>
      </c>
      <c r="N293" s="27">
        <f t="shared" si="455"/>
        <v>0</v>
      </c>
      <c r="O293" s="27">
        <f t="shared" si="455"/>
        <v>0</v>
      </c>
      <c r="P293" s="27">
        <f t="shared" si="455"/>
        <v>0</v>
      </c>
      <c r="Q293" s="27">
        <f t="shared" si="455"/>
        <v>0</v>
      </c>
      <c r="R293" s="29">
        <f t="shared" si="455"/>
        <v>0</v>
      </c>
      <c r="S293" s="30">
        <f t="shared" si="455"/>
        <v>0</v>
      </c>
      <c r="T293" s="30">
        <f t="shared" si="455"/>
        <v>0</v>
      </c>
      <c r="U293" s="30">
        <f t="shared" si="455"/>
        <v>0</v>
      </c>
      <c r="W293" s="79" t="str">
        <f t="shared" ref="W293:W298" si="456">E293</f>
        <v>Product Line 2</v>
      </c>
      <c r="X293" s="64"/>
      <c r="Y293" s="64"/>
      <c r="Z293" s="64"/>
      <c r="AA293" s="64"/>
      <c r="AB293" s="60"/>
      <c r="AC293" s="64"/>
      <c r="AD293" s="64"/>
      <c r="AE293" s="64"/>
      <c r="AF293" s="64"/>
      <c r="AG293" s="60"/>
      <c r="AH293" s="64"/>
      <c r="AI293" s="64"/>
      <c r="AJ293" s="64"/>
    </row>
    <row r="294" spans="2:36" hidden="1" outlineLevel="1" x14ac:dyDescent="0.25">
      <c r="B294" s="229" t="s">
        <v>195</v>
      </c>
      <c r="C294" s="229" t="s">
        <v>195</v>
      </c>
      <c r="E294" s="78" t="s">
        <v>69</v>
      </c>
      <c r="F294" s="26">
        <f t="shared" ref="F294:U294" si="457">IFERROR(F278/F214,0)</f>
        <v>0</v>
      </c>
      <c r="G294" s="26">
        <f t="shared" si="457"/>
        <v>0</v>
      </c>
      <c r="H294" s="26">
        <f t="shared" si="457"/>
        <v>0</v>
      </c>
      <c r="I294" s="27">
        <f t="shared" si="457"/>
        <v>0</v>
      </c>
      <c r="J294" s="27">
        <f t="shared" si="457"/>
        <v>0</v>
      </c>
      <c r="K294" s="27">
        <f t="shared" si="457"/>
        <v>0</v>
      </c>
      <c r="L294" s="27">
        <f t="shared" si="457"/>
        <v>0</v>
      </c>
      <c r="M294" s="28">
        <f t="shared" si="457"/>
        <v>0</v>
      </c>
      <c r="N294" s="27">
        <f t="shared" si="457"/>
        <v>0</v>
      </c>
      <c r="O294" s="27">
        <f t="shared" si="457"/>
        <v>0</v>
      </c>
      <c r="P294" s="27">
        <f t="shared" si="457"/>
        <v>0</v>
      </c>
      <c r="Q294" s="27">
        <f t="shared" si="457"/>
        <v>0</v>
      </c>
      <c r="R294" s="29">
        <f t="shared" si="457"/>
        <v>0</v>
      </c>
      <c r="S294" s="30">
        <f t="shared" si="457"/>
        <v>0</v>
      </c>
      <c r="T294" s="30">
        <f t="shared" si="457"/>
        <v>0</v>
      </c>
      <c r="U294" s="30">
        <f t="shared" si="457"/>
        <v>0</v>
      </c>
      <c r="W294" s="79" t="str">
        <f t="shared" si="456"/>
        <v>Product Line 3</v>
      </c>
      <c r="X294" s="64"/>
      <c r="Y294" s="64"/>
      <c r="Z294" s="64"/>
      <c r="AA294" s="64"/>
      <c r="AB294" s="60"/>
      <c r="AC294" s="64"/>
      <c r="AD294" s="64"/>
      <c r="AE294" s="64"/>
      <c r="AF294" s="64"/>
      <c r="AG294" s="60"/>
      <c r="AH294" s="64"/>
      <c r="AI294" s="64"/>
      <c r="AJ294" s="64"/>
    </row>
    <row r="295" spans="2:36" hidden="1" outlineLevel="1" x14ac:dyDescent="0.25">
      <c r="B295" s="229" t="s">
        <v>195</v>
      </c>
      <c r="C295" s="229" t="s">
        <v>195</v>
      </c>
      <c r="E295" s="78" t="s">
        <v>70</v>
      </c>
      <c r="F295" s="26">
        <f t="shared" ref="F295:U295" si="458">IFERROR(F279/F215,0)</f>
        <v>0</v>
      </c>
      <c r="G295" s="26">
        <f t="shared" si="458"/>
        <v>0</v>
      </c>
      <c r="H295" s="26">
        <f t="shared" si="458"/>
        <v>0</v>
      </c>
      <c r="I295" s="27">
        <f t="shared" si="458"/>
        <v>0</v>
      </c>
      <c r="J295" s="27">
        <f t="shared" si="458"/>
        <v>0</v>
      </c>
      <c r="K295" s="27">
        <f t="shared" si="458"/>
        <v>0</v>
      </c>
      <c r="L295" s="27">
        <f t="shared" si="458"/>
        <v>0</v>
      </c>
      <c r="M295" s="28">
        <f t="shared" si="458"/>
        <v>0</v>
      </c>
      <c r="N295" s="27">
        <f t="shared" si="458"/>
        <v>0</v>
      </c>
      <c r="O295" s="27">
        <f t="shared" si="458"/>
        <v>0</v>
      </c>
      <c r="P295" s="27">
        <f t="shared" si="458"/>
        <v>0</v>
      </c>
      <c r="Q295" s="27">
        <f t="shared" si="458"/>
        <v>0</v>
      </c>
      <c r="R295" s="29">
        <f t="shared" si="458"/>
        <v>0</v>
      </c>
      <c r="S295" s="30">
        <f t="shared" si="458"/>
        <v>0</v>
      </c>
      <c r="T295" s="30">
        <f t="shared" si="458"/>
        <v>0</v>
      </c>
      <c r="U295" s="30">
        <f t="shared" si="458"/>
        <v>0</v>
      </c>
      <c r="W295" s="79" t="str">
        <f t="shared" si="456"/>
        <v>Product Line 4</v>
      </c>
      <c r="X295" s="64"/>
      <c r="Y295" s="64"/>
      <c r="Z295" s="64"/>
      <c r="AA295" s="64"/>
      <c r="AB295" s="60"/>
      <c r="AC295" s="64"/>
      <c r="AD295" s="64"/>
      <c r="AE295" s="64"/>
      <c r="AF295" s="64"/>
      <c r="AG295" s="60"/>
      <c r="AH295" s="64"/>
      <c r="AI295" s="64"/>
      <c r="AJ295" s="64"/>
    </row>
    <row r="296" spans="2:36" hidden="1" outlineLevel="1" x14ac:dyDescent="0.25">
      <c r="B296" s="229" t="s">
        <v>195</v>
      </c>
      <c r="C296" s="229" t="s">
        <v>195</v>
      </c>
      <c r="E296" s="78" t="s">
        <v>71</v>
      </c>
      <c r="F296" s="26">
        <f t="shared" ref="F296:U296" si="459">IFERROR(F280/F216,0)</f>
        <v>0</v>
      </c>
      <c r="G296" s="26">
        <f t="shared" si="459"/>
        <v>0</v>
      </c>
      <c r="H296" s="26">
        <f t="shared" si="459"/>
        <v>0</v>
      </c>
      <c r="I296" s="27">
        <f t="shared" si="459"/>
        <v>0</v>
      </c>
      <c r="J296" s="27">
        <f t="shared" si="459"/>
        <v>0</v>
      </c>
      <c r="K296" s="27">
        <f t="shared" si="459"/>
        <v>0</v>
      </c>
      <c r="L296" s="27">
        <f t="shared" si="459"/>
        <v>0</v>
      </c>
      <c r="M296" s="28">
        <f t="shared" si="459"/>
        <v>0</v>
      </c>
      <c r="N296" s="27">
        <f t="shared" si="459"/>
        <v>0</v>
      </c>
      <c r="O296" s="27">
        <f t="shared" si="459"/>
        <v>0</v>
      </c>
      <c r="P296" s="27">
        <f t="shared" si="459"/>
        <v>0</v>
      </c>
      <c r="Q296" s="27">
        <f t="shared" si="459"/>
        <v>0</v>
      </c>
      <c r="R296" s="29">
        <f t="shared" si="459"/>
        <v>0</v>
      </c>
      <c r="S296" s="30">
        <f t="shared" si="459"/>
        <v>0</v>
      </c>
      <c r="T296" s="30">
        <f t="shared" si="459"/>
        <v>0</v>
      </c>
      <c r="U296" s="30">
        <f t="shared" si="459"/>
        <v>0</v>
      </c>
      <c r="W296" s="79" t="str">
        <f t="shared" si="456"/>
        <v>Product Line 5</v>
      </c>
      <c r="X296" s="64"/>
      <c r="Y296" s="64"/>
      <c r="Z296" s="64"/>
      <c r="AA296" s="64"/>
      <c r="AB296" s="60"/>
      <c r="AC296" s="64"/>
      <c r="AD296" s="64"/>
      <c r="AE296" s="64"/>
      <c r="AF296" s="64"/>
      <c r="AG296" s="60"/>
      <c r="AH296" s="64"/>
      <c r="AI296" s="64"/>
      <c r="AJ296" s="64"/>
    </row>
    <row r="297" spans="2:36" hidden="1" outlineLevel="1" x14ac:dyDescent="0.25">
      <c r="B297" s="229" t="s">
        <v>195</v>
      </c>
      <c r="C297" s="229" t="s">
        <v>195</v>
      </c>
      <c r="E297" s="78" t="s">
        <v>72</v>
      </c>
      <c r="F297" s="26">
        <f t="shared" ref="F297:U297" si="460">IFERROR(F281/F217,0)</f>
        <v>0</v>
      </c>
      <c r="G297" s="26">
        <f t="shared" si="460"/>
        <v>0</v>
      </c>
      <c r="H297" s="26">
        <f t="shared" si="460"/>
        <v>0</v>
      </c>
      <c r="I297" s="27">
        <f t="shared" si="460"/>
        <v>0</v>
      </c>
      <c r="J297" s="27">
        <f t="shared" si="460"/>
        <v>0</v>
      </c>
      <c r="K297" s="27">
        <f t="shared" si="460"/>
        <v>0</v>
      </c>
      <c r="L297" s="27">
        <f t="shared" si="460"/>
        <v>0</v>
      </c>
      <c r="M297" s="28">
        <f t="shared" si="460"/>
        <v>0</v>
      </c>
      <c r="N297" s="27">
        <f t="shared" si="460"/>
        <v>0</v>
      </c>
      <c r="O297" s="27">
        <f t="shared" si="460"/>
        <v>0</v>
      </c>
      <c r="P297" s="27">
        <f t="shared" si="460"/>
        <v>0</v>
      </c>
      <c r="Q297" s="27">
        <f t="shared" si="460"/>
        <v>0</v>
      </c>
      <c r="R297" s="29">
        <f t="shared" si="460"/>
        <v>0</v>
      </c>
      <c r="S297" s="30">
        <f t="shared" si="460"/>
        <v>0</v>
      </c>
      <c r="T297" s="30">
        <f t="shared" si="460"/>
        <v>0</v>
      </c>
      <c r="U297" s="30">
        <f t="shared" si="460"/>
        <v>0</v>
      </c>
      <c r="W297" s="79" t="str">
        <f t="shared" si="456"/>
        <v>Product Line 6</v>
      </c>
      <c r="X297" s="64"/>
      <c r="Y297" s="64"/>
      <c r="Z297" s="64"/>
      <c r="AA297" s="64"/>
      <c r="AB297" s="60"/>
      <c r="AC297" s="64"/>
      <c r="AD297" s="64"/>
      <c r="AE297" s="64"/>
      <c r="AF297" s="64"/>
      <c r="AG297" s="60"/>
      <c r="AH297" s="64"/>
      <c r="AI297" s="64"/>
      <c r="AJ297" s="64"/>
    </row>
    <row r="298" spans="2:36" hidden="1" outlineLevel="1" x14ac:dyDescent="0.25">
      <c r="B298" s="229" t="s">
        <v>195</v>
      </c>
      <c r="C298" s="229" t="s">
        <v>195</v>
      </c>
      <c r="E298" s="78" t="s">
        <v>73</v>
      </c>
      <c r="F298" s="26">
        <f t="shared" ref="F298:U298" si="461">IFERROR(F282/F218,0)</f>
        <v>0</v>
      </c>
      <c r="G298" s="26">
        <f t="shared" si="461"/>
        <v>0</v>
      </c>
      <c r="H298" s="26">
        <f t="shared" si="461"/>
        <v>0</v>
      </c>
      <c r="I298" s="27">
        <f t="shared" si="461"/>
        <v>0</v>
      </c>
      <c r="J298" s="27">
        <f t="shared" si="461"/>
        <v>0</v>
      </c>
      <c r="K298" s="27">
        <f t="shared" si="461"/>
        <v>0</v>
      </c>
      <c r="L298" s="27">
        <f t="shared" si="461"/>
        <v>0</v>
      </c>
      <c r="M298" s="28">
        <f t="shared" si="461"/>
        <v>0</v>
      </c>
      <c r="N298" s="27">
        <f t="shared" si="461"/>
        <v>0</v>
      </c>
      <c r="O298" s="27">
        <f t="shared" si="461"/>
        <v>0</v>
      </c>
      <c r="P298" s="27">
        <f t="shared" si="461"/>
        <v>0</v>
      </c>
      <c r="Q298" s="27">
        <f t="shared" si="461"/>
        <v>0</v>
      </c>
      <c r="R298" s="29">
        <f t="shared" si="461"/>
        <v>0</v>
      </c>
      <c r="S298" s="30">
        <f t="shared" si="461"/>
        <v>0</v>
      </c>
      <c r="T298" s="30">
        <f t="shared" si="461"/>
        <v>0</v>
      </c>
      <c r="U298" s="30">
        <f t="shared" si="461"/>
        <v>0</v>
      </c>
      <c r="W298" s="79" t="str">
        <f t="shared" si="456"/>
        <v>Product Line 7</v>
      </c>
      <c r="X298" s="64"/>
      <c r="Y298" s="64"/>
      <c r="Z298" s="64"/>
      <c r="AA298" s="64"/>
      <c r="AB298" s="60"/>
      <c r="AC298" s="64"/>
      <c r="AD298" s="64"/>
      <c r="AE298" s="64"/>
      <c r="AF298" s="64"/>
      <c r="AG298" s="60"/>
      <c r="AH298" s="64"/>
      <c r="AI298" s="64"/>
      <c r="AJ298" s="64"/>
    </row>
    <row r="299" spans="2:36" ht="15.75" hidden="1" outlineLevel="1" thickBot="1" x14ac:dyDescent="0.3">
      <c r="E299" s="8" t="s">
        <v>27</v>
      </c>
      <c r="F299" s="31">
        <f t="shared" ref="F299:U299" si="462">IFERROR(F283/F219,0)</f>
        <v>0</v>
      </c>
      <c r="G299" s="31">
        <f t="shared" si="462"/>
        <v>0</v>
      </c>
      <c r="H299" s="31">
        <f t="shared" si="462"/>
        <v>0</v>
      </c>
      <c r="I299" s="32">
        <f t="shared" si="462"/>
        <v>0</v>
      </c>
      <c r="J299" s="32">
        <f t="shared" si="462"/>
        <v>0</v>
      </c>
      <c r="K299" s="32">
        <f t="shared" si="462"/>
        <v>0</v>
      </c>
      <c r="L299" s="32">
        <f t="shared" si="462"/>
        <v>0</v>
      </c>
      <c r="M299" s="33">
        <f t="shared" si="462"/>
        <v>0</v>
      </c>
      <c r="N299" s="32">
        <f t="shared" si="462"/>
        <v>0</v>
      </c>
      <c r="O299" s="32">
        <f t="shared" si="462"/>
        <v>0</v>
      </c>
      <c r="P299" s="32">
        <f t="shared" si="462"/>
        <v>0</v>
      </c>
      <c r="Q299" s="32">
        <f t="shared" si="462"/>
        <v>0</v>
      </c>
      <c r="R299" s="34">
        <f t="shared" si="462"/>
        <v>0</v>
      </c>
      <c r="S299" s="35">
        <f t="shared" si="462"/>
        <v>0</v>
      </c>
      <c r="T299" s="35">
        <f t="shared" si="462"/>
        <v>0</v>
      </c>
      <c r="U299" s="35">
        <f t="shared" si="462"/>
        <v>0</v>
      </c>
    </row>
    <row r="300" spans="2:36" ht="15.75" hidden="1" outlineLevel="1" thickTop="1" x14ac:dyDescent="0.25"/>
    <row r="301" spans="2:36" hidden="1" outlineLevel="1" x14ac:dyDescent="0.25"/>
    <row r="302" spans="2:36" hidden="1" outlineLevel="1" x14ac:dyDescent="0.25"/>
    <row r="303" spans="2:36" ht="18.75" collapsed="1" x14ac:dyDescent="0.3">
      <c r="B303" s="4" t="s">
        <v>34</v>
      </c>
      <c r="C303" s="4" t="s">
        <v>387</v>
      </c>
      <c r="E303" s="53" t="str">
        <f>"Scenario 4: "&amp;Inputs!B25</f>
        <v>Scenario 4: Scenario 4</v>
      </c>
      <c r="F303" s="49"/>
      <c r="G303" s="49"/>
      <c r="H303" s="49"/>
      <c r="I303" s="49"/>
      <c r="J303" s="49"/>
      <c r="K303" s="49"/>
      <c r="L303" s="49"/>
      <c r="M303" s="49"/>
      <c r="N303" s="49"/>
      <c r="O303" s="49"/>
      <c r="P303" s="49"/>
      <c r="Q303" s="49"/>
      <c r="R303" s="49"/>
      <c r="S303" s="49"/>
      <c r="T303" s="49"/>
      <c r="U303" s="49"/>
    </row>
    <row r="304" spans="2:36" hidden="1" outlineLevel="1" x14ac:dyDescent="0.25">
      <c r="E304" s="52" t="str">
        <f>Inputs!C25</f>
        <v>Scenario 4 Description</v>
      </c>
    </row>
    <row r="305" spans="2:36" hidden="1" outlineLevel="1" x14ac:dyDescent="0.25"/>
    <row r="306" spans="2:36" hidden="1" outlineLevel="1" x14ac:dyDescent="0.25"/>
    <row r="307" spans="2:36" hidden="1" outlineLevel="1" x14ac:dyDescent="0.25">
      <c r="E307" s="4" t="s">
        <v>23</v>
      </c>
      <c r="W307" s="4" t="s">
        <v>23</v>
      </c>
    </row>
    <row r="308" spans="2:36" hidden="1" outlineLevel="1" x14ac:dyDescent="0.25">
      <c r="E308" s="6" t="s">
        <v>25</v>
      </c>
      <c r="W308" s="61" t="s">
        <v>62</v>
      </c>
    </row>
    <row r="309" spans="2:36" hidden="1" outlineLevel="1" x14ac:dyDescent="0.25"/>
    <row r="310" spans="2:36" hidden="1" outlineLevel="1" x14ac:dyDescent="0.25">
      <c r="F310" s="12">
        <f>Inputs!$C$7</f>
        <v>2023</v>
      </c>
      <c r="G310" s="12">
        <f>Inputs!$C$8</f>
        <v>2024</v>
      </c>
      <c r="H310" s="12">
        <f>Inputs!$C$9</f>
        <v>2025</v>
      </c>
      <c r="I310" s="13" t="s">
        <v>1</v>
      </c>
      <c r="J310" s="13" t="s">
        <v>2</v>
      </c>
      <c r="K310" s="13" t="s">
        <v>3</v>
      </c>
      <c r="L310" s="13" t="s">
        <v>4</v>
      </c>
      <c r="M310" s="13">
        <f>Inputs!$C$10</f>
        <v>2026</v>
      </c>
      <c r="N310" s="14" t="s">
        <v>1</v>
      </c>
      <c r="O310" s="14" t="s">
        <v>2</v>
      </c>
      <c r="P310" s="14" t="s">
        <v>3</v>
      </c>
      <c r="Q310" s="14" t="s">
        <v>4</v>
      </c>
      <c r="R310" s="15">
        <f>Inputs!$C$11</f>
        <v>2027</v>
      </c>
      <c r="S310" s="16">
        <f>Inputs!$C$12</f>
        <v>2028</v>
      </c>
      <c r="T310" s="16">
        <f>Inputs!$C$13</f>
        <v>2029</v>
      </c>
      <c r="U310" s="16">
        <f>Inputs!$C$14</f>
        <v>2030</v>
      </c>
      <c r="X310" s="13" t="s">
        <v>1</v>
      </c>
      <c r="Y310" s="13" t="s">
        <v>2</v>
      </c>
      <c r="Z310" s="13" t="s">
        <v>3</v>
      </c>
      <c r="AA310" s="13" t="s">
        <v>4</v>
      </c>
      <c r="AB310" s="13">
        <f>Inputs!$C$10</f>
        <v>2026</v>
      </c>
      <c r="AC310" s="14" t="s">
        <v>1</v>
      </c>
      <c r="AD310" s="14" t="s">
        <v>2</v>
      </c>
      <c r="AE310" s="14" t="s">
        <v>3</v>
      </c>
      <c r="AF310" s="14" t="s">
        <v>4</v>
      </c>
      <c r="AG310" s="15">
        <f>Inputs!$C$11</f>
        <v>2027</v>
      </c>
      <c r="AH310" s="16">
        <f>Inputs!$C$12</f>
        <v>2028</v>
      </c>
      <c r="AI310" s="16">
        <f>Inputs!$C$13</f>
        <v>2029</v>
      </c>
      <c r="AJ310" s="16">
        <f>Inputs!$C$14</f>
        <v>2030</v>
      </c>
    </row>
    <row r="311" spans="2:36" hidden="1" outlineLevel="1" x14ac:dyDescent="0.25">
      <c r="F311" s="71" t="s">
        <v>63</v>
      </c>
      <c r="G311" s="71" t="s">
        <v>63</v>
      </c>
      <c r="H311" s="71" t="s">
        <v>63</v>
      </c>
      <c r="I311" s="71" t="s">
        <v>63</v>
      </c>
      <c r="J311" s="71" t="s">
        <v>63</v>
      </c>
      <c r="K311" s="71" t="s">
        <v>63</v>
      </c>
      <c r="L311" s="71" t="s">
        <v>63</v>
      </c>
      <c r="M311" s="71" t="s">
        <v>63</v>
      </c>
      <c r="N311" s="71" t="s">
        <v>63</v>
      </c>
      <c r="O311" s="71" t="s">
        <v>63</v>
      </c>
      <c r="P311" s="71" t="s">
        <v>63</v>
      </c>
      <c r="Q311" s="71" t="s">
        <v>63</v>
      </c>
      <c r="R311" s="71" t="s">
        <v>63</v>
      </c>
      <c r="S311" s="71" t="s">
        <v>63</v>
      </c>
      <c r="T311" s="71" t="s">
        <v>63</v>
      </c>
      <c r="U311" s="71" t="s">
        <v>63</v>
      </c>
      <c r="X311" s="63" t="s">
        <v>30</v>
      </c>
      <c r="Y311" s="63" t="s">
        <v>30</v>
      </c>
      <c r="Z311" s="63" t="s">
        <v>30</v>
      </c>
      <c r="AA311" s="63" t="s">
        <v>30</v>
      </c>
      <c r="AB311" s="62"/>
      <c r="AC311" s="63" t="s">
        <v>30</v>
      </c>
      <c r="AD311" s="63" t="s">
        <v>30</v>
      </c>
      <c r="AE311" s="63" t="s">
        <v>30</v>
      </c>
      <c r="AF311" s="63" t="s">
        <v>30</v>
      </c>
      <c r="AG311" s="62"/>
      <c r="AH311" s="63" t="s">
        <v>30</v>
      </c>
      <c r="AI311" s="63" t="s">
        <v>30</v>
      </c>
      <c r="AJ311" s="63" t="s">
        <v>30</v>
      </c>
    </row>
    <row r="312" spans="2:36" hidden="1" outlineLevel="1" x14ac:dyDescent="0.25">
      <c r="B312" s="229" t="s">
        <v>195</v>
      </c>
      <c r="C312" s="229" t="s">
        <v>195</v>
      </c>
      <c r="E312" s="78" t="s">
        <v>67</v>
      </c>
      <c r="F312" s="21">
        <f>F512</f>
        <v>0</v>
      </c>
      <c r="G312" s="21">
        <f t="shared" ref="G312:H312" si="463">G512</f>
        <v>0</v>
      </c>
      <c r="H312" s="21">
        <f t="shared" si="463"/>
        <v>0</v>
      </c>
      <c r="I312" s="10">
        <f>IF(X312="",I512,X312)</f>
        <v>0</v>
      </c>
      <c r="J312" s="10">
        <f t="shared" ref="J312:L312" si="464">IF(Y312="",J512,Y312)</f>
        <v>0</v>
      </c>
      <c r="K312" s="10">
        <f t="shared" si="464"/>
        <v>0</v>
      </c>
      <c r="L312" s="10">
        <f t="shared" si="464"/>
        <v>0</v>
      </c>
      <c r="M312" s="17">
        <f t="shared" ref="M312:M318" si="465">SUM(I312:L312)</f>
        <v>0</v>
      </c>
      <c r="N312" s="10">
        <f t="shared" ref="N312:Q312" si="466">IF(AC312="",N512,AC312)</f>
        <v>0</v>
      </c>
      <c r="O312" s="10">
        <f t="shared" si="466"/>
        <v>0</v>
      </c>
      <c r="P312" s="10">
        <f t="shared" si="466"/>
        <v>0</v>
      </c>
      <c r="Q312" s="10">
        <f t="shared" si="466"/>
        <v>0</v>
      </c>
      <c r="R312" s="22">
        <f t="shared" ref="R312:R318" si="467">SUM(N312:Q312)</f>
        <v>0</v>
      </c>
      <c r="S312" s="23">
        <f t="shared" ref="S312:U312" si="468">IF(AH312="",S512,AH312)</f>
        <v>0</v>
      </c>
      <c r="T312" s="23">
        <f t="shared" si="468"/>
        <v>0</v>
      </c>
      <c r="U312" s="23">
        <f t="shared" si="468"/>
        <v>0</v>
      </c>
      <c r="W312" s="79" t="str">
        <f>E312</f>
        <v>Product Line 1</v>
      </c>
      <c r="X312" s="64"/>
      <c r="Y312" s="64"/>
      <c r="Z312" s="64"/>
      <c r="AA312" s="64"/>
      <c r="AB312" s="60"/>
      <c r="AC312" s="64"/>
      <c r="AD312" s="64"/>
      <c r="AE312" s="64"/>
      <c r="AF312" s="64"/>
      <c r="AG312" s="60"/>
      <c r="AH312" s="64"/>
      <c r="AI312" s="64"/>
      <c r="AJ312" s="64"/>
    </row>
    <row r="313" spans="2:36" hidden="1" outlineLevel="1" x14ac:dyDescent="0.25">
      <c r="B313" s="229" t="s">
        <v>195</v>
      </c>
      <c r="C313" s="229" t="s">
        <v>195</v>
      </c>
      <c r="E313" s="78" t="s">
        <v>68</v>
      </c>
      <c r="F313" s="21">
        <f t="shared" ref="F313:H313" si="469">F513</f>
        <v>0</v>
      </c>
      <c r="G313" s="21">
        <f t="shared" si="469"/>
        <v>0</v>
      </c>
      <c r="H313" s="21">
        <f t="shared" si="469"/>
        <v>0</v>
      </c>
      <c r="I313" s="10">
        <f t="shared" ref="I313:L313" si="470">IF(X313="",I513,X313)</f>
        <v>0</v>
      </c>
      <c r="J313" s="10">
        <f t="shared" si="470"/>
        <v>0</v>
      </c>
      <c r="K313" s="10">
        <f t="shared" si="470"/>
        <v>0</v>
      </c>
      <c r="L313" s="10">
        <f t="shared" si="470"/>
        <v>0</v>
      </c>
      <c r="M313" s="17">
        <f t="shared" si="465"/>
        <v>0</v>
      </c>
      <c r="N313" s="10">
        <f t="shared" ref="N313:Q313" si="471">IF(AC313="",N513,AC313)</f>
        <v>0</v>
      </c>
      <c r="O313" s="10">
        <f t="shared" si="471"/>
        <v>0</v>
      </c>
      <c r="P313" s="10">
        <f t="shared" si="471"/>
        <v>0</v>
      </c>
      <c r="Q313" s="10">
        <f t="shared" si="471"/>
        <v>0</v>
      </c>
      <c r="R313" s="22">
        <f t="shared" si="467"/>
        <v>0</v>
      </c>
      <c r="S313" s="23">
        <f t="shared" ref="S313:U313" si="472">IF(AH313="",S513,AH313)</f>
        <v>0</v>
      </c>
      <c r="T313" s="23">
        <f t="shared" si="472"/>
        <v>0</v>
      </c>
      <c r="U313" s="23">
        <f t="shared" si="472"/>
        <v>0</v>
      </c>
      <c r="W313" s="79" t="str">
        <f t="shared" ref="W313:W318" si="473">E313</f>
        <v>Product Line 2</v>
      </c>
      <c r="X313" s="64"/>
      <c r="Y313" s="64"/>
      <c r="Z313" s="64"/>
      <c r="AA313" s="64"/>
      <c r="AB313" s="60"/>
      <c r="AC313" s="64"/>
      <c r="AD313" s="64"/>
      <c r="AE313" s="64"/>
      <c r="AF313" s="64"/>
      <c r="AG313" s="60"/>
      <c r="AH313" s="64"/>
      <c r="AI313" s="64"/>
      <c r="AJ313" s="64"/>
    </row>
    <row r="314" spans="2:36" hidden="1" outlineLevel="1" x14ac:dyDescent="0.25">
      <c r="B314" s="229" t="s">
        <v>195</v>
      </c>
      <c r="C314" s="229" t="s">
        <v>195</v>
      </c>
      <c r="E314" s="78" t="s">
        <v>69</v>
      </c>
      <c r="F314" s="21">
        <f t="shared" ref="F314:H314" si="474">F514</f>
        <v>0</v>
      </c>
      <c r="G314" s="21">
        <f t="shared" si="474"/>
        <v>0</v>
      </c>
      <c r="H314" s="21">
        <f t="shared" si="474"/>
        <v>0</v>
      </c>
      <c r="I314" s="10">
        <f t="shared" ref="I314:L314" si="475">IF(X314="",I514,X314)</f>
        <v>0</v>
      </c>
      <c r="J314" s="10">
        <f t="shared" si="475"/>
        <v>0</v>
      </c>
      <c r="K314" s="10">
        <f t="shared" si="475"/>
        <v>0</v>
      </c>
      <c r="L314" s="10">
        <f t="shared" si="475"/>
        <v>0</v>
      </c>
      <c r="M314" s="17">
        <f t="shared" si="465"/>
        <v>0</v>
      </c>
      <c r="N314" s="10">
        <f t="shared" ref="N314:Q314" si="476">IF(AC314="",N514,AC314)</f>
        <v>0</v>
      </c>
      <c r="O314" s="10">
        <f t="shared" si="476"/>
        <v>0</v>
      </c>
      <c r="P314" s="10">
        <f t="shared" si="476"/>
        <v>0</v>
      </c>
      <c r="Q314" s="10">
        <f t="shared" si="476"/>
        <v>0</v>
      </c>
      <c r="R314" s="22">
        <f t="shared" si="467"/>
        <v>0</v>
      </c>
      <c r="S314" s="23">
        <f t="shared" ref="S314:U314" si="477">IF(AH314="",S514,AH314)</f>
        <v>0</v>
      </c>
      <c r="T314" s="23">
        <f t="shared" si="477"/>
        <v>0</v>
      </c>
      <c r="U314" s="23">
        <f t="shared" si="477"/>
        <v>0</v>
      </c>
      <c r="W314" s="79" t="str">
        <f t="shared" si="473"/>
        <v>Product Line 3</v>
      </c>
      <c r="X314" s="64"/>
      <c r="Y314" s="64"/>
      <c r="Z314" s="64"/>
      <c r="AA314" s="64"/>
      <c r="AB314" s="60"/>
      <c r="AC314" s="64"/>
      <c r="AD314" s="64"/>
      <c r="AE314" s="64"/>
      <c r="AF314" s="64"/>
      <c r="AG314" s="60"/>
      <c r="AH314" s="64"/>
      <c r="AI314" s="64"/>
      <c r="AJ314" s="64"/>
    </row>
    <row r="315" spans="2:36" hidden="1" outlineLevel="1" x14ac:dyDescent="0.25">
      <c r="B315" s="229" t="s">
        <v>195</v>
      </c>
      <c r="C315" s="229" t="s">
        <v>195</v>
      </c>
      <c r="E315" s="78" t="s">
        <v>70</v>
      </c>
      <c r="F315" s="21">
        <f t="shared" ref="F315:H315" si="478">F515</f>
        <v>0</v>
      </c>
      <c r="G315" s="21">
        <f t="shared" si="478"/>
        <v>0</v>
      </c>
      <c r="H315" s="21">
        <f t="shared" si="478"/>
        <v>0</v>
      </c>
      <c r="I315" s="10">
        <f t="shared" ref="I315:L315" si="479">IF(X315="",I515,X315)</f>
        <v>0</v>
      </c>
      <c r="J315" s="10">
        <f t="shared" si="479"/>
        <v>0</v>
      </c>
      <c r="K315" s="10">
        <f t="shared" si="479"/>
        <v>0</v>
      </c>
      <c r="L315" s="10">
        <f t="shared" si="479"/>
        <v>0</v>
      </c>
      <c r="M315" s="17">
        <f t="shared" si="465"/>
        <v>0</v>
      </c>
      <c r="N315" s="10">
        <f t="shared" ref="N315:Q315" si="480">IF(AC315="",N515,AC315)</f>
        <v>0</v>
      </c>
      <c r="O315" s="10">
        <f t="shared" si="480"/>
        <v>0</v>
      </c>
      <c r="P315" s="10">
        <f t="shared" si="480"/>
        <v>0</v>
      </c>
      <c r="Q315" s="10">
        <f t="shared" si="480"/>
        <v>0</v>
      </c>
      <c r="R315" s="22">
        <f t="shared" si="467"/>
        <v>0</v>
      </c>
      <c r="S315" s="23">
        <f t="shared" ref="S315:U315" si="481">IF(AH315="",S515,AH315)</f>
        <v>0</v>
      </c>
      <c r="T315" s="23">
        <f t="shared" si="481"/>
        <v>0</v>
      </c>
      <c r="U315" s="23">
        <f t="shared" si="481"/>
        <v>0</v>
      </c>
      <c r="W315" s="79" t="str">
        <f t="shared" si="473"/>
        <v>Product Line 4</v>
      </c>
      <c r="X315" s="64"/>
      <c r="Y315" s="64"/>
      <c r="Z315" s="64"/>
      <c r="AA315" s="64"/>
      <c r="AB315" s="60"/>
      <c r="AC315" s="64"/>
      <c r="AD315" s="64"/>
      <c r="AE315" s="64"/>
      <c r="AF315" s="64"/>
      <c r="AG315" s="60"/>
      <c r="AH315" s="64"/>
      <c r="AI315" s="64"/>
      <c r="AJ315" s="64"/>
    </row>
    <row r="316" spans="2:36" hidden="1" outlineLevel="1" x14ac:dyDescent="0.25">
      <c r="B316" s="229" t="s">
        <v>195</v>
      </c>
      <c r="C316" s="229" t="s">
        <v>195</v>
      </c>
      <c r="E316" s="78" t="s">
        <v>71</v>
      </c>
      <c r="F316" s="21">
        <f t="shared" ref="F316:H316" si="482">F516</f>
        <v>0</v>
      </c>
      <c r="G316" s="21">
        <f t="shared" si="482"/>
        <v>0</v>
      </c>
      <c r="H316" s="21">
        <f t="shared" si="482"/>
        <v>0</v>
      </c>
      <c r="I316" s="10">
        <f t="shared" ref="I316:L316" si="483">IF(X316="",I516,X316)</f>
        <v>0</v>
      </c>
      <c r="J316" s="10">
        <f t="shared" si="483"/>
        <v>0</v>
      </c>
      <c r="K316" s="10">
        <f t="shared" si="483"/>
        <v>0</v>
      </c>
      <c r="L316" s="10">
        <f t="shared" si="483"/>
        <v>0</v>
      </c>
      <c r="M316" s="17">
        <f t="shared" si="465"/>
        <v>0</v>
      </c>
      <c r="N316" s="10">
        <f t="shared" ref="N316:Q316" si="484">IF(AC316="",N516,AC316)</f>
        <v>0</v>
      </c>
      <c r="O316" s="10">
        <f t="shared" si="484"/>
        <v>0</v>
      </c>
      <c r="P316" s="10">
        <f t="shared" si="484"/>
        <v>0</v>
      </c>
      <c r="Q316" s="10">
        <f t="shared" si="484"/>
        <v>0</v>
      </c>
      <c r="R316" s="22">
        <f t="shared" si="467"/>
        <v>0</v>
      </c>
      <c r="S316" s="23">
        <f t="shared" ref="S316:U316" si="485">IF(AH316="",S516,AH316)</f>
        <v>0</v>
      </c>
      <c r="T316" s="23">
        <f t="shared" si="485"/>
        <v>0</v>
      </c>
      <c r="U316" s="23">
        <f t="shared" si="485"/>
        <v>0</v>
      </c>
      <c r="W316" s="79" t="str">
        <f t="shared" si="473"/>
        <v>Product Line 5</v>
      </c>
      <c r="X316" s="64"/>
      <c r="Y316" s="64"/>
      <c r="Z316" s="64"/>
      <c r="AA316" s="64"/>
      <c r="AB316" s="60"/>
      <c r="AC316" s="64"/>
      <c r="AD316" s="64"/>
      <c r="AE316" s="64"/>
      <c r="AF316" s="64"/>
      <c r="AG316" s="60"/>
      <c r="AH316" s="64"/>
      <c r="AI316" s="64"/>
      <c r="AJ316" s="64"/>
    </row>
    <row r="317" spans="2:36" hidden="1" outlineLevel="1" x14ac:dyDescent="0.25">
      <c r="B317" s="229" t="s">
        <v>195</v>
      </c>
      <c r="C317" s="229" t="s">
        <v>195</v>
      </c>
      <c r="E317" s="78" t="s">
        <v>72</v>
      </c>
      <c r="F317" s="21">
        <f t="shared" ref="F317:H317" si="486">F517</f>
        <v>0</v>
      </c>
      <c r="G317" s="21">
        <f t="shared" si="486"/>
        <v>0</v>
      </c>
      <c r="H317" s="21">
        <f t="shared" si="486"/>
        <v>0</v>
      </c>
      <c r="I317" s="10">
        <f t="shared" ref="I317:L317" si="487">IF(X317="",I517,X317)</f>
        <v>0</v>
      </c>
      <c r="J317" s="10">
        <f t="shared" si="487"/>
        <v>0</v>
      </c>
      <c r="K317" s="10">
        <f t="shared" si="487"/>
        <v>0</v>
      </c>
      <c r="L317" s="10">
        <f t="shared" si="487"/>
        <v>0</v>
      </c>
      <c r="M317" s="17">
        <f t="shared" si="465"/>
        <v>0</v>
      </c>
      <c r="N317" s="10">
        <f t="shared" ref="N317:Q317" si="488">IF(AC317="",N517,AC317)</f>
        <v>0</v>
      </c>
      <c r="O317" s="10">
        <f t="shared" si="488"/>
        <v>0</v>
      </c>
      <c r="P317" s="10">
        <f t="shared" si="488"/>
        <v>0</v>
      </c>
      <c r="Q317" s="10">
        <f t="shared" si="488"/>
        <v>0</v>
      </c>
      <c r="R317" s="22">
        <f t="shared" si="467"/>
        <v>0</v>
      </c>
      <c r="S317" s="23">
        <f t="shared" ref="S317:U317" si="489">IF(AH317="",S517,AH317)</f>
        <v>0</v>
      </c>
      <c r="T317" s="23">
        <f t="shared" si="489"/>
        <v>0</v>
      </c>
      <c r="U317" s="23">
        <f t="shared" si="489"/>
        <v>0</v>
      </c>
      <c r="W317" s="79" t="str">
        <f t="shared" si="473"/>
        <v>Product Line 6</v>
      </c>
      <c r="X317" s="64"/>
      <c r="Y317" s="64"/>
      <c r="Z317" s="64"/>
      <c r="AA317" s="64"/>
      <c r="AB317" s="60"/>
      <c r="AC317" s="64"/>
      <c r="AD317" s="64"/>
      <c r="AE317" s="64"/>
      <c r="AF317" s="64"/>
      <c r="AG317" s="60"/>
      <c r="AH317" s="64"/>
      <c r="AI317" s="64"/>
      <c r="AJ317" s="64"/>
    </row>
    <row r="318" spans="2:36" hidden="1" outlineLevel="1" x14ac:dyDescent="0.25">
      <c r="B318" s="229" t="s">
        <v>195</v>
      </c>
      <c r="C318" s="229" t="s">
        <v>195</v>
      </c>
      <c r="E318" s="78" t="s">
        <v>73</v>
      </c>
      <c r="F318" s="21">
        <f t="shared" ref="F318:H318" si="490">F518</f>
        <v>0</v>
      </c>
      <c r="G318" s="21">
        <f t="shared" si="490"/>
        <v>0</v>
      </c>
      <c r="H318" s="21">
        <f t="shared" si="490"/>
        <v>0</v>
      </c>
      <c r="I318" s="10">
        <f t="shared" ref="I318:L318" si="491">IF(X318="",I518,X318)</f>
        <v>0</v>
      </c>
      <c r="J318" s="10">
        <f t="shared" si="491"/>
        <v>0</v>
      </c>
      <c r="K318" s="10">
        <f t="shared" si="491"/>
        <v>0</v>
      </c>
      <c r="L318" s="10">
        <f t="shared" si="491"/>
        <v>0</v>
      </c>
      <c r="M318" s="17">
        <f t="shared" si="465"/>
        <v>0</v>
      </c>
      <c r="N318" s="10">
        <f t="shared" ref="N318:Q318" si="492">IF(AC318="",N518,AC318)</f>
        <v>0</v>
      </c>
      <c r="O318" s="10">
        <f t="shared" si="492"/>
        <v>0</v>
      </c>
      <c r="P318" s="10">
        <f t="shared" si="492"/>
        <v>0</v>
      </c>
      <c r="Q318" s="10">
        <f t="shared" si="492"/>
        <v>0</v>
      </c>
      <c r="R318" s="22">
        <f t="shared" si="467"/>
        <v>0</v>
      </c>
      <c r="S318" s="23">
        <f t="shared" ref="S318:U318" si="493">IF(AH318="",S518,AH318)</f>
        <v>0</v>
      </c>
      <c r="T318" s="23">
        <f t="shared" si="493"/>
        <v>0</v>
      </c>
      <c r="U318" s="23">
        <f t="shared" si="493"/>
        <v>0</v>
      </c>
      <c r="W318" s="79" t="str">
        <f t="shared" si="473"/>
        <v>Product Line 7</v>
      </c>
      <c r="X318" s="64"/>
      <c r="Y318" s="64"/>
      <c r="Z318" s="64"/>
      <c r="AA318" s="64"/>
      <c r="AB318" s="60"/>
      <c r="AC318" s="64"/>
      <c r="AD318" s="64"/>
      <c r="AE318" s="64"/>
      <c r="AF318" s="64"/>
      <c r="AG318" s="60"/>
      <c r="AH318" s="64"/>
      <c r="AI318" s="64"/>
      <c r="AJ318" s="64"/>
    </row>
    <row r="319" spans="2:36" ht="15.75" hidden="1" outlineLevel="1" thickBot="1" x14ac:dyDescent="0.3">
      <c r="E319" s="8" t="s">
        <v>27</v>
      </c>
      <c r="F319" s="9">
        <f t="shared" ref="F319:U319" si="494">SUM(F312:F318)</f>
        <v>0</v>
      </c>
      <c r="G319" s="9">
        <f t="shared" si="494"/>
        <v>0</v>
      </c>
      <c r="H319" s="9">
        <f t="shared" si="494"/>
        <v>0</v>
      </c>
      <c r="I319" s="11">
        <f t="shared" si="494"/>
        <v>0</v>
      </c>
      <c r="J319" s="11">
        <f t="shared" si="494"/>
        <v>0</v>
      </c>
      <c r="K319" s="11">
        <f t="shared" si="494"/>
        <v>0</v>
      </c>
      <c r="L319" s="11">
        <f t="shared" si="494"/>
        <v>0</v>
      </c>
      <c r="M319" s="18">
        <f t="shared" si="494"/>
        <v>0</v>
      </c>
      <c r="N319" s="11">
        <f t="shared" si="494"/>
        <v>0</v>
      </c>
      <c r="O319" s="11">
        <f t="shared" si="494"/>
        <v>0</v>
      </c>
      <c r="P319" s="11">
        <f t="shared" si="494"/>
        <v>0</v>
      </c>
      <c r="Q319" s="11">
        <f t="shared" si="494"/>
        <v>0</v>
      </c>
      <c r="R319" s="19">
        <f t="shared" si="494"/>
        <v>0</v>
      </c>
      <c r="S319" s="20">
        <f t="shared" si="494"/>
        <v>0</v>
      </c>
      <c r="T319" s="20">
        <f t="shared" si="494"/>
        <v>0</v>
      </c>
      <c r="U319" s="20">
        <f t="shared" si="494"/>
        <v>0</v>
      </c>
    </row>
    <row r="320" spans="2:36" ht="15.75" hidden="1" outlineLevel="1" thickTop="1" x14ac:dyDescent="0.25">
      <c r="M320" s="3"/>
    </row>
    <row r="321" spans="2:36" hidden="1" outlineLevel="1" x14ac:dyDescent="0.25">
      <c r="M321" s="3"/>
    </row>
    <row r="322" spans="2:36" hidden="1" outlineLevel="1" x14ac:dyDescent="0.25">
      <c r="M322" s="3"/>
    </row>
    <row r="323" spans="2:36" hidden="1" outlineLevel="1" x14ac:dyDescent="0.25">
      <c r="E323" s="4" t="s">
        <v>51</v>
      </c>
      <c r="W323" s="4" t="s">
        <v>51</v>
      </c>
    </row>
    <row r="324" spans="2:36" hidden="1" outlineLevel="1" x14ac:dyDescent="0.25">
      <c r="E324" s="6" t="s">
        <v>25</v>
      </c>
      <c r="W324" s="61" t="s">
        <v>62</v>
      </c>
    </row>
    <row r="325" spans="2:36" hidden="1" outlineLevel="1" x14ac:dyDescent="0.25"/>
    <row r="326" spans="2:36" hidden="1" outlineLevel="1" x14ac:dyDescent="0.25">
      <c r="F326" s="12">
        <f>Inputs!$C$7</f>
        <v>2023</v>
      </c>
      <c r="G326" s="12">
        <f>Inputs!$C$8</f>
        <v>2024</v>
      </c>
      <c r="H326" s="12">
        <f>Inputs!$C$9</f>
        <v>2025</v>
      </c>
      <c r="I326" s="13" t="s">
        <v>1</v>
      </c>
      <c r="J326" s="13" t="s">
        <v>2</v>
      </c>
      <c r="K326" s="13" t="s">
        <v>3</v>
      </c>
      <c r="L326" s="13" t="s">
        <v>4</v>
      </c>
      <c r="M326" s="13">
        <f>Inputs!$C$10</f>
        <v>2026</v>
      </c>
      <c r="N326" s="14" t="s">
        <v>1</v>
      </c>
      <c r="O326" s="14" t="s">
        <v>2</v>
      </c>
      <c r="P326" s="14" t="s">
        <v>3</v>
      </c>
      <c r="Q326" s="14" t="s">
        <v>4</v>
      </c>
      <c r="R326" s="15">
        <f>Inputs!$C$11</f>
        <v>2027</v>
      </c>
      <c r="S326" s="16">
        <f>Inputs!$C$12</f>
        <v>2028</v>
      </c>
      <c r="T326" s="16">
        <f>Inputs!$C$13</f>
        <v>2029</v>
      </c>
      <c r="U326" s="16">
        <f>Inputs!$C$14</f>
        <v>2030</v>
      </c>
      <c r="X326" s="13" t="s">
        <v>1</v>
      </c>
      <c r="Y326" s="13" t="s">
        <v>2</v>
      </c>
      <c r="Z326" s="13" t="s">
        <v>3</v>
      </c>
      <c r="AA326" s="13" t="s">
        <v>4</v>
      </c>
      <c r="AB326" s="13">
        <f>Inputs!$C$10</f>
        <v>2026</v>
      </c>
      <c r="AC326" s="14" t="s">
        <v>1</v>
      </c>
      <c r="AD326" s="14" t="s">
        <v>2</v>
      </c>
      <c r="AE326" s="14" t="s">
        <v>3</v>
      </c>
      <c r="AF326" s="14" t="s">
        <v>4</v>
      </c>
      <c r="AG326" s="15">
        <f>Inputs!$C$11</f>
        <v>2027</v>
      </c>
      <c r="AH326" s="16">
        <f>Inputs!$C$12</f>
        <v>2028</v>
      </c>
      <c r="AI326" s="16">
        <f>Inputs!$C$13</f>
        <v>2029</v>
      </c>
      <c r="AJ326" s="16">
        <f>Inputs!$C$14</f>
        <v>2030</v>
      </c>
    </row>
    <row r="327" spans="2:36" hidden="1" outlineLevel="1" x14ac:dyDescent="0.25">
      <c r="F327" s="71" t="s">
        <v>63</v>
      </c>
      <c r="G327" s="71" t="s">
        <v>63</v>
      </c>
      <c r="H327" s="71" t="s">
        <v>63</v>
      </c>
      <c r="I327" s="71" t="s">
        <v>63</v>
      </c>
      <c r="J327" s="71" t="s">
        <v>63</v>
      </c>
      <c r="K327" s="71" t="s">
        <v>63</v>
      </c>
      <c r="L327" s="71" t="s">
        <v>63</v>
      </c>
      <c r="M327" s="71" t="s">
        <v>63</v>
      </c>
      <c r="N327" s="71" t="s">
        <v>63</v>
      </c>
      <c r="O327" s="71" t="s">
        <v>63</v>
      </c>
      <c r="P327" s="71" t="s">
        <v>63</v>
      </c>
      <c r="Q327" s="71" t="s">
        <v>63</v>
      </c>
      <c r="R327" s="71" t="s">
        <v>63</v>
      </c>
      <c r="S327" s="71" t="s">
        <v>63</v>
      </c>
      <c r="T327" s="71" t="s">
        <v>63</v>
      </c>
      <c r="U327" s="71" t="s">
        <v>63</v>
      </c>
      <c r="X327" s="63" t="s">
        <v>30</v>
      </c>
      <c r="Y327" s="63" t="s">
        <v>30</v>
      </c>
      <c r="Z327" s="63" t="s">
        <v>30</v>
      </c>
      <c r="AA327" s="63" t="s">
        <v>30</v>
      </c>
      <c r="AB327" s="62"/>
      <c r="AC327" s="63" t="s">
        <v>30</v>
      </c>
      <c r="AD327" s="63" t="s">
        <v>30</v>
      </c>
      <c r="AE327" s="63" t="s">
        <v>30</v>
      </c>
      <c r="AF327" s="63" t="s">
        <v>30</v>
      </c>
      <c r="AG327" s="62"/>
      <c r="AH327" s="63" t="s">
        <v>30</v>
      </c>
      <c r="AI327" s="63" t="s">
        <v>30</v>
      </c>
      <c r="AJ327" s="63" t="s">
        <v>30</v>
      </c>
    </row>
    <row r="328" spans="2:36" hidden="1" outlineLevel="1" x14ac:dyDescent="0.25">
      <c r="B328" s="229" t="s">
        <v>195</v>
      </c>
      <c r="C328" s="229" t="s">
        <v>195</v>
      </c>
      <c r="E328" s="78" t="s">
        <v>67</v>
      </c>
      <c r="F328" s="21">
        <f>F528</f>
        <v>0</v>
      </c>
      <c r="G328" s="21">
        <f t="shared" ref="G328:H328" si="495">G528</f>
        <v>0</v>
      </c>
      <c r="H328" s="21">
        <f t="shared" si="495"/>
        <v>0</v>
      </c>
      <c r="I328" s="10">
        <f>IF(X328="",I528,X328)</f>
        <v>0</v>
      </c>
      <c r="J328" s="10">
        <f t="shared" ref="J328:L328" si="496">IF(Y328="",J528,Y328)</f>
        <v>0</v>
      </c>
      <c r="K328" s="10">
        <f t="shared" si="496"/>
        <v>0</v>
      </c>
      <c r="L328" s="10">
        <f t="shared" si="496"/>
        <v>0</v>
      </c>
      <c r="M328" s="17">
        <f t="shared" ref="M328:M334" si="497">SUM(I328:L328)</f>
        <v>0</v>
      </c>
      <c r="N328" s="10">
        <f t="shared" ref="N328:Q328" si="498">IF(AC328="",N528,AC328)</f>
        <v>0</v>
      </c>
      <c r="O328" s="10">
        <f t="shared" si="498"/>
        <v>0</v>
      </c>
      <c r="P328" s="10">
        <f t="shared" si="498"/>
        <v>0</v>
      </c>
      <c r="Q328" s="10">
        <f t="shared" si="498"/>
        <v>0</v>
      </c>
      <c r="R328" s="22">
        <f t="shared" ref="R328:R334" si="499">SUM(N328:Q328)</f>
        <v>0</v>
      </c>
      <c r="S328" s="23">
        <f t="shared" ref="S328:U328" si="500">IF(AH328="",S528,AH328)</f>
        <v>0</v>
      </c>
      <c r="T328" s="23">
        <f t="shared" si="500"/>
        <v>0</v>
      </c>
      <c r="U328" s="23">
        <f t="shared" si="500"/>
        <v>0</v>
      </c>
      <c r="W328" s="79" t="str">
        <f>E328</f>
        <v>Product Line 1</v>
      </c>
      <c r="X328" s="64"/>
      <c r="Y328" s="64"/>
      <c r="Z328" s="64"/>
      <c r="AA328" s="64"/>
      <c r="AB328" s="60"/>
      <c r="AC328" s="64"/>
      <c r="AD328" s="64"/>
      <c r="AE328" s="64"/>
      <c r="AF328" s="64"/>
      <c r="AG328" s="60"/>
      <c r="AH328" s="64"/>
      <c r="AI328" s="64"/>
      <c r="AJ328" s="64"/>
    </row>
    <row r="329" spans="2:36" hidden="1" outlineLevel="1" x14ac:dyDescent="0.25">
      <c r="B329" s="229" t="s">
        <v>195</v>
      </c>
      <c r="C329" s="229" t="s">
        <v>195</v>
      </c>
      <c r="E329" s="78" t="s">
        <v>68</v>
      </c>
      <c r="F329" s="21">
        <f t="shared" ref="F329:H329" si="501">F529</f>
        <v>0</v>
      </c>
      <c r="G329" s="21">
        <f t="shared" si="501"/>
        <v>0</v>
      </c>
      <c r="H329" s="21">
        <f t="shared" si="501"/>
        <v>0</v>
      </c>
      <c r="I329" s="10">
        <f t="shared" ref="I329:L329" si="502">IF(X329="",I529,X329)</f>
        <v>0</v>
      </c>
      <c r="J329" s="10">
        <f t="shared" si="502"/>
        <v>0</v>
      </c>
      <c r="K329" s="10">
        <f t="shared" si="502"/>
        <v>0</v>
      </c>
      <c r="L329" s="10">
        <f t="shared" si="502"/>
        <v>0</v>
      </c>
      <c r="M329" s="17">
        <f t="shared" si="497"/>
        <v>0</v>
      </c>
      <c r="N329" s="10">
        <f t="shared" ref="N329:Q329" si="503">IF(AC329="",N529,AC329)</f>
        <v>0</v>
      </c>
      <c r="O329" s="10">
        <f t="shared" si="503"/>
        <v>0</v>
      </c>
      <c r="P329" s="10">
        <f t="shared" si="503"/>
        <v>0</v>
      </c>
      <c r="Q329" s="10">
        <f t="shared" si="503"/>
        <v>0</v>
      </c>
      <c r="R329" s="22">
        <f t="shared" si="499"/>
        <v>0</v>
      </c>
      <c r="S329" s="23">
        <f t="shared" ref="S329:U329" si="504">IF(AH329="",S529,AH329)</f>
        <v>0</v>
      </c>
      <c r="T329" s="23">
        <f t="shared" si="504"/>
        <v>0</v>
      </c>
      <c r="U329" s="23">
        <f t="shared" si="504"/>
        <v>0</v>
      </c>
      <c r="W329" s="79" t="str">
        <f t="shared" ref="W329:W334" si="505">E329</f>
        <v>Product Line 2</v>
      </c>
      <c r="X329" s="64"/>
      <c r="Y329" s="64"/>
      <c r="Z329" s="64"/>
      <c r="AA329" s="64"/>
      <c r="AB329" s="60"/>
      <c r="AC329" s="64"/>
      <c r="AD329" s="64"/>
      <c r="AE329" s="64"/>
      <c r="AF329" s="64"/>
      <c r="AG329" s="60"/>
      <c r="AH329" s="64"/>
      <c r="AI329" s="64"/>
      <c r="AJ329" s="64"/>
    </row>
    <row r="330" spans="2:36" hidden="1" outlineLevel="1" x14ac:dyDescent="0.25">
      <c r="B330" s="229" t="s">
        <v>195</v>
      </c>
      <c r="C330" s="229" t="s">
        <v>195</v>
      </c>
      <c r="E330" s="78" t="s">
        <v>69</v>
      </c>
      <c r="F330" s="21">
        <f t="shared" ref="F330:H330" si="506">F530</f>
        <v>0</v>
      </c>
      <c r="G330" s="21">
        <f t="shared" si="506"/>
        <v>0</v>
      </c>
      <c r="H330" s="21">
        <f t="shared" si="506"/>
        <v>0</v>
      </c>
      <c r="I330" s="10">
        <f t="shared" ref="I330:L330" si="507">IF(X330="",I530,X330)</f>
        <v>0</v>
      </c>
      <c r="J330" s="10">
        <f t="shared" si="507"/>
        <v>0</v>
      </c>
      <c r="K330" s="10">
        <f t="shared" si="507"/>
        <v>0</v>
      </c>
      <c r="L330" s="10">
        <f t="shared" si="507"/>
        <v>0</v>
      </c>
      <c r="M330" s="17">
        <f t="shared" si="497"/>
        <v>0</v>
      </c>
      <c r="N330" s="10">
        <f t="shared" ref="N330:Q330" si="508">IF(AC330="",N530,AC330)</f>
        <v>0</v>
      </c>
      <c r="O330" s="10">
        <f t="shared" si="508"/>
        <v>0</v>
      </c>
      <c r="P330" s="10">
        <f t="shared" si="508"/>
        <v>0</v>
      </c>
      <c r="Q330" s="10">
        <f t="shared" si="508"/>
        <v>0</v>
      </c>
      <c r="R330" s="22">
        <f t="shared" si="499"/>
        <v>0</v>
      </c>
      <c r="S330" s="23">
        <f t="shared" ref="S330:U330" si="509">IF(AH330="",S530,AH330)</f>
        <v>0</v>
      </c>
      <c r="T330" s="23">
        <f t="shared" si="509"/>
        <v>0</v>
      </c>
      <c r="U330" s="23">
        <f t="shared" si="509"/>
        <v>0</v>
      </c>
      <c r="W330" s="79" t="str">
        <f t="shared" si="505"/>
        <v>Product Line 3</v>
      </c>
      <c r="X330" s="64"/>
      <c r="Y330" s="64"/>
      <c r="Z330" s="64"/>
      <c r="AA330" s="64"/>
      <c r="AB330" s="60"/>
      <c r="AC330" s="64"/>
      <c r="AD330" s="64"/>
      <c r="AE330" s="64"/>
      <c r="AF330" s="64"/>
      <c r="AG330" s="60"/>
      <c r="AH330" s="64"/>
      <c r="AI330" s="64"/>
      <c r="AJ330" s="64"/>
    </row>
    <row r="331" spans="2:36" hidden="1" outlineLevel="1" x14ac:dyDescent="0.25">
      <c r="B331" s="229" t="s">
        <v>195</v>
      </c>
      <c r="C331" s="229" t="s">
        <v>195</v>
      </c>
      <c r="E331" s="78" t="s">
        <v>70</v>
      </c>
      <c r="F331" s="21">
        <f t="shared" ref="F331:H331" si="510">F531</f>
        <v>0</v>
      </c>
      <c r="G331" s="21">
        <f t="shared" si="510"/>
        <v>0</v>
      </c>
      <c r="H331" s="21">
        <f t="shared" si="510"/>
        <v>0</v>
      </c>
      <c r="I331" s="10">
        <f t="shared" ref="I331:L331" si="511">IF(X331="",I531,X331)</f>
        <v>0</v>
      </c>
      <c r="J331" s="10">
        <f t="shared" si="511"/>
        <v>0</v>
      </c>
      <c r="K331" s="10">
        <f t="shared" si="511"/>
        <v>0</v>
      </c>
      <c r="L331" s="10">
        <f t="shared" si="511"/>
        <v>0</v>
      </c>
      <c r="M331" s="17">
        <f t="shared" si="497"/>
        <v>0</v>
      </c>
      <c r="N331" s="10">
        <f t="shared" ref="N331:Q331" si="512">IF(AC331="",N531,AC331)</f>
        <v>0</v>
      </c>
      <c r="O331" s="10">
        <f t="shared" si="512"/>
        <v>0</v>
      </c>
      <c r="P331" s="10">
        <f t="shared" si="512"/>
        <v>0</v>
      </c>
      <c r="Q331" s="10">
        <f t="shared" si="512"/>
        <v>0</v>
      </c>
      <c r="R331" s="22">
        <f t="shared" si="499"/>
        <v>0</v>
      </c>
      <c r="S331" s="23">
        <f t="shared" ref="S331:U331" si="513">IF(AH331="",S531,AH331)</f>
        <v>0</v>
      </c>
      <c r="T331" s="23">
        <f t="shared" si="513"/>
        <v>0</v>
      </c>
      <c r="U331" s="23">
        <f t="shared" si="513"/>
        <v>0</v>
      </c>
      <c r="W331" s="79" t="str">
        <f t="shared" si="505"/>
        <v>Product Line 4</v>
      </c>
      <c r="X331" s="64"/>
      <c r="Y331" s="64"/>
      <c r="Z331" s="64"/>
      <c r="AA331" s="64"/>
      <c r="AB331" s="60"/>
      <c r="AC331" s="64"/>
      <c r="AD331" s="64"/>
      <c r="AE331" s="64"/>
      <c r="AF331" s="64"/>
      <c r="AG331" s="60"/>
      <c r="AH331" s="64"/>
      <c r="AI331" s="64"/>
      <c r="AJ331" s="64"/>
    </row>
    <row r="332" spans="2:36" hidden="1" outlineLevel="1" x14ac:dyDescent="0.25">
      <c r="B332" s="229" t="s">
        <v>195</v>
      </c>
      <c r="C332" s="229" t="s">
        <v>195</v>
      </c>
      <c r="E332" s="78" t="s">
        <v>71</v>
      </c>
      <c r="F332" s="21">
        <f t="shared" ref="F332:H332" si="514">F532</f>
        <v>0</v>
      </c>
      <c r="G332" s="21">
        <f t="shared" si="514"/>
        <v>0</v>
      </c>
      <c r="H332" s="21">
        <f t="shared" si="514"/>
        <v>0</v>
      </c>
      <c r="I332" s="10">
        <f t="shared" ref="I332:L332" si="515">IF(X332="",I532,X332)</f>
        <v>0</v>
      </c>
      <c r="J332" s="10">
        <f t="shared" si="515"/>
        <v>0</v>
      </c>
      <c r="K332" s="10">
        <f t="shared" si="515"/>
        <v>0</v>
      </c>
      <c r="L332" s="10">
        <f t="shared" si="515"/>
        <v>0</v>
      </c>
      <c r="M332" s="17">
        <f t="shared" si="497"/>
        <v>0</v>
      </c>
      <c r="N332" s="10">
        <f t="shared" ref="N332:Q332" si="516">IF(AC332="",N532,AC332)</f>
        <v>0</v>
      </c>
      <c r="O332" s="10">
        <f t="shared" si="516"/>
        <v>0</v>
      </c>
      <c r="P332" s="10">
        <f t="shared" si="516"/>
        <v>0</v>
      </c>
      <c r="Q332" s="10">
        <f t="shared" si="516"/>
        <v>0</v>
      </c>
      <c r="R332" s="22">
        <f t="shared" si="499"/>
        <v>0</v>
      </c>
      <c r="S332" s="23">
        <f t="shared" ref="S332:U332" si="517">IF(AH332="",S532,AH332)</f>
        <v>0</v>
      </c>
      <c r="T332" s="23">
        <f t="shared" si="517"/>
        <v>0</v>
      </c>
      <c r="U332" s="23">
        <f t="shared" si="517"/>
        <v>0</v>
      </c>
      <c r="W332" s="79" t="str">
        <f t="shared" si="505"/>
        <v>Product Line 5</v>
      </c>
      <c r="X332" s="64"/>
      <c r="Y332" s="64"/>
      <c r="Z332" s="64"/>
      <c r="AA332" s="64"/>
      <c r="AB332" s="60"/>
      <c r="AC332" s="64"/>
      <c r="AD332" s="64"/>
      <c r="AE332" s="64"/>
      <c r="AF332" s="64"/>
      <c r="AG332" s="60"/>
      <c r="AH332" s="64"/>
      <c r="AI332" s="64"/>
      <c r="AJ332" s="64"/>
    </row>
    <row r="333" spans="2:36" hidden="1" outlineLevel="1" x14ac:dyDescent="0.25">
      <c r="B333" s="229" t="s">
        <v>195</v>
      </c>
      <c r="C333" s="229" t="s">
        <v>195</v>
      </c>
      <c r="E333" s="78" t="s">
        <v>72</v>
      </c>
      <c r="F333" s="21">
        <f t="shared" ref="F333:H333" si="518">F533</f>
        <v>0</v>
      </c>
      <c r="G333" s="21">
        <f t="shared" si="518"/>
        <v>0</v>
      </c>
      <c r="H333" s="21">
        <f t="shared" si="518"/>
        <v>0</v>
      </c>
      <c r="I333" s="10">
        <f t="shared" ref="I333:L333" si="519">IF(X333="",I533,X333)</f>
        <v>0</v>
      </c>
      <c r="J333" s="10">
        <f t="shared" si="519"/>
        <v>0</v>
      </c>
      <c r="K333" s="10">
        <f t="shared" si="519"/>
        <v>0</v>
      </c>
      <c r="L333" s="10">
        <f t="shared" si="519"/>
        <v>0</v>
      </c>
      <c r="M333" s="17">
        <f t="shared" si="497"/>
        <v>0</v>
      </c>
      <c r="N333" s="10">
        <f t="shared" ref="N333:Q333" si="520">IF(AC333="",N533,AC333)</f>
        <v>0</v>
      </c>
      <c r="O333" s="10">
        <f t="shared" si="520"/>
        <v>0</v>
      </c>
      <c r="P333" s="10">
        <f t="shared" si="520"/>
        <v>0</v>
      </c>
      <c r="Q333" s="10">
        <f t="shared" si="520"/>
        <v>0</v>
      </c>
      <c r="R333" s="22">
        <f t="shared" si="499"/>
        <v>0</v>
      </c>
      <c r="S333" s="23">
        <f t="shared" ref="S333:U333" si="521">IF(AH333="",S533,AH333)</f>
        <v>0</v>
      </c>
      <c r="T333" s="23">
        <f t="shared" si="521"/>
        <v>0</v>
      </c>
      <c r="U333" s="23">
        <f t="shared" si="521"/>
        <v>0</v>
      </c>
      <c r="W333" s="79" t="str">
        <f t="shared" si="505"/>
        <v>Product Line 6</v>
      </c>
      <c r="X333" s="64"/>
      <c r="Y333" s="64"/>
      <c r="Z333" s="64"/>
      <c r="AA333" s="64"/>
      <c r="AB333" s="60"/>
      <c r="AC333" s="64"/>
      <c r="AD333" s="64"/>
      <c r="AE333" s="64"/>
      <c r="AF333" s="64"/>
      <c r="AG333" s="60"/>
      <c r="AH333" s="64"/>
      <c r="AI333" s="64"/>
      <c r="AJ333" s="64"/>
    </row>
    <row r="334" spans="2:36" hidden="1" outlineLevel="1" x14ac:dyDescent="0.25">
      <c r="B334" s="229" t="s">
        <v>195</v>
      </c>
      <c r="C334" s="229" t="s">
        <v>195</v>
      </c>
      <c r="E334" s="78" t="s">
        <v>73</v>
      </c>
      <c r="F334" s="21">
        <f t="shared" ref="F334:H334" si="522">F534</f>
        <v>0</v>
      </c>
      <c r="G334" s="21">
        <f t="shared" si="522"/>
        <v>0</v>
      </c>
      <c r="H334" s="21">
        <f t="shared" si="522"/>
        <v>0</v>
      </c>
      <c r="I334" s="10">
        <f t="shared" ref="I334:L334" si="523">IF(X334="",I534,X334)</f>
        <v>0</v>
      </c>
      <c r="J334" s="10">
        <f t="shared" si="523"/>
        <v>0</v>
      </c>
      <c r="K334" s="10">
        <f t="shared" si="523"/>
        <v>0</v>
      </c>
      <c r="L334" s="10">
        <f t="shared" si="523"/>
        <v>0</v>
      </c>
      <c r="M334" s="17">
        <f t="shared" si="497"/>
        <v>0</v>
      </c>
      <c r="N334" s="10">
        <f t="shared" ref="N334:Q334" si="524">IF(AC334="",N534,AC334)</f>
        <v>0</v>
      </c>
      <c r="O334" s="10">
        <f t="shared" si="524"/>
        <v>0</v>
      </c>
      <c r="P334" s="10">
        <f t="shared" si="524"/>
        <v>0</v>
      </c>
      <c r="Q334" s="10">
        <f t="shared" si="524"/>
        <v>0</v>
      </c>
      <c r="R334" s="22">
        <f t="shared" si="499"/>
        <v>0</v>
      </c>
      <c r="S334" s="23">
        <f t="shared" ref="S334:U334" si="525">IF(AH334="",S534,AH334)</f>
        <v>0</v>
      </c>
      <c r="T334" s="23">
        <f t="shared" si="525"/>
        <v>0</v>
      </c>
      <c r="U334" s="23">
        <f t="shared" si="525"/>
        <v>0</v>
      </c>
      <c r="W334" s="79" t="str">
        <f t="shared" si="505"/>
        <v>Product Line 7</v>
      </c>
      <c r="X334" s="64"/>
      <c r="Y334" s="64"/>
      <c r="Z334" s="64"/>
      <c r="AA334" s="64"/>
      <c r="AB334" s="60"/>
      <c r="AC334" s="64"/>
      <c r="AD334" s="64"/>
      <c r="AE334" s="64"/>
      <c r="AF334" s="64"/>
      <c r="AG334" s="60"/>
      <c r="AH334" s="64"/>
      <c r="AI334" s="64"/>
      <c r="AJ334" s="64"/>
    </row>
    <row r="335" spans="2:36" ht="15.75" hidden="1" outlineLevel="1" thickBot="1" x14ac:dyDescent="0.3">
      <c r="E335" s="8" t="s">
        <v>27</v>
      </c>
      <c r="F335" s="9">
        <f t="shared" ref="F335:U335" si="526">SUM(F328:F334)</f>
        <v>0</v>
      </c>
      <c r="G335" s="9">
        <f t="shared" si="526"/>
        <v>0</v>
      </c>
      <c r="H335" s="9">
        <f t="shared" si="526"/>
        <v>0</v>
      </c>
      <c r="I335" s="11">
        <f t="shared" si="526"/>
        <v>0</v>
      </c>
      <c r="J335" s="11">
        <f t="shared" si="526"/>
        <v>0</v>
      </c>
      <c r="K335" s="11">
        <f t="shared" si="526"/>
        <v>0</v>
      </c>
      <c r="L335" s="11">
        <f t="shared" si="526"/>
        <v>0</v>
      </c>
      <c r="M335" s="18">
        <f t="shared" si="526"/>
        <v>0</v>
      </c>
      <c r="N335" s="11">
        <f t="shared" si="526"/>
        <v>0</v>
      </c>
      <c r="O335" s="11">
        <f t="shared" si="526"/>
        <v>0</v>
      </c>
      <c r="P335" s="11">
        <f t="shared" si="526"/>
        <v>0</v>
      </c>
      <c r="Q335" s="11">
        <f t="shared" si="526"/>
        <v>0</v>
      </c>
      <c r="R335" s="19">
        <f t="shared" si="526"/>
        <v>0</v>
      </c>
      <c r="S335" s="20">
        <f t="shared" si="526"/>
        <v>0</v>
      </c>
      <c r="T335" s="20">
        <f t="shared" si="526"/>
        <v>0</v>
      </c>
      <c r="U335" s="20">
        <f t="shared" si="526"/>
        <v>0</v>
      </c>
    </row>
    <row r="336" spans="2:36" ht="15.75" hidden="1" outlineLevel="1" thickTop="1" x14ac:dyDescent="0.25"/>
    <row r="337" spans="2:36" hidden="1" outlineLevel="1" x14ac:dyDescent="0.25"/>
    <row r="338" spans="2:36" hidden="1" outlineLevel="1" x14ac:dyDescent="0.25"/>
    <row r="339" spans="2:36" hidden="1" outlineLevel="1" x14ac:dyDescent="0.25">
      <c r="E339" s="4" t="s">
        <v>52</v>
      </c>
      <c r="W339" s="4" t="s">
        <v>52</v>
      </c>
    </row>
    <row r="340" spans="2:36" hidden="1" outlineLevel="1" x14ac:dyDescent="0.25">
      <c r="E340" s="6" t="s">
        <v>25</v>
      </c>
      <c r="W340" s="61" t="s">
        <v>62</v>
      </c>
    </row>
    <row r="341" spans="2:36" hidden="1" outlineLevel="1" x14ac:dyDescent="0.25"/>
    <row r="342" spans="2:36" hidden="1" outlineLevel="1" x14ac:dyDescent="0.25">
      <c r="F342" s="12">
        <f>Inputs!$C$7</f>
        <v>2023</v>
      </c>
      <c r="G342" s="12">
        <f>Inputs!$C$8</f>
        <v>2024</v>
      </c>
      <c r="H342" s="12">
        <f>Inputs!$C$9</f>
        <v>2025</v>
      </c>
      <c r="I342" s="13" t="s">
        <v>1</v>
      </c>
      <c r="J342" s="13" t="s">
        <v>2</v>
      </c>
      <c r="K342" s="13" t="s">
        <v>3</v>
      </c>
      <c r="L342" s="13" t="s">
        <v>4</v>
      </c>
      <c r="M342" s="13">
        <f>Inputs!$C$10</f>
        <v>2026</v>
      </c>
      <c r="N342" s="14" t="s">
        <v>1</v>
      </c>
      <c r="O342" s="14" t="s">
        <v>2</v>
      </c>
      <c r="P342" s="14" t="s">
        <v>3</v>
      </c>
      <c r="Q342" s="14" t="s">
        <v>4</v>
      </c>
      <c r="R342" s="15">
        <f>Inputs!$C$11</f>
        <v>2027</v>
      </c>
      <c r="S342" s="16">
        <f>Inputs!$C$12</f>
        <v>2028</v>
      </c>
      <c r="T342" s="16">
        <f>Inputs!$C$13</f>
        <v>2029</v>
      </c>
      <c r="U342" s="16">
        <f>Inputs!$C$14</f>
        <v>2030</v>
      </c>
      <c r="X342" s="13" t="s">
        <v>1</v>
      </c>
      <c r="Y342" s="13" t="s">
        <v>2</v>
      </c>
      <c r="Z342" s="13" t="s">
        <v>3</v>
      </c>
      <c r="AA342" s="13" t="s">
        <v>4</v>
      </c>
      <c r="AB342" s="13">
        <f>Inputs!$C$10</f>
        <v>2026</v>
      </c>
      <c r="AC342" s="14" t="s">
        <v>1</v>
      </c>
      <c r="AD342" s="14" t="s">
        <v>2</v>
      </c>
      <c r="AE342" s="14" t="s">
        <v>3</v>
      </c>
      <c r="AF342" s="14" t="s">
        <v>4</v>
      </c>
      <c r="AG342" s="15">
        <f>Inputs!$C$11</f>
        <v>2027</v>
      </c>
      <c r="AH342" s="16">
        <f>Inputs!$C$12</f>
        <v>2028</v>
      </c>
      <c r="AI342" s="16">
        <f>Inputs!$C$13</f>
        <v>2029</v>
      </c>
      <c r="AJ342" s="16">
        <f>Inputs!$C$14</f>
        <v>2030</v>
      </c>
    </row>
    <row r="343" spans="2:36" hidden="1" outlineLevel="1" x14ac:dyDescent="0.25">
      <c r="F343" s="71" t="s">
        <v>63</v>
      </c>
      <c r="G343" s="71" t="s">
        <v>63</v>
      </c>
      <c r="H343" s="71" t="s">
        <v>63</v>
      </c>
      <c r="I343" s="71" t="s">
        <v>63</v>
      </c>
      <c r="J343" s="71" t="s">
        <v>63</v>
      </c>
      <c r="K343" s="71" t="s">
        <v>63</v>
      </c>
      <c r="L343" s="71" t="s">
        <v>63</v>
      </c>
      <c r="M343" s="71" t="s">
        <v>63</v>
      </c>
      <c r="N343" s="71" t="s">
        <v>63</v>
      </c>
      <c r="O343" s="71" t="s">
        <v>63</v>
      </c>
      <c r="P343" s="71" t="s">
        <v>63</v>
      </c>
      <c r="Q343" s="71" t="s">
        <v>63</v>
      </c>
      <c r="R343" s="71" t="s">
        <v>63</v>
      </c>
      <c r="S343" s="71" t="s">
        <v>63</v>
      </c>
      <c r="T343" s="71" t="s">
        <v>63</v>
      </c>
      <c r="U343" s="71" t="s">
        <v>63</v>
      </c>
      <c r="X343" s="63" t="s">
        <v>30</v>
      </c>
      <c r="Y343" s="63" t="s">
        <v>30</v>
      </c>
      <c r="Z343" s="63" t="s">
        <v>30</v>
      </c>
      <c r="AA343" s="63" t="s">
        <v>30</v>
      </c>
      <c r="AB343" s="62"/>
      <c r="AC343" s="63" t="s">
        <v>30</v>
      </c>
      <c r="AD343" s="63" t="s">
        <v>30</v>
      </c>
      <c r="AE343" s="63" t="s">
        <v>30</v>
      </c>
      <c r="AF343" s="63" t="s">
        <v>30</v>
      </c>
      <c r="AG343" s="62"/>
      <c r="AH343" s="63" t="s">
        <v>30</v>
      </c>
      <c r="AI343" s="63" t="s">
        <v>30</v>
      </c>
      <c r="AJ343" s="63" t="s">
        <v>30</v>
      </c>
    </row>
    <row r="344" spans="2:36" hidden="1" outlineLevel="1" x14ac:dyDescent="0.25">
      <c r="B344" s="229" t="s">
        <v>195</v>
      </c>
      <c r="C344" s="229" t="s">
        <v>195</v>
      </c>
      <c r="E344" s="78" t="s">
        <v>67</v>
      </c>
      <c r="F344" s="21">
        <f>F544</f>
        <v>0</v>
      </c>
      <c r="G344" s="21">
        <f t="shared" ref="G344:H344" si="527">G544</f>
        <v>0</v>
      </c>
      <c r="H344" s="21">
        <f t="shared" si="527"/>
        <v>0</v>
      </c>
      <c r="I344" s="10">
        <f>IF(X344="",I544,X344)</f>
        <v>0</v>
      </c>
      <c r="J344" s="10">
        <f t="shared" ref="J344:L344" si="528">IF(Y344="",J544,Y344)</f>
        <v>0</v>
      </c>
      <c r="K344" s="10">
        <f t="shared" si="528"/>
        <v>0</v>
      </c>
      <c r="L344" s="10">
        <f t="shared" si="528"/>
        <v>0</v>
      </c>
      <c r="M344" s="17">
        <f t="shared" ref="M344:M350" si="529">SUM(I344:L344)</f>
        <v>0</v>
      </c>
      <c r="N344" s="10">
        <f t="shared" ref="N344:Q344" si="530">IF(AC344="",N544,AC344)</f>
        <v>0</v>
      </c>
      <c r="O344" s="10">
        <f t="shared" si="530"/>
        <v>0</v>
      </c>
      <c r="P344" s="10">
        <f t="shared" si="530"/>
        <v>0</v>
      </c>
      <c r="Q344" s="10">
        <f t="shared" si="530"/>
        <v>0</v>
      </c>
      <c r="R344" s="22">
        <f t="shared" ref="R344:R350" si="531">SUM(N344:Q344)</f>
        <v>0</v>
      </c>
      <c r="S344" s="23">
        <f t="shared" ref="S344:U344" si="532">IF(AH344="",S544,AH344)</f>
        <v>0</v>
      </c>
      <c r="T344" s="23">
        <f t="shared" si="532"/>
        <v>0</v>
      </c>
      <c r="U344" s="23">
        <f t="shared" si="532"/>
        <v>0</v>
      </c>
      <c r="W344" s="79" t="str">
        <f>E344</f>
        <v>Product Line 1</v>
      </c>
      <c r="X344" s="64"/>
      <c r="Y344" s="64"/>
      <c r="Z344" s="64"/>
      <c r="AA344" s="64"/>
      <c r="AB344" s="60"/>
      <c r="AC344" s="64"/>
      <c r="AD344" s="64"/>
      <c r="AE344" s="64"/>
      <c r="AF344" s="64"/>
      <c r="AG344" s="60"/>
      <c r="AH344" s="64"/>
      <c r="AI344" s="64"/>
      <c r="AJ344" s="64"/>
    </row>
    <row r="345" spans="2:36" hidden="1" outlineLevel="1" x14ac:dyDescent="0.25">
      <c r="B345" s="229" t="s">
        <v>195</v>
      </c>
      <c r="C345" s="229" t="s">
        <v>195</v>
      </c>
      <c r="E345" s="78" t="s">
        <v>68</v>
      </c>
      <c r="F345" s="21">
        <f t="shared" ref="F345:H345" si="533">F545</f>
        <v>0</v>
      </c>
      <c r="G345" s="21">
        <f t="shared" si="533"/>
        <v>0</v>
      </c>
      <c r="H345" s="21">
        <f t="shared" si="533"/>
        <v>0</v>
      </c>
      <c r="I345" s="10">
        <f t="shared" ref="I345:L345" si="534">IF(X345="",I545,X345)</f>
        <v>0</v>
      </c>
      <c r="J345" s="10">
        <f t="shared" si="534"/>
        <v>0</v>
      </c>
      <c r="K345" s="10">
        <f t="shared" si="534"/>
        <v>0</v>
      </c>
      <c r="L345" s="10">
        <f t="shared" si="534"/>
        <v>0</v>
      </c>
      <c r="M345" s="17">
        <f t="shared" si="529"/>
        <v>0</v>
      </c>
      <c r="N345" s="10">
        <f t="shared" ref="N345:Q345" si="535">IF(AC345="",N545,AC345)</f>
        <v>0</v>
      </c>
      <c r="O345" s="10">
        <f t="shared" si="535"/>
        <v>0</v>
      </c>
      <c r="P345" s="10">
        <f t="shared" si="535"/>
        <v>0</v>
      </c>
      <c r="Q345" s="10">
        <f t="shared" si="535"/>
        <v>0</v>
      </c>
      <c r="R345" s="22">
        <f t="shared" si="531"/>
        <v>0</v>
      </c>
      <c r="S345" s="23">
        <f t="shared" ref="S345:U345" si="536">IF(AH345="",S545,AH345)</f>
        <v>0</v>
      </c>
      <c r="T345" s="23">
        <f t="shared" si="536"/>
        <v>0</v>
      </c>
      <c r="U345" s="23">
        <f t="shared" si="536"/>
        <v>0</v>
      </c>
      <c r="W345" s="79" t="str">
        <f t="shared" ref="W345:W350" si="537">E345</f>
        <v>Product Line 2</v>
      </c>
      <c r="X345" s="64"/>
      <c r="Y345" s="64"/>
      <c r="Z345" s="64"/>
      <c r="AA345" s="64"/>
      <c r="AB345" s="60"/>
      <c r="AC345" s="64"/>
      <c r="AD345" s="64"/>
      <c r="AE345" s="64"/>
      <c r="AF345" s="64"/>
      <c r="AG345" s="60"/>
      <c r="AH345" s="64"/>
      <c r="AI345" s="64"/>
      <c r="AJ345" s="64"/>
    </row>
    <row r="346" spans="2:36" hidden="1" outlineLevel="1" x14ac:dyDescent="0.25">
      <c r="B346" s="229" t="s">
        <v>195</v>
      </c>
      <c r="C346" s="229" t="s">
        <v>195</v>
      </c>
      <c r="E346" s="78" t="s">
        <v>69</v>
      </c>
      <c r="F346" s="21">
        <f t="shared" ref="F346:H346" si="538">F546</f>
        <v>0</v>
      </c>
      <c r="G346" s="21">
        <f t="shared" si="538"/>
        <v>0</v>
      </c>
      <c r="H346" s="21">
        <f t="shared" si="538"/>
        <v>0</v>
      </c>
      <c r="I346" s="10">
        <f t="shared" ref="I346:L346" si="539">IF(X346="",I546,X346)</f>
        <v>0</v>
      </c>
      <c r="J346" s="10">
        <f t="shared" si="539"/>
        <v>0</v>
      </c>
      <c r="K346" s="10">
        <f t="shared" si="539"/>
        <v>0</v>
      </c>
      <c r="L346" s="10">
        <f t="shared" si="539"/>
        <v>0</v>
      </c>
      <c r="M346" s="17">
        <f t="shared" si="529"/>
        <v>0</v>
      </c>
      <c r="N346" s="10">
        <f t="shared" ref="N346:Q346" si="540">IF(AC346="",N546,AC346)</f>
        <v>0</v>
      </c>
      <c r="O346" s="10">
        <f t="shared" si="540"/>
        <v>0</v>
      </c>
      <c r="P346" s="10">
        <f t="shared" si="540"/>
        <v>0</v>
      </c>
      <c r="Q346" s="10">
        <f t="shared" si="540"/>
        <v>0</v>
      </c>
      <c r="R346" s="22">
        <f t="shared" si="531"/>
        <v>0</v>
      </c>
      <c r="S346" s="23">
        <f t="shared" ref="S346:U346" si="541">IF(AH346="",S546,AH346)</f>
        <v>0</v>
      </c>
      <c r="T346" s="23">
        <f t="shared" si="541"/>
        <v>0</v>
      </c>
      <c r="U346" s="23">
        <f t="shared" si="541"/>
        <v>0</v>
      </c>
      <c r="W346" s="79" t="str">
        <f t="shared" si="537"/>
        <v>Product Line 3</v>
      </c>
      <c r="X346" s="64"/>
      <c r="Y346" s="64"/>
      <c r="Z346" s="64"/>
      <c r="AA346" s="64"/>
      <c r="AB346" s="60"/>
      <c r="AC346" s="64"/>
      <c r="AD346" s="64"/>
      <c r="AE346" s="64"/>
      <c r="AF346" s="64"/>
      <c r="AG346" s="60"/>
      <c r="AH346" s="64"/>
      <c r="AI346" s="64"/>
      <c r="AJ346" s="64"/>
    </row>
    <row r="347" spans="2:36" hidden="1" outlineLevel="1" x14ac:dyDescent="0.25">
      <c r="B347" s="229" t="s">
        <v>195</v>
      </c>
      <c r="C347" s="229" t="s">
        <v>195</v>
      </c>
      <c r="E347" s="78" t="s">
        <v>70</v>
      </c>
      <c r="F347" s="21">
        <f t="shared" ref="F347:H347" si="542">F547</f>
        <v>0</v>
      </c>
      <c r="G347" s="21">
        <f t="shared" si="542"/>
        <v>0</v>
      </c>
      <c r="H347" s="21">
        <f t="shared" si="542"/>
        <v>0</v>
      </c>
      <c r="I347" s="10">
        <f t="shared" ref="I347:L347" si="543">IF(X347="",I547,X347)</f>
        <v>0</v>
      </c>
      <c r="J347" s="10">
        <f t="shared" si="543"/>
        <v>0</v>
      </c>
      <c r="K347" s="10">
        <f t="shared" si="543"/>
        <v>0</v>
      </c>
      <c r="L347" s="10">
        <f t="shared" si="543"/>
        <v>0</v>
      </c>
      <c r="M347" s="17">
        <f t="shared" si="529"/>
        <v>0</v>
      </c>
      <c r="N347" s="10">
        <f t="shared" ref="N347:Q347" si="544">IF(AC347="",N547,AC347)</f>
        <v>0</v>
      </c>
      <c r="O347" s="10">
        <f t="shared" si="544"/>
        <v>0</v>
      </c>
      <c r="P347" s="10">
        <f t="shared" si="544"/>
        <v>0</v>
      </c>
      <c r="Q347" s="10">
        <f t="shared" si="544"/>
        <v>0</v>
      </c>
      <c r="R347" s="22">
        <f t="shared" si="531"/>
        <v>0</v>
      </c>
      <c r="S347" s="23">
        <f t="shared" ref="S347:U347" si="545">IF(AH347="",S547,AH347)</f>
        <v>0</v>
      </c>
      <c r="T347" s="23">
        <f t="shared" si="545"/>
        <v>0</v>
      </c>
      <c r="U347" s="23">
        <f t="shared" si="545"/>
        <v>0</v>
      </c>
      <c r="W347" s="79" t="str">
        <f t="shared" si="537"/>
        <v>Product Line 4</v>
      </c>
      <c r="X347" s="64"/>
      <c r="Y347" s="64"/>
      <c r="Z347" s="64"/>
      <c r="AA347" s="64"/>
      <c r="AB347" s="60"/>
      <c r="AC347" s="64"/>
      <c r="AD347" s="64"/>
      <c r="AE347" s="64"/>
      <c r="AF347" s="64"/>
      <c r="AG347" s="60"/>
      <c r="AH347" s="64"/>
      <c r="AI347" s="64"/>
      <c r="AJ347" s="64"/>
    </row>
    <row r="348" spans="2:36" hidden="1" outlineLevel="1" x14ac:dyDescent="0.25">
      <c r="B348" s="229" t="s">
        <v>195</v>
      </c>
      <c r="C348" s="229" t="s">
        <v>195</v>
      </c>
      <c r="E348" s="78" t="s">
        <v>71</v>
      </c>
      <c r="F348" s="21">
        <f t="shared" ref="F348:H348" si="546">F548</f>
        <v>0</v>
      </c>
      <c r="G348" s="21">
        <f t="shared" si="546"/>
        <v>0</v>
      </c>
      <c r="H348" s="21">
        <f t="shared" si="546"/>
        <v>0</v>
      </c>
      <c r="I348" s="10">
        <f t="shared" ref="I348:L348" si="547">IF(X348="",I548,X348)</f>
        <v>0</v>
      </c>
      <c r="J348" s="10">
        <f t="shared" si="547"/>
        <v>0</v>
      </c>
      <c r="K348" s="10">
        <f t="shared" si="547"/>
        <v>0</v>
      </c>
      <c r="L348" s="10">
        <f t="shared" si="547"/>
        <v>0</v>
      </c>
      <c r="M348" s="17">
        <f t="shared" si="529"/>
        <v>0</v>
      </c>
      <c r="N348" s="10">
        <f t="shared" ref="N348:Q348" si="548">IF(AC348="",N548,AC348)</f>
        <v>0</v>
      </c>
      <c r="O348" s="10">
        <f t="shared" si="548"/>
        <v>0</v>
      </c>
      <c r="P348" s="10">
        <f t="shared" si="548"/>
        <v>0</v>
      </c>
      <c r="Q348" s="10">
        <f t="shared" si="548"/>
        <v>0</v>
      </c>
      <c r="R348" s="22">
        <f t="shared" si="531"/>
        <v>0</v>
      </c>
      <c r="S348" s="23">
        <f t="shared" ref="S348:U348" si="549">IF(AH348="",S548,AH348)</f>
        <v>0</v>
      </c>
      <c r="T348" s="23">
        <f t="shared" si="549"/>
        <v>0</v>
      </c>
      <c r="U348" s="23">
        <f t="shared" si="549"/>
        <v>0</v>
      </c>
      <c r="W348" s="79" t="str">
        <f t="shared" si="537"/>
        <v>Product Line 5</v>
      </c>
      <c r="X348" s="64"/>
      <c r="Y348" s="64"/>
      <c r="Z348" s="64"/>
      <c r="AA348" s="64"/>
      <c r="AB348" s="60"/>
      <c r="AC348" s="64"/>
      <c r="AD348" s="64"/>
      <c r="AE348" s="64"/>
      <c r="AF348" s="64"/>
      <c r="AG348" s="60"/>
      <c r="AH348" s="64"/>
      <c r="AI348" s="64"/>
      <c r="AJ348" s="64"/>
    </row>
    <row r="349" spans="2:36" hidden="1" outlineLevel="1" x14ac:dyDescent="0.25">
      <c r="B349" s="229" t="s">
        <v>195</v>
      </c>
      <c r="C349" s="229" t="s">
        <v>195</v>
      </c>
      <c r="E349" s="78" t="s">
        <v>72</v>
      </c>
      <c r="F349" s="21">
        <f t="shared" ref="F349:H349" si="550">F549</f>
        <v>0</v>
      </c>
      <c r="G349" s="21">
        <f t="shared" si="550"/>
        <v>0</v>
      </c>
      <c r="H349" s="21">
        <f t="shared" si="550"/>
        <v>0</v>
      </c>
      <c r="I349" s="10">
        <f t="shared" ref="I349:L349" si="551">IF(X349="",I549,X349)</f>
        <v>0</v>
      </c>
      <c r="J349" s="10">
        <f t="shared" si="551"/>
        <v>0</v>
      </c>
      <c r="K349" s="10">
        <f t="shared" si="551"/>
        <v>0</v>
      </c>
      <c r="L349" s="10">
        <f t="shared" si="551"/>
        <v>0</v>
      </c>
      <c r="M349" s="17">
        <f t="shared" si="529"/>
        <v>0</v>
      </c>
      <c r="N349" s="10">
        <f t="shared" ref="N349:Q349" si="552">IF(AC349="",N549,AC349)</f>
        <v>0</v>
      </c>
      <c r="O349" s="10">
        <f t="shared" si="552"/>
        <v>0</v>
      </c>
      <c r="P349" s="10">
        <f t="shared" si="552"/>
        <v>0</v>
      </c>
      <c r="Q349" s="10">
        <f t="shared" si="552"/>
        <v>0</v>
      </c>
      <c r="R349" s="22">
        <f t="shared" si="531"/>
        <v>0</v>
      </c>
      <c r="S349" s="23">
        <f t="shared" ref="S349:U349" si="553">IF(AH349="",S549,AH349)</f>
        <v>0</v>
      </c>
      <c r="T349" s="23">
        <f t="shared" si="553"/>
        <v>0</v>
      </c>
      <c r="U349" s="23">
        <f t="shared" si="553"/>
        <v>0</v>
      </c>
      <c r="W349" s="79" t="str">
        <f t="shared" si="537"/>
        <v>Product Line 6</v>
      </c>
      <c r="X349" s="64"/>
      <c r="Y349" s="64"/>
      <c r="Z349" s="64"/>
      <c r="AA349" s="64"/>
      <c r="AB349" s="60"/>
      <c r="AC349" s="64"/>
      <c r="AD349" s="64"/>
      <c r="AE349" s="64"/>
      <c r="AF349" s="64"/>
      <c r="AG349" s="60"/>
      <c r="AH349" s="64"/>
      <c r="AI349" s="64"/>
      <c r="AJ349" s="64"/>
    </row>
    <row r="350" spans="2:36" hidden="1" outlineLevel="1" x14ac:dyDescent="0.25">
      <c r="B350" s="229" t="s">
        <v>195</v>
      </c>
      <c r="C350" s="229" t="s">
        <v>195</v>
      </c>
      <c r="E350" s="78" t="s">
        <v>73</v>
      </c>
      <c r="F350" s="21">
        <f t="shared" ref="F350:H350" si="554">F550</f>
        <v>0</v>
      </c>
      <c r="G350" s="21">
        <f t="shared" si="554"/>
        <v>0</v>
      </c>
      <c r="H350" s="21">
        <f t="shared" si="554"/>
        <v>0</v>
      </c>
      <c r="I350" s="10">
        <f t="shared" ref="I350:L350" si="555">IF(X350="",I550,X350)</f>
        <v>0</v>
      </c>
      <c r="J350" s="10">
        <f t="shared" si="555"/>
        <v>0</v>
      </c>
      <c r="K350" s="10">
        <f t="shared" si="555"/>
        <v>0</v>
      </c>
      <c r="L350" s="10">
        <f t="shared" si="555"/>
        <v>0</v>
      </c>
      <c r="M350" s="17">
        <f t="shared" si="529"/>
        <v>0</v>
      </c>
      <c r="N350" s="10">
        <f t="shared" ref="N350:Q350" si="556">IF(AC350="",N550,AC350)</f>
        <v>0</v>
      </c>
      <c r="O350" s="10">
        <f t="shared" si="556"/>
        <v>0</v>
      </c>
      <c r="P350" s="10">
        <f t="shared" si="556"/>
        <v>0</v>
      </c>
      <c r="Q350" s="10">
        <f t="shared" si="556"/>
        <v>0</v>
      </c>
      <c r="R350" s="22">
        <f t="shared" si="531"/>
        <v>0</v>
      </c>
      <c r="S350" s="23">
        <f t="shared" ref="S350:U350" si="557">IF(AH350="",S550,AH350)</f>
        <v>0</v>
      </c>
      <c r="T350" s="23">
        <f t="shared" si="557"/>
        <v>0</v>
      </c>
      <c r="U350" s="23">
        <f t="shared" si="557"/>
        <v>0</v>
      </c>
      <c r="W350" s="79" t="str">
        <f t="shared" si="537"/>
        <v>Product Line 7</v>
      </c>
      <c r="X350" s="64"/>
      <c r="Y350" s="64"/>
      <c r="Z350" s="64"/>
      <c r="AA350" s="64"/>
      <c r="AB350" s="60"/>
      <c r="AC350" s="64"/>
      <c r="AD350" s="64"/>
      <c r="AE350" s="64"/>
      <c r="AF350" s="64"/>
      <c r="AG350" s="60"/>
      <c r="AH350" s="64"/>
      <c r="AI350" s="64"/>
      <c r="AJ350" s="64"/>
    </row>
    <row r="351" spans="2:36" ht="15.75" hidden="1" outlineLevel="1" thickBot="1" x14ac:dyDescent="0.3">
      <c r="E351" s="8" t="s">
        <v>27</v>
      </c>
      <c r="F351" s="9">
        <f t="shared" ref="F351:U351" si="558">SUM(F344:F350)</f>
        <v>0</v>
      </c>
      <c r="G351" s="9">
        <f t="shared" si="558"/>
        <v>0</v>
      </c>
      <c r="H351" s="9">
        <f t="shared" si="558"/>
        <v>0</v>
      </c>
      <c r="I351" s="11">
        <f t="shared" si="558"/>
        <v>0</v>
      </c>
      <c r="J351" s="11">
        <f t="shared" si="558"/>
        <v>0</v>
      </c>
      <c r="K351" s="11">
        <f t="shared" si="558"/>
        <v>0</v>
      </c>
      <c r="L351" s="11">
        <f t="shared" si="558"/>
        <v>0</v>
      </c>
      <c r="M351" s="18">
        <f t="shared" si="558"/>
        <v>0</v>
      </c>
      <c r="N351" s="11">
        <f t="shared" si="558"/>
        <v>0</v>
      </c>
      <c r="O351" s="11">
        <f t="shared" si="558"/>
        <v>0</v>
      </c>
      <c r="P351" s="11">
        <f t="shared" si="558"/>
        <v>0</v>
      </c>
      <c r="Q351" s="11">
        <f t="shared" si="558"/>
        <v>0</v>
      </c>
      <c r="R351" s="19">
        <f t="shared" si="558"/>
        <v>0</v>
      </c>
      <c r="S351" s="20">
        <f t="shared" si="558"/>
        <v>0</v>
      </c>
      <c r="T351" s="20">
        <f t="shared" si="558"/>
        <v>0</v>
      </c>
      <c r="U351" s="20">
        <f t="shared" si="558"/>
        <v>0</v>
      </c>
    </row>
    <row r="352" spans="2:36" ht="15.75" hidden="1" outlineLevel="1" thickTop="1" x14ac:dyDescent="0.25"/>
    <row r="353" spans="2:36" hidden="1" outlineLevel="1" x14ac:dyDescent="0.25"/>
    <row r="354" spans="2:36" hidden="1" outlineLevel="1" x14ac:dyDescent="0.25"/>
    <row r="355" spans="2:36" hidden="1" outlineLevel="1" x14ac:dyDescent="0.25">
      <c r="E355" s="4" t="s">
        <v>53</v>
      </c>
      <c r="W355" s="4" t="s">
        <v>53</v>
      </c>
    </row>
    <row r="356" spans="2:36" hidden="1" outlineLevel="1" x14ac:dyDescent="0.25">
      <c r="E356" s="6" t="s">
        <v>25</v>
      </c>
      <c r="W356" s="61" t="s">
        <v>62</v>
      </c>
    </row>
    <row r="357" spans="2:36" hidden="1" outlineLevel="1" x14ac:dyDescent="0.25"/>
    <row r="358" spans="2:36" hidden="1" outlineLevel="1" x14ac:dyDescent="0.25">
      <c r="F358" s="12">
        <f>Inputs!$C$7</f>
        <v>2023</v>
      </c>
      <c r="G358" s="12">
        <f>Inputs!$C$8</f>
        <v>2024</v>
      </c>
      <c r="H358" s="12">
        <f>Inputs!$C$9</f>
        <v>2025</v>
      </c>
      <c r="I358" s="13" t="s">
        <v>1</v>
      </c>
      <c r="J358" s="13" t="s">
        <v>2</v>
      </c>
      <c r="K358" s="13" t="s">
        <v>3</v>
      </c>
      <c r="L358" s="13" t="s">
        <v>4</v>
      </c>
      <c r="M358" s="13">
        <f>Inputs!$C$10</f>
        <v>2026</v>
      </c>
      <c r="N358" s="14" t="s">
        <v>1</v>
      </c>
      <c r="O358" s="14" t="s">
        <v>2</v>
      </c>
      <c r="P358" s="14" t="s">
        <v>3</v>
      </c>
      <c r="Q358" s="14" t="s">
        <v>4</v>
      </c>
      <c r="R358" s="15">
        <f>Inputs!$C$11</f>
        <v>2027</v>
      </c>
      <c r="S358" s="16">
        <f>Inputs!$C$12</f>
        <v>2028</v>
      </c>
      <c r="T358" s="16">
        <f>Inputs!$C$13</f>
        <v>2029</v>
      </c>
      <c r="U358" s="16">
        <f>Inputs!$C$14</f>
        <v>2030</v>
      </c>
      <c r="X358" s="13" t="s">
        <v>1</v>
      </c>
      <c r="Y358" s="13" t="s">
        <v>2</v>
      </c>
      <c r="Z358" s="13" t="s">
        <v>3</v>
      </c>
      <c r="AA358" s="13" t="s">
        <v>4</v>
      </c>
      <c r="AB358" s="13">
        <f>Inputs!$C$10</f>
        <v>2026</v>
      </c>
      <c r="AC358" s="14" t="s">
        <v>1</v>
      </c>
      <c r="AD358" s="14" t="s">
        <v>2</v>
      </c>
      <c r="AE358" s="14" t="s">
        <v>3</v>
      </c>
      <c r="AF358" s="14" t="s">
        <v>4</v>
      </c>
      <c r="AG358" s="15">
        <f>Inputs!$C$11</f>
        <v>2027</v>
      </c>
      <c r="AH358" s="16">
        <f>Inputs!$C$12</f>
        <v>2028</v>
      </c>
      <c r="AI358" s="16">
        <f>Inputs!$C$13</f>
        <v>2029</v>
      </c>
      <c r="AJ358" s="16">
        <f>Inputs!$C$14</f>
        <v>2030</v>
      </c>
    </row>
    <row r="359" spans="2:36" hidden="1" outlineLevel="1" x14ac:dyDescent="0.25">
      <c r="F359" s="71" t="s">
        <v>63</v>
      </c>
      <c r="G359" s="71" t="s">
        <v>63</v>
      </c>
      <c r="H359" s="71" t="s">
        <v>63</v>
      </c>
      <c r="I359" s="71" t="s">
        <v>63</v>
      </c>
      <c r="J359" s="71" t="s">
        <v>63</v>
      </c>
      <c r="K359" s="71" t="s">
        <v>63</v>
      </c>
      <c r="L359" s="71" t="s">
        <v>63</v>
      </c>
      <c r="M359" s="71" t="s">
        <v>63</v>
      </c>
      <c r="N359" s="71" t="s">
        <v>63</v>
      </c>
      <c r="O359" s="71" t="s">
        <v>63</v>
      </c>
      <c r="P359" s="71" t="s">
        <v>63</v>
      </c>
      <c r="Q359" s="71" t="s">
        <v>63</v>
      </c>
      <c r="R359" s="71" t="s">
        <v>63</v>
      </c>
      <c r="S359" s="71" t="s">
        <v>63</v>
      </c>
      <c r="T359" s="71" t="s">
        <v>63</v>
      </c>
      <c r="U359" s="71" t="s">
        <v>63</v>
      </c>
      <c r="X359" s="63" t="s">
        <v>30</v>
      </c>
      <c r="Y359" s="63" t="s">
        <v>30</v>
      </c>
      <c r="Z359" s="63" t="s">
        <v>30</v>
      </c>
      <c r="AA359" s="63" t="s">
        <v>30</v>
      </c>
      <c r="AB359" s="62"/>
      <c r="AC359" s="63" t="s">
        <v>30</v>
      </c>
      <c r="AD359" s="63" t="s">
        <v>30</v>
      </c>
      <c r="AE359" s="63" t="s">
        <v>30</v>
      </c>
      <c r="AF359" s="63" t="s">
        <v>30</v>
      </c>
      <c r="AG359" s="62"/>
      <c r="AH359" s="63" t="s">
        <v>30</v>
      </c>
      <c r="AI359" s="63" t="s">
        <v>30</v>
      </c>
      <c r="AJ359" s="63" t="s">
        <v>30</v>
      </c>
    </row>
    <row r="360" spans="2:36" hidden="1" outlineLevel="1" x14ac:dyDescent="0.25">
      <c r="B360" s="229" t="s">
        <v>195</v>
      </c>
      <c r="C360" s="229" t="s">
        <v>195</v>
      </c>
      <c r="E360" s="78" t="s">
        <v>67</v>
      </c>
      <c r="F360" s="21">
        <f>F560</f>
        <v>0</v>
      </c>
      <c r="G360" s="21">
        <f t="shared" ref="G360:H360" si="559">G560</f>
        <v>0</v>
      </c>
      <c r="H360" s="21">
        <f t="shared" si="559"/>
        <v>0</v>
      </c>
      <c r="I360" s="10">
        <f>IF(X360="",I560,X360)</f>
        <v>0</v>
      </c>
      <c r="J360" s="10">
        <f t="shared" ref="J360:L360" si="560">IF(Y360="",J560,Y360)</f>
        <v>0</v>
      </c>
      <c r="K360" s="10">
        <f t="shared" si="560"/>
        <v>0</v>
      </c>
      <c r="L360" s="10">
        <f t="shared" si="560"/>
        <v>0</v>
      </c>
      <c r="M360" s="17">
        <f t="shared" ref="M360:M366" si="561">SUM(I360:L360)</f>
        <v>0</v>
      </c>
      <c r="N360" s="10">
        <f>IF(AC360="",N560,AC360)</f>
        <v>0</v>
      </c>
      <c r="O360" s="10">
        <f t="shared" ref="O360:Q360" si="562">IF(AD360="",O560,AD360)</f>
        <v>0</v>
      </c>
      <c r="P360" s="10">
        <f t="shared" si="562"/>
        <v>0</v>
      </c>
      <c r="Q360" s="10">
        <f t="shared" si="562"/>
        <v>0</v>
      </c>
      <c r="R360" s="22">
        <f t="shared" ref="R360:R366" si="563">M360*(1-R336)</f>
        <v>0</v>
      </c>
      <c r="S360" s="23">
        <f>IF(AH360="",S560,AH360)</f>
        <v>0</v>
      </c>
      <c r="T360" s="23">
        <f t="shared" ref="T360:U360" si="564">IF(AI360="",T560,AI360)</f>
        <v>0</v>
      </c>
      <c r="U360" s="23">
        <f t="shared" si="564"/>
        <v>0</v>
      </c>
      <c r="W360" s="79" t="str">
        <f>E360</f>
        <v>Product Line 1</v>
      </c>
      <c r="X360" s="64"/>
      <c r="Y360" s="64"/>
      <c r="Z360" s="64"/>
      <c r="AA360" s="64"/>
      <c r="AB360" s="60"/>
      <c r="AC360" s="64"/>
      <c r="AD360" s="64"/>
      <c r="AE360" s="64"/>
      <c r="AF360" s="64"/>
      <c r="AG360" s="60"/>
      <c r="AH360" s="64"/>
      <c r="AI360" s="64"/>
      <c r="AJ360" s="64"/>
    </row>
    <row r="361" spans="2:36" hidden="1" outlineLevel="1" x14ac:dyDescent="0.25">
      <c r="B361" s="229" t="s">
        <v>195</v>
      </c>
      <c r="C361" s="229" t="s">
        <v>195</v>
      </c>
      <c r="E361" s="78" t="s">
        <v>68</v>
      </c>
      <c r="F361" s="21">
        <f t="shared" ref="F361:H361" si="565">F561</f>
        <v>0</v>
      </c>
      <c r="G361" s="21">
        <f t="shared" si="565"/>
        <v>0</v>
      </c>
      <c r="H361" s="21">
        <f t="shared" si="565"/>
        <v>0</v>
      </c>
      <c r="I361" s="10">
        <f t="shared" ref="I361:L361" si="566">IF(X361="",I561,X361)</f>
        <v>0</v>
      </c>
      <c r="J361" s="10">
        <f t="shared" si="566"/>
        <v>0</v>
      </c>
      <c r="K361" s="10">
        <f t="shared" si="566"/>
        <v>0</v>
      </c>
      <c r="L361" s="10">
        <f t="shared" si="566"/>
        <v>0</v>
      </c>
      <c r="M361" s="17">
        <f t="shared" si="561"/>
        <v>0</v>
      </c>
      <c r="N361" s="10">
        <f t="shared" ref="N361:Q361" si="567">IF(AC361="",N561,AC361)</f>
        <v>0</v>
      </c>
      <c r="O361" s="10">
        <f t="shared" si="567"/>
        <v>0</v>
      </c>
      <c r="P361" s="10">
        <f t="shared" si="567"/>
        <v>0</v>
      </c>
      <c r="Q361" s="10">
        <f t="shared" si="567"/>
        <v>0</v>
      </c>
      <c r="R361" s="22">
        <f t="shared" si="563"/>
        <v>0</v>
      </c>
      <c r="S361" s="23">
        <f t="shared" ref="S361:U361" si="568">IF(AH361="",S561,AH361)</f>
        <v>0</v>
      </c>
      <c r="T361" s="23">
        <f t="shared" si="568"/>
        <v>0</v>
      </c>
      <c r="U361" s="23">
        <f t="shared" si="568"/>
        <v>0</v>
      </c>
      <c r="W361" s="79" t="str">
        <f t="shared" ref="W361:W366" si="569">E361</f>
        <v>Product Line 2</v>
      </c>
      <c r="X361" s="64"/>
      <c r="Y361" s="64"/>
      <c r="Z361" s="64"/>
      <c r="AA361" s="64"/>
      <c r="AB361" s="60"/>
      <c r="AC361" s="64"/>
      <c r="AD361" s="64"/>
      <c r="AE361" s="64"/>
      <c r="AF361" s="64"/>
      <c r="AG361" s="60"/>
      <c r="AH361" s="64"/>
      <c r="AI361" s="64"/>
      <c r="AJ361" s="64"/>
    </row>
    <row r="362" spans="2:36" hidden="1" outlineLevel="1" x14ac:dyDescent="0.25">
      <c r="B362" s="229" t="s">
        <v>195</v>
      </c>
      <c r="C362" s="229" t="s">
        <v>195</v>
      </c>
      <c r="E362" s="78" t="s">
        <v>69</v>
      </c>
      <c r="F362" s="21">
        <f t="shared" ref="F362:H362" si="570">F562</f>
        <v>0</v>
      </c>
      <c r="G362" s="21">
        <f t="shared" si="570"/>
        <v>0</v>
      </c>
      <c r="H362" s="21">
        <f t="shared" si="570"/>
        <v>0</v>
      </c>
      <c r="I362" s="10">
        <f t="shared" ref="I362:L362" si="571">IF(X362="",I562,X362)</f>
        <v>0</v>
      </c>
      <c r="J362" s="10">
        <f t="shared" si="571"/>
        <v>0</v>
      </c>
      <c r="K362" s="10">
        <f t="shared" si="571"/>
        <v>0</v>
      </c>
      <c r="L362" s="10">
        <f t="shared" si="571"/>
        <v>0</v>
      </c>
      <c r="M362" s="17">
        <f t="shared" si="561"/>
        <v>0</v>
      </c>
      <c r="N362" s="10">
        <f t="shared" ref="N362:Q362" si="572">IF(AC362="",N562,AC362)</f>
        <v>0</v>
      </c>
      <c r="O362" s="10">
        <f t="shared" si="572"/>
        <v>0</v>
      </c>
      <c r="P362" s="10">
        <f t="shared" si="572"/>
        <v>0</v>
      </c>
      <c r="Q362" s="10">
        <f t="shared" si="572"/>
        <v>0</v>
      </c>
      <c r="R362" s="22">
        <f t="shared" si="563"/>
        <v>0</v>
      </c>
      <c r="S362" s="23">
        <f t="shared" ref="S362:U362" si="573">IF(AH362="",S562,AH362)</f>
        <v>0</v>
      </c>
      <c r="T362" s="23">
        <f t="shared" si="573"/>
        <v>0</v>
      </c>
      <c r="U362" s="23">
        <f t="shared" si="573"/>
        <v>0</v>
      </c>
      <c r="W362" s="79" t="str">
        <f t="shared" si="569"/>
        <v>Product Line 3</v>
      </c>
      <c r="X362" s="64"/>
      <c r="Y362" s="64"/>
      <c r="Z362" s="64"/>
      <c r="AA362" s="64"/>
      <c r="AB362" s="60"/>
      <c r="AC362" s="64"/>
      <c r="AD362" s="64"/>
      <c r="AE362" s="64"/>
      <c r="AF362" s="64"/>
      <c r="AG362" s="60"/>
      <c r="AH362" s="64"/>
      <c r="AI362" s="64"/>
      <c r="AJ362" s="64"/>
    </row>
    <row r="363" spans="2:36" hidden="1" outlineLevel="1" x14ac:dyDescent="0.25">
      <c r="B363" s="229" t="s">
        <v>195</v>
      </c>
      <c r="C363" s="229" t="s">
        <v>195</v>
      </c>
      <c r="E363" s="78" t="s">
        <v>70</v>
      </c>
      <c r="F363" s="21">
        <f t="shared" ref="F363:H363" si="574">F563</f>
        <v>0</v>
      </c>
      <c r="G363" s="21">
        <f t="shared" si="574"/>
        <v>0</v>
      </c>
      <c r="H363" s="21">
        <f t="shared" si="574"/>
        <v>0</v>
      </c>
      <c r="I363" s="10">
        <f t="shared" ref="I363:L363" si="575">IF(X363="",I563,X363)</f>
        <v>0</v>
      </c>
      <c r="J363" s="10">
        <f t="shared" si="575"/>
        <v>0</v>
      </c>
      <c r="K363" s="10">
        <f t="shared" si="575"/>
        <v>0</v>
      </c>
      <c r="L363" s="10">
        <f t="shared" si="575"/>
        <v>0</v>
      </c>
      <c r="M363" s="17">
        <f t="shared" si="561"/>
        <v>0</v>
      </c>
      <c r="N363" s="10">
        <f t="shared" ref="N363:Q363" si="576">IF(AC363="",N563,AC363)</f>
        <v>0</v>
      </c>
      <c r="O363" s="10">
        <f t="shared" si="576"/>
        <v>0</v>
      </c>
      <c r="P363" s="10">
        <f t="shared" si="576"/>
        <v>0</v>
      </c>
      <c r="Q363" s="10">
        <f t="shared" si="576"/>
        <v>0</v>
      </c>
      <c r="R363" s="22">
        <f t="shared" si="563"/>
        <v>0</v>
      </c>
      <c r="S363" s="23">
        <f t="shared" ref="S363:U363" si="577">IF(AH363="",S563,AH363)</f>
        <v>0</v>
      </c>
      <c r="T363" s="23">
        <f t="shared" si="577"/>
        <v>0</v>
      </c>
      <c r="U363" s="23">
        <f t="shared" si="577"/>
        <v>0</v>
      </c>
      <c r="W363" s="79" t="str">
        <f t="shared" si="569"/>
        <v>Product Line 4</v>
      </c>
      <c r="X363" s="64"/>
      <c r="Y363" s="64"/>
      <c r="Z363" s="64"/>
      <c r="AA363" s="64"/>
      <c r="AB363" s="60"/>
      <c r="AC363" s="64"/>
      <c r="AD363" s="64"/>
      <c r="AE363" s="64"/>
      <c r="AF363" s="64"/>
      <c r="AG363" s="60"/>
      <c r="AH363" s="64"/>
      <c r="AI363" s="64"/>
      <c r="AJ363" s="64"/>
    </row>
    <row r="364" spans="2:36" hidden="1" outlineLevel="1" x14ac:dyDescent="0.25">
      <c r="B364" s="229" t="s">
        <v>195</v>
      </c>
      <c r="C364" s="229" t="s">
        <v>195</v>
      </c>
      <c r="E364" s="78" t="s">
        <v>71</v>
      </c>
      <c r="F364" s="21">
        <f t="shared" ref="F364:H364" si="578">F564</f>
        <v>0</v>
      </c>
      <c r="G364" s="21">
        <f t="shared" si="578"/>
        <v>0</v>
      </c>
      <c r="H364" s="21">
        <f t="shared" si="578"/>
        <v>0</v>
      </c>
      <c r="I364" s="10">
        <f t="shared" ref="I364:L364" si="579">IF(X364="",I564,X364)</f>
        <v>0</v>
      </c>
      <c r="J364" s="10">
        <f t="shared" si="579"/>
        <v>0</v>
      </c>
      <c r="K364" s="10">
        <f t="shared" si="579"/>
        <v>0</v>
      </c>
      <c r="L364" s="10">
        <f t="shared" si="579"/>
        <v>0</v>
      </c>
      <c r="M364" s="17">
        <f t="shared" si="561"/>
        <v>0</v>
      </c>
      <c r="N364" s="10">
        <f t="shared" ref="N364:Q364" si="580">IF(AC364="",N564,AC364)</f>
        <v>0</v>
      </c>
      <c r="O364" s="10">
        <f t="shared" si="580"/>
        <v>0</v>
      </c>
      <c r="P364" s="10">
        <f t="shared" si="580"/>
        <v>0</v>
      </c>
      <c r="Q364" s="10">
        <f t="shared" si="580"/>
        <v>0</v>
      </c>
      <c r="R364" s="22">
        <f t="shared" si="563"/>
        <v>0</v>
      </c>
      <c r="S364" s="23">
        <f t="shared" ref="S364:U364" si="581">IF(AH364="",S564,AH364)</f>
        <v>0</v>
      </c>
      <c r="T364" s="23">
        <f t="shared" si="581"/>
        <v>0</v>
      </c>
      <c r="U364" s="23">
        <f t="shared" si="581"/>
        <v>0</v>
      </c>
      <c r="W364" s="79" t="str">
        <f t="shared" si="569"/>
        <v>Product Line 5</v>
      </c>
      <c r="X364" s="64"/>
      <c r="Y364" s="64"/>
      <c r="Z364" s="64"/>
      <c r="AA364" s="64"/>
      <c r="AB364" s="60"/>
      <c r="AC364" s="64"/>
      <c r="AD364" s="64"/>
      <c r="AE364" s="64"/>
      <c r="AF364" s="64"/>
      <c r="AG364" s="60"/>
      <c r="AH364" s="64"/>
      <c r="AI364" s="64"/>
      <c r="AJ364" s="64"/>
    </row>
    <row r="365" spans="2:36" hidden="1" outlineLevel="1" x14ac:dyDescent="0.25">
      <c r="B365" s="229" t="s">
        <v>195</v>
      </c>
      <c r="C365" s="229" t="s">
        <v>195</v>
      </c>
      <c r="E365" s="78" t="s">
        <v>72</v>
      </c>
      <c r="F365" s="21">
        <f t="shared" ref="F365:H365" si="582">F565</f>
        <v>0</v>
      </c>
      <c r="G365" s="21">
        <f t="shared" si="582"/>
        <v>0</v>
      </c>
      <c r="H365" s="21">
        <f t="shared" si="582"/>
        <v>0</v>
      </c>
      <c r="I365" s="10">
        <f t="shared" ref="I365:L365" si="583">IF(X365="",I565,X365)</f>
        <v>0</v>
      </c>
      <c r="J365" s="10">
        <f t="shared" si="583"/>
        <v>0</v>
      </c>
      <c r="K365" s="10">
        <f t="shared" si="583"/>
        <v>0</v>
      </c>
      <c r="L365" s="10">
        <f t="shared" si="583"/>
        <v>0</v>
      </c>
      <c r="M365" s="17">
        <f t="shared" si="561"/>
        <v>0</v>
      </c>
      <c r="N365" s="10">
        <f t="shared" ref="N365:Q365" si="584">IF(AC365="",N565,AC365)</f>
        <v>0</v>
      </c>
      <c r="O365" s="10">
        <f t="shared" si="584"/>
        <v>0</v>
      </c>
      <c r="P365" s="10">
        <f t="shared" si="584"/>
        <v>0</v>
      </c>
      <c r="Q365" s="10">
        <f t="shared" si="584"/>
        <v>0</v>
      </c>
      <c r="R365" s="22">
        <f t="shared" si="563"/>
        <v>0</v>
      </c>
      <c r="S365" s="23">
        <f t="shared" ref="S365:U365" si="585">IF(AH365="",S565,AH365)</f>
        <v>0</v>
      </c>
      <c r="T365" s="23">
        <f t="shared" si="585"/>
        <v>0</v>
      </c>
      <c r="U365" s="23">
        <f t="shared" si="585"/>
        <v>0</v>
      </c>
      <c r="W365" s="79" t="str">
        <f t="shared" si="569"/>
        <v>Product Line 6</v>
      </c>
      <c r="X365" s="64"/>
      <c r="Y365" s="64"/>
      <c r="Z365" s="64"/>
      <c r="AA365" s="64"/>
      <c r="AB365" s="60"/>
      <c r="AC365" s="64"/>
      <c r="AD365" s="64"/>
      <c r="AE365" s="64"/>
      <c r="AF365" s="64"/>
      <c r="AG365" s="60"/>
      <c r="AH365" s="64"/>
      <c r="AI365" s="64"/>
      <c r="AJ365" s="64"/>
    </row>
    <row r="366" spans="2:36" hidden="1" outlineLevel="1" x14ac:dyDescent="0.25">
      <c r="B366" s="229" t="s">
        <v>195</v>
      </c>
      <c r="C366" s="229" t="s">
        <v>195</v>
      </c>
      <c r="E366" s="78" t="s">
        <v>73</v>
      </c>
      <c r="F366" s="21">
        <f t="shared" ref="F366:H366" si="586">F566</f>
        <v>0</v>
      </c>
      <c r="G366" s="21">
        <f t="shared" si="586"/>
        <v>0</v>
      </c>
      <c r="H366" s="21">
        <f t="shared" si="586"/>
        <v>0</v>
      </c>
      <c r="I366" s="10">
        <f t="shared" ref="I366:L366" si="587">IF(X366="",I566,X366)</f>
        <v>0</v>
      </c>
      <c r="J366" s="10">
        <f t="shared" si="587"/>
        <v>0</v>
      </c>
      <c r="K366" s="10">
        <f t="shared" si="587"/>
        <v>0</v>
      </c>
      <c r="L366" s="10">
        <f t="shared" si="587"/>
        <v>0</v>
      </c>
      <c r="M366" s="17">
        <f t="shared" si="561"/>
        <v>0</v>
      </c>
      <c r="N366" s="10">
        <f t="shared" ref="N366:Q366" si="588">IF(AC366="",N566,AC366)</f>
        <v>0</v>
      </c>
      <c r="O366" s="10">
        <f t="shared" si="588"/>
        <v>0</v>
      </c>
      <c r="P366" s="10">
        <f t="shared" si="588"/>
        <v>0</v>
      </c>
      <c r="Q366" s="10">
        <f t="shared" si="588"/>
        <v>0</v>
      </c>
      <c r="R366" s="22">
        <f t="shared" si="563"/>
        <v>0</v>
      </c>
      <c r="S366" s="23">
        <f t="shared" ref="S366:U366" si="589">IF(AH366="",S566,AH366)</f>
        <v>0</v>
      </c>
      <c r="T366" s="23">
        <f t="shared" si="589"/>
        <v>0</v>
      </c>
      <c r="U366" s="23">
        <f t="shared" si="589"/>
        <v>0</v>
      </c>
      <c r="W366" s="79" t="str">
        <f t="shared" si="569"/>
        <v>Product Line 7</v>
      </c>
      <c r="X366" s="64"/>
      <c r="Y366" s="64"/>
      <c r="Z366" s="64"/>
      <c r="AA366" s="64"/>
      <c r="AB366" s="60"/>
      <c r="AC366" s="64"/>
      <c r="AD366" s="64"/>
      <c r="AE366" s="64"/>
      <c r="AF366" s="64"/>
      <c r="AG366" s="60"/>
      <c r="AH366" s="64"/>
      <c r="AI366" s="64"/>
      <c r="AJ366" s="64"/>
    </row>
    <row r="367" spans="2:36" ht="15.75" hidden="1" outlineLevel="1" thickBot="1" x14ac:dyDescent="0.3">
      <c r="E367" s="8" t="s">
        <v>27</v>
      </c>
      <c r="F367" s="9">
        <f t="shared" ref="F367:U367" si="590">SUM(F360:F366)</f>
        <v>0</v>
      </c>
      <c r="G367" s="9">
        <f t="shared" si="590"/>
        <v>0</v>
      </c>
      <c r="H367" s="9">
        <f t="shared" si="590"/>
        <v>0</v>
      </c>
      <c r="I367" s="11">
        <f t="shared" si="590"/>
        <v>0</v>
      </c>
      <c r="J367" s="11">
        <f t="shared" si="590"/>
        <v>0</v>
      </c>
      <c r="K367" s="11">
        <f t="shared" si="590"/>
        <v>0</v>
      </c>
      <c r="L367" s="11">
        <f t="shared" si="590"/>
        <v>0</v>
      </c>
      <c r="M367" s="18">
        <f t="shared" si="590"/>
        <v>0</v>
      </c>
      <c r="N367" s="11">
        <f t="shared" si="590"/>
        <v>0</v>
      </c>
      <c r="O367" s="11">
        <f t="shared" si="590"/>
        <v>0</v>
      </c>
      <c r="P367" s="11">
        <f t="shared" si="590"/>
        <v>0</v>
      </c>
      <c r="Q367" s="11">
        <f t="shared" si="590"/>
        <v>0</v>
      </c>
      <c r="R367" s="19">
        <f t="shared" si="590"/>
        <v>0</v>
      </c>
      <c r="S367" s="20">
        <f t="shared" si="590"/>
        <v>0</v>
      </c>
      <c r="T367" s="20">
        <f t="shared" si="590"/>
        <v>0</v>
      </c>
      <c r="U367" s="20">
        <f t="shared" si="590"/>
        <v>0</v>
      </c>
    </row>
    <row r="368" spans="2:36" ht="15.75" hidden="1" outlineLevel="1" thickTop="1" x14ac:dyDescent="0.25"/>
    <row r="369" spans="2:21" hidden="1" outlineLevel="1" x14ac:dyDescent="0.25"/>
    <row r="370" spans="2:21" hidden="1" outlineLevel="1" x14ac:dyDescent="0.25"/>
    <row r="371" spans="2:21" hidden="1" outlineLevel="1" x14ac:dyDescent="0.25">
      <c r="E371" s="4" t="s">
        <v>24</v>
      </c>
    </row>
    <row r="372" spans="2:21" hidden="1" outlineLevel="1" x14ac:dyDescent="0.25">
      <c r="E372" s="6" t="s">
        <v>25</v>
      </c>
    </row>
    <row r="373" spans="2:21" hidden="1" outlineLevel="1" x14ac:dyDescent="0.25"/>
    <row r="374" spans="2:21" hidden="1" outlineLevel="1" x14ac:dyDescent="0.25">
      <c r="F374" s="12">
        <f>Inputs!$C$7</f>
        <v>2023</v>
      </c>
      <c r="G374" s="12">
        <f>Inputs!$C$8</f>
        <v>2024</v>
      </c>
      <c r="H374" s="12">
        <f>Inputs!$C$9</f>
        <v>2025</v>
      </c>
      <c r="I374" s="13" t="s">
        <v>1</v>
      </c>
      <c r="J374" s="13" t="s">
        <v>2</v>
      </c>
      <c r="K374" s="13" t="s">
        <v>3</v>
      </c>
      <c r="L374" s="13" t="s">
        <v>4</v>
      </c>
      <c r="M374" s="13">
        <f>Inputs!$C$10</f>
        <v>2026</v>
      </c>
      <c r="N374" s="14" t="s">
        <v>1</v>
      </c>
      <c r="O374" s="14" t="s">
        <v>2</v>
      </c>
      <c r="P374" s="14" t="s">
        <v>3</v>
      </c>
      <c r="Q374" s="14" t="s">
        <v>4</v>
      </c>
      <c r="R374" s="15">
        <f>Inputs!$C$11</f>
        <v>2027</v>
      </c>
      <c r="S374" s="16">
        <f>Inputs!$C$12</f>
        <v>2028</v>
      </c>
      <c r="T374" s="16">
        <f>Inputs!$C$13</f>
        <v>2029</v>
      </c>
      <c r="U374" s="16">
        <f>Inputs!$C$14</f>
        <v>2030</v>
      </c>
    </row>
    <row r="375" spans="2:21" hidden="1" outlineLevel="1" x14ac:dyDescent="0.25">
      <c r="F375" s="71" t="s">
        <v>63</v>
      </c>
      <c r="G375" s="71" t="s">
        <v>63</v>
      </c>
      <c r="H375" s="71" t="s">
        <v>63</v>
      </c>
      <c r="I375" s="71" t="s">
        <v>63</v>
      </c>
      <c r="J375" s="71" t="s">
        <v>63</v>
      </c>
      <c r="K375" s="71" t="s">
        <v>63</v>
      </c>
      <c r="L375" s="71" t="s">
        <v>63</v>
      </c>
      <c r="M375" s="71" t="s">
        <v>63</v>
      </c>
      <c r="N375" s="71" t="s">
        <v>63</v>
      </c>
      <c r="O375" s="71" t="s">
        <v>63</v>
      </c>
      <c r="P375" s="71" t="s">
        <v>63</v>
      </c>
      <c r="Q375" s="71" t="s">
        <v>63</v>
      </c>
      <c r="R375" s="71" t="s">
        <v>63</v>
      </c>
      <c r="S375" s="71" t="s">
        <v>63</v>
      </c>
      <c r="T375" s="71" t="s">
        <v>63</v>
      </c>
      <c r="U375" s="71" t="s">
        <v>63</v>
      </c>
    </row>
    <row r="376" spans="2:21" hidden="1" outlineLevel="1" x14ac:dyDescent="0.25">
      <c r="B376" s="229" t="s">
        <v>195</v>
      </c>
      <c r="C376" s="229" t="s">
        <v>195</v>
      </c>
      <c r="E376" s="78" t="s">
        <v>67</v>
      </c>
      <c r="F376" s="21">
        <f>F576</f>
        <v>0</v>
      </c>
      <c r="G376" s="21">
        <f t="shared" ref="G376:H376" si="591">G576</f>
        <v>0</v>
      </c>
      <c r="H376" s="21">
        <f t="shared" si="591"/>
        <v>0</v>
      </c>
      <c r="I376" s="10">
        <f>IF(X392="",I312*I592,I312*X392)</f>
        <v>0</v>
      </c>
      <c r="J376" s="10">
        <f t="shared" ref="J376:L376" si="592">IF(Y392="",J312*J592,J312*Y392)</f>
        <v>0</v>
      </c>
      <c r="K376" s="10">
        <f t="shared" si="592"/>
        <v>0</v>
      </c>
      <c r="L376" s="10">
        <f t="shared" si="592"/>
        <v>0</v>
      </c>
      <c r="M376" s="17">
        <f t="shared" ref="M376:M382" si="593">SUM(I376:L376)</f>
        <v>0</v>
      </c>
      <c r="N376" s="10">
        <f t="shared" ref="N376:Q376" si="594">IF(AC392="",N312*N592,N312*AC392)</f>
        <v>0</v>
      </c>
      <c r="O376" s="10">
        <f t="shared" si="594"/>
        <v>0</v>
      </c>
      <c r="P376" s="10">
        <f t="shared" si="594"/>
        <v>0</v>
      </c>
      <c r="Q376" s="10">
        <f t="shared" si="594"/>
        <v>0</v>
      </c>
      <c r="R376" s="22">
        <f t="shared" ref="R376:R382" si="595">SUM(N376:Q376)</f>
        <v>0</v>
      </c>
      <c r="S376" s="23">
        <f t="shared" ref="S376:U376" si="596">IF(AH392="",S312*S592,S312*AH392)</f>
        <v>0</v>
      </c>
      <c r="T376" s="23">
        <f t="shared" si="596"/>
        <v>0</v>
      </c>
      <c r="U376" s="23">
        <f t="shared" si="596"/>
        <v>0</v>
      </c>
    </row>
    <row r="377" spans="2:21" hidden="1" outlineLevel="1" x14ac:dyDescent="0.25">
      <c r="B377" s="229" t="s">
        <v>195</v>
      </c>
      <c r="C377" s="229" t="s">
        <v>195</v>
      </c>
      <c r="E377" s="78" t="s">
        <v>68</v>
      </c>
      <c r="F377" s="21">
        <f t="shared" ref="F377:H377" si="597">F577</f>
        <v>0</v>
      </c>
      <c r="G377" s="21">
        <f t="shared" si="597"/>
        <v>0</v>
      </c>
      <c r="H377" s="21">
        <f t="shared" si="597"/>
        <v>0</v>
      </c>
      <c r="I377" s="10">
        <f t="shared" ref="I377:L377" si="598">IF(X393="",I313*I593,I313*X393)</f>
        <v>0</v>
      </c>
      <c r="J377" s="10">
        <f t="shared" si="598"/>
        <v>0</v>
      </c>
      <c r="K377" s="10">
        <f t="shared" si="598"/>
        <v>0</v>
      </c>
      <c r="L377" s="10">
        <f t="shared" si="598"/>
        <v>0</v>
      </c>
      <c r="M377" s="17">
        <f t="shared" si="593"/>
        <v>0</v>
      </c>
      <c r="N377" s="10">
        <f t="shared" ref="N377:Q377" si="599">IF(AC393="",N313*N593,N313*AC393)</f>
        <v>0</v>
      </c>
      <c r="O377" s="10">
        <f t="shared" si="599"/>
        <v>0</v>
      </c>
      <c r="P377" s="10">
        <f t="shared" si="599"/>
        <v>0</v>
      </c>
      <c r="Q377" s="10">
        <f t="shared" si="599"/>
        <v>0</v>
      </c>
      <c r="R377" s="22">
        <f t="shared" si="595"/>
        <v>0</v>
      </c>
      <c r="S377" s="23">
        <f t="shared" ref="S377:U377" si="600">IF(AH393="",S313*S593,S313*AH393)</f>
        <v>0</v>
      </c>
      <c r="T377" s="23">
        <f t="shared" si="600"/>
        <v>0</v>
      </c>
      <c r="U377" s="23">
        <f t="shared" si="600"/>
        <v>0</v>
      </c>
    </row>
    <row r="378" spans="2:21" hidden="1" outlineLevel="1" x14ac:dyDescent="0.25">
      <c r="B378" s="229" t="s">
        <v>195</v>
      </c>
      <c r="C378" s="229" t="s">
        <v>195</v>
      </c>
      <c r="E378" s="78" t="s">
        <v>69</v>
      </c>
      <c r="F378" s="21">
        <f t="shared" ref="F378:H378" si="601">F578</f>
        <v>0</v>
      </c>
      <c r="G378" s="21">
        <f t="shared" si="601"/>
        <v>0</v>
      </c>
      <c r="H378" s="21">
        <f t="shared" si="601"/>
        <v>0</v>
      </c>
      <c r="I378" s="10">
        <f t="shared" ref="I378:L378" si="602">IF(X394="",I314*I594,I314*X394)</f>
        <v>0</v>
      </c>
      <c r="J378" s="10">
        <f t="shared" si="602"/>
        <v>0</v>
      </c>
      <c r="K378" s="10">
        <f t="shared" si="602"/>
        <v>0</v>
      </c>
      <c r="L378" s="10">
        <f t="shared" si="602"/>
        <v>0</v>
      </c>
      <c r="M378" s="17">
        <f t="shared" si="593"/>
        <v>0</v>
      </c>
      <c r="N378" s="10">
        <f t="shared" ref="N378:Q378" si="603">IF(AC394="",N314*N594,N314*AC394)</f>
        <v>0</v>
      </c>
      <c r="O378" s="10">
        <f t="shared" si="603"/>
        <v>0</v>
      </c>
      <c r="P378" s="10">
        <f t="shared" si="603"/>
        <v>0</v>
      </c>
      <c r="Q378" s="10">
        <f t="shared" si="603"/>
        <v>0</v>
      </c>
      <c r="R378" s="22">
        <f t="shared" si="595"/>
        <v>0</v>
      </c>
      <c r="S378" s="23">
        <f t="shared" ref="S378:U378" si="604">IF(AH394="",S314*S594,S314*AH394)</f>
        <v>0</v>
      </c>
      <c r="T378" s="23">
        <f t="shared" si="604"/>
        <v>0</v>
      </c>
      <c r="U378" s="23">
        <f t="shared" si="604"/>
        <v>0</v>
      </c>
    </row>
    <row r="379" spans="2:21" hidden="1" outlineLevel="1" x14ac:dyDescent="0.25">
      <c r="B379" s="229" t="s">
        <v>195</v>
      </c>
      <c r="C379" s="229" t="s">
        <v>195</v>
      </c>
      <c r="E379" s="78" t="s">
        <v>70</v>
      </c>
      <c r="F379" s="21">
        <f t="shared" ref="F379:H379" si="605">F579</f>
        <v>0</v>
      </c>
      <c r="G379" s="21">
        <f t="shared" si="605"/>
        <v>0</v>
      </c>
      <c r="H379" s="21">
        <f t="shared" si="605"/>
        <v>0</v>
      </c>
      <c r="I379" s="10">
        <f t="shared" ref="I379:L379" si="606">IF(X395="",I315*I595,I315*X395)</f>
        <v>0</v>
      </c>
      <c r="J379" s="10">
        <f t="shared" si="606"/>
        <v>0</v>
      </c>
      <c r="K379" s="10">
        <f t="shared" si="606"/>
        <v>0</v>
      </c>
      <c r="L379" s="10">
        <f t="shared" si="606"/>
        <v>0</v>
      </c>
      <c r="M379" s="17">
        <f t="shared" si="593"/>
        <v>0</v>
      </c>
      <c r="N379" s="10">
        <f t="shared" ref="N379:Q379" si="607">IF(AC395="",N315*N595,N315*AC395)</f>
        <v>0</v>
      </c>
      <c r="O379" s="10">
        <f t="shared" si="607"/>
        <v>0</v>
      </c>
      <c r="P379" s="10">
        <f t="shared" si="607"/>
        <v>0</v>
      </c>
      <c r="Q379" s="10">
        <f t="shared" si="607"/>
        <v>0</v>
      </c>
      <c r="R379" s="22">
        <f t="shared" si="595"/>
        <v>0</v>
      </c>
      <c r="S379" s="23">
        <f t="shared" ref="S379:U379" si="608">IF(AH395="",S315*S595,S315*AH395)</f>
        <v>0</v>
      </c>
      <c r="T379" s="23">
        <f t="shared" si="608"/>
        <v>0</v>
      </c>
      <c r="U379" s="23">
        <f t="shared" si="608"/>
        <v>0</v>
      </c>
    </row>
    <row r="380" spans="2:21" hidden="1" outlineLevel="1" x14ac:dyDescent="0.25">
      <c r="B380" s="229" t="s">
        <v>195</v>
      </c>
      <c r="C380" s="229" t="s">
        <v>195</v>
      </c>
      <c r="E380" s="78" t="s">
        <v>71</v>
      </c>
      <c r="F380" s="21">
        <f t="shared" ref="F380:H380" si="609">F580</f>
        <v>0</v>
      </c>
      <c r="G380" s="21">
        <f t="shared" si="609"/>
        <v>0</v>
      </c>
      <c r="H380" s="21">
        <f t="shared" si="609"/>
        <v>0</v>
      </c>
      <c r="I380" s="10">
        <f t="shared" ref="I380:L380" si="610">IF(X396="",I316*I596,I316*X396)</f>
        <v>0</v>
      </c>
      <c r="J380" s="10">
        <f t="shared" si="610"/>
        <v>0</v>
      </c>
      <c r="K380" s="10">
        <f t="shared" si="610"/>
        <v>0</v>
      </c>
      <c r="L380" s="10">
        <f t="shared" si="610"/>
        <v>0</v>
      </c>
      <c r="M380" s="17">
        <f t="shared" si="593"/>
        <v>0</v>
      </c>
      <c r="N380" s="10">
        <f t="shared" ref="N380:Q380" si="611">IF(AC396="",N316*N596,N316*AC396)</f>
        <v>0</v>
      </c>
      <c r="O380" s="10">
        <f t="shared" si="611"/>
        <v>0</v>
      </c>
      <c r="P380" s="10">
        <f t="shared" si="611"/>
        <v>0</v>
      </c>
      <c r="Q380" s="10">
        <f t="shared" si="611"/>
        <v>0</v>
      </c>
      <c r="R380" s="22">
        <f t="shared" si="595"/>
        <v>0</v>
      </c>
      <c r="S380" s="23">
        <f t="shared" ref="S380:U380" si="612">IF(AH396="",S316*S596,S316*AH396)</f>
        <v>0</v>
      </c>
      <c r="T380" s="23">
        <f t="shared" si="612"/>
        <v>0</v>
      </c>
      <c r="U380" s="23">
        <f t="shared" si="612"/>
        <v>0</v>
      </c>
    </row>
    <row r="381" spans="2:21" hidden="1" outlineLevel="1" x14ac:dyDescent="0.25">
      <c r="B381" s="229" t="s">
        <v>195</v>
      </c>
      <c r="C381" s="229" t="s">
        <v>195</v>
      </c>
      <c r="E381" s="78" t="s">
        <v>72</v>
      </c>
      <c r="F381" s="21">
        <f t="shared" ref="F381:H381" si="613">F581</f>
        <v>0</v>
      </c>
      <c r="G381" s="21">
        <f t="shared" si="613"/>
        <v>0</v>
      </c>
      <c r="H381" s="21">
        <f t="shared" si="613"/>
        <v>0</v>
      </c>
      <c r="I381" s="10">
        <f t="shared" ref="I381:L381" si="614">IF(X397="",I317*I597,I317*X397)</f>
        <v>0</v>
      </c>
      <c r="J381" s="10">
        <f t="shared" si="614"/>
        <v>0</v>
      </c>
      <c r="K381" s="10">
        <f t="shared" si="614"/>
        <v>0</v>
      </c>
      <c r="L381" s="10">
        <f t="shared" si="614"/>
        <v>0</v>
      </c>
      <c r="M381" s="17">
        <f t="shared" si="593"/>
        <v>0</v>
      </c>
      <c r="N381" s="10">
        <f t="shared" ref="N381:Q381" si="615">IF(AC397="",N317*N597,N317*AC397)</f>
        <v>0</v>
      </c>
      <c r="O381" s="10">
        <f t="shared" si="615"/>
        <v>0</v>
      </c>
      <c r="P381" s="10">
        <f t="shared" si="615"/>
        <v>0</v>
      </c>
      <c r="Q381" s="10">
        <f t="shared" si="615"/>
        <v>0</v>
      </c>
      <c r="R381" s="22">
        <f t="shared" si="595"/>
        <v>0</v>
      </c>
      <c r="S381" s="23">
        <f t="shared" ref="S381:U381" si="616">IF(AH397="",S317*S597,S317*AH397)</f>
        <v>0</v>
      </c>
      <c r="T381" s="23">
        <f t="shared" si="616"/>
        <v>0</v>
      </c>
      <c r="U381" s="23">
        <f t="shared" si="616"/>
        <v>0</v>
      </c>
    </row>
    <row r="382" spans="2:21" hidden="1" outlineLevel="1" x14ac:dyDescent="0.25">
      <c r="B382" s="229" t="s">
        <v>195</v>
      </c>
      <c r="C382" s="229" t="s">
        <v>195</v>
      </c>
      <c r="E382" s="78" t="s">
        <v>73</v>
      </c>
      <c r="F382" s="21">
        <f t="shared" ref="F382:H382" si="617">F582</f>
        <v>0</v>
      </c>
      <c r="G382" s="21">
        <f t="shared" si="617"/>
        <v>0</v>
      </c>
      <c r="H382" s="21">
        <f t="shared" si="617"/>
        <v>0</v>
      </c>
      <c r="I382" s="10">
        <f t="shared" ref="I382:L382" si="618">IF(X398="",I318*I598,I318*X398)</f>
        <v>0</v>
      </c>
      <c r="J382" s="10">
        <f t="shared" si="618"/>
        <v>0</v>
      </c>
      <c r="K382" s="10">
        <f t="shared" si="618"/>
        <v>0</v>
      </c>
      <c r="L382" s="10">
        <f t="shared" si="618"/>
        <v>0</v>
      </c>
      <c r="M382" s="17">
        <f t="shared" si="593"/>
        <v>0</v>
      </c>
      <c r="N382" s="10">
        <f t="shared" ref="N382:Q382" si="619">IF(AC398="",N318*N598,N318*AC398)</f>
        <v>0</v>
      </c>
      <c r="O382" s="10">
        <f t="shared" si="619"/>
        <v>0</v>
      </c>
      <c r="P382" s="10">
        <f t="shared" si="619"/>
        <v>0</v>
      </c>
      <c r="Q382" s="10">
        <f t="shared" si="619"/>
        <v>0</v>
      </c>
      <c r="R382" s="22">
        <f t="shared" si="595"/>
        <v>0</v>
      </c>
      <c r="S382" s="23">
        <f t="shared" ref="S382:U382" si="620">IF(AH398="",S318*S598,S318*AH398)</f>
        <v>0</v>
      </c>
      <c r="T382" s="23">
        <f t="shared" si="620"/>
        <v>0</v>
      </c>
      <c r="U382" s="23">
        <f t="shared" si="620"/>
        <v>0</v>
      </c>
    </row>
    <row r="383" spans="2:21" ht="15.75" hidden="1" outlineLevel="1" thickBot="1" x14ac:dyDescent="0.3">
      <c r="E383" s="8" t="s">
        <v>27</v>
      </c>
      <c r="F383" s="9">
        <f t="shared" ref="F383:U383" si="621">SUM(F376:F382)</f>
        <v>0</v>
      </c>
      <c r="G383" s="9">
        <f t="shared" si="621"/>
        <v>0</v>
      </c>
      <c r="H383" s="9">
        <f t="shared" si="621"/>
        <v>0</v>
      </c>
      <c r="I383" s="11">
        <f t="shared" si="621"/>
        <v>0</v>
      </c>
      <c r="J383" s="11">
        <f t="shared" si="621"/>
        <v>0</v>
      </c>
      <c r="K383" s="11">
        <f t="shared" si="621"/>
        <v>0</v>
      </c>
      <c r="L383" s="11">
        <f t="shared" si="621"/>
        <v>0</v>
      </c>
      <c r="M383" s="18">
        <f t="shared" si="621"/>
        <v>0</v>
      </c>
      <c r="N383" s="11">
        <f t="shared" si="621"/>
        <v>0</v>
      </c>
      <c r="O383" s="11">
        <f t="shared" si="621"/>
        <v>0</v>
      </c>
      <c r="P383" s="11">
        <f t="shared" si="621"/>
        <v>0</v>
      </c>
      <c r="Q383" s="11">
        <f t="shared" si="621"/>
        <v>0</v>
      </c>
      <c r="R383" s="19">
        <f t="shared" si="621"/>
        <v>0</v>
      </c>
      <c r="S383" s="20">
        <f t="shared" si="621"/>
        <v>0</v>
      </c>
      <c r="T383" s="20">
        <f t="shared" si="621"/>
        <v>0</v>
      </c>
      <c r="U383" s="20">
        <f t="shared" si="621"/>
        <v>0</v>
      </c>
    </row>
    <row r="384" spans="2:21" ht="15.75" hidden="1" outlineLevel="1" thickTop="1" x14ac:dyDescent="0.25">
      <c r="F384" s="24"/>
      <c r="G384" s="25"/>
      <c r="H384" s="25"/>
      <c r="I384" s="25"/>
      <c r="J384" s="25"/>
      <c r="K384" s="25"/>
      <c r="L384" s="25"/>
      <c r="M384" s="25"/>
      <c r="N384" s="25"/>
      <c r="O384" s="25"/>
      <c r="P384" s="25"/>
      <c r="Q384" s="25"/>
      <c r="R384" s="25"/>
      <c r="S384" s="25"/>
      <c r="T384" s="25"/>
      <c r="U384" s="25"/>
    </row>
    <row r="385" spans="2:36" hidden="1" outlineLevel="1" x14ac:dyDescent="0.25"/>
    <row r="386" spans="2:36" hidden="1" outlineLevel="1" x14ac:dyDescent="0.25"/>
    <row r="387" spans="2:36" hidden="1" outlineLevel="1" x14ac:dyDescent="0.25">
      <c r="E387" s="4" t="s">
        <v>26</v>
      </c>
      <c r="W387" s="4" t="s">
        <v>26</v>
      </c>
    </row>
    <row r="388" spans="2:36" hidden="1" outlineLevel="1" x14ac:dyDescent="0.25">
      <c r="E388" s="6" t="s">
        <v>25</v>
      </c>
      <c r="W388" s="61" t="s">
        <v>66</v>
      </c>
    </row>
    <row r="389" spans="2:36" hidden="1" outlineLevel="1" x14ac:dyDescent="0.25"/>
    <row r="390" spans="2:36" hidden="1" outlineLevel="1" x14ac:dyDescent="0.25">
      <c r="F390" s="12">
        <f>Inputs!$C$7</f>
        <v>2023</v>
      </c>
      <c r="G390" s="12">
        <f>Inputs!$C$8</f>
        <v>2024</v>
      </c>
      <c r="H390" s="12">
        <f>Inputs!$C$9</f>
        <v>2025</v>
      </c>
      <c r="I390" s="13" t="s">
        <v>1</v>
      </c>
      <c r="J390" s="13" t="s">
        <v>2</v>
      </c>
      <c r="K390" s="13" t="s">
        <v>3</v>
      </c>
      <c r="L390" s="13" t="s">
        <v>4</v>
      </c>
      <c r="M390" s="13">
        <f>Inputs!$C$10</f>
        <v>2026</v>
      </c>
      <c r="N390" s="14" t="s">
        <v>1</v>
      </c>
      <c r="O390" s="14" t="s">
        <v>2</v>
      </c>
      <c r="P390" s="14" t="s">
        <v>3</v>
      </c>
      <c r="Q390" s="14" t="s">
        <v>4</v>
      </c>
      <c r="R390" s="15">
        <f>Inputs!$C$11</f>
        <v>2027</v>
      </c>
      <c r="S390" s="16">
        <f>Inputs!$C$12</f>
        <v>2028</v>
      </c>
      <c r="T390" s="16">
        <f>Inputs!$C$13</f>
        <v>2029</v>
      </c>
      <c r="U390" s="16">
        <f>Inputs!$C$14</f>
        <v>2030</v>
      </c>
      <c r="X390" s="13" t="s">
        <v>1</v>
      </c>
      <c r="Y390" s="13" t="s">
        <v>2</v>
      </c>
      <c r="Z390" s="13" t="s">
        <v>3</v>
      </c>
      <c r="AA390" s="13" t="s">
        <v>4</v>
      </c>
      <c r="AB390" s="13">
        <f>Inputs!$C$10</f>
        <v>2026</v>
      </c>
      <c r="AC390" s="14" t="s">
        <v>1</v>
      </c>
      <c r="AD390" s="14" t="s">
        <v>2</v>
      </c>
      <c r="AE390" s="14" t="s">
        <v>3</v>
      </c>
      <c r="AF390" s="14" t="s">
        <v>4</v>
      </c>
      <c r="AG390" s="15">
        <f>Inputs!$C$11</f>
        <v>2027</v>
      </c>
      <c r="AH390" s="16">
        <f>Inputs!$C$12</f>
        <v>2028</v>
      </c>
      <c r="AI390" s="16">
        <f>Inputs!$C$13</f>
        <v>2029</v>
      </c>
      <c r="AJ390" s="16">
        <f>Inputs!$C$14</f>
        <v>2030</v>
      </c>
    </row>
    <row r="391" spans="2:36" hidden="1" outlineLevel="1" x14ac:dyDescent="0.25">
      <c r="F391" s="71" t="s">
        <v>64</v>
      </c>
      <c r="G391" s="71" t="s">
        <v>64</v>
      </c>
      <c r="H391" s="71" t="s">
        <v>64</v>
      </c>
      <c r="I391" s="71" t="s">
        <v>64</v>
      </c>
      <c r="J391" s="71" t="s">
        <v>64</v>
      </c>
      <c r="K391" s="71" t="s">
        <v>64</v>
      </c>
      <c r="L391" s="71" t="s">
        <v>64</v>
      </c>
      <c r="M391" s="71" t="s">
        <v>64</v>
      </c>
      <c r="N391" s="71" t="s">
        <v>64</v>
      </c>
      <c r="O391" s="71" t="s">
        <v>64</v>
      </c>
      <c r="P391" s="71" t="s">
        <v>64</v>
      </c>
      <c r="Q391" s="71" t="s">
        <v>64</v>
      </c>
      <c r="R391" s="71" t="s">
        <v>64</v>
      </c>
      <c r="S391" s="71" t="s">
        <v>64</v>
      </c>
      <c r="T391" s="71" t="s">
        <v>64</v>
      </c>
      <c r="U391" s="71" t="s">
        <v>64</v>
      </c>
      <c r="X391" s="63" t="s">
        <v>64</v>
      </c>
      <c r="Y391" s="63" t="s">
        <v>64</v>
      </c>
      <c r="Z391" s="63" t="s">
        <v>64</v>
      </c>
      <c r="AA391" s="63" t="s">
        <v>64</v>
      </c>
      <c r="AB391" s="62"/>
      <c r="AC391" s="63" t="s">
        <v>64</v>
      </c>
      <c r="AD391" s="63" t="s">
        <v>64</v>
      </c>
      <c r="AE391" s="63" t="s">
        <v>64</v>
      </c>
      <c r="AF391" s="63" t="s">
        <v>64</v>
      </c>
      <c r="AG391" s="62"/>
      <c r="AH391" s="63" t="s">
        <v>64</v>
      </c>
      <c r="AI391" s="63" t="s">
        <v>64</v>
      </c>
      <c r="AJ391" s="63" t="s">
        <v>64</v>
      </c>
    </row>
    <row r="392" spans="2:36" hidden="1" outlineLevel="1" x14ac:dyDescent="0.25">
      <c r="B392" s="229" t="s">
        <v>195</v>
      </c>
      <c r="C392" s="229" t="s">
        <v>195</v>
      </c>
      <c r="E392" s="78" t="s">
        <v>67</v>
      </c>
      <c r="F392" s="26">
        <f t="shared" ref="F392:U392" si="622">IFERROR(F376/F312,0)</f>
        <v>0</v>
      </c>
      <c r="G392" s="26">
        <f t="shared" si="622"/>
        <v>0</v>
      </c>
      <c r="H392" s="26">
        <f t="shared" si="622"/>
        <v>0</v>
      </c>
      <c r="I392" s="27">
        <f t="shared" si="622"/>
        <v>0</v>
      </c>
      <c r="J392" s="27">
        <f t="shared" si="622"/>
        <v>0</v>
      </c>
      <c r="K392" s="27">
        <f t="shared" si="622"/>
        <v>0</v>
      </c>
      <c r="L392" s="27">
        <f t="shared" si="622"/>
        <v>0</v>
      </c>
      <c r="M392" s="28">
        <f t="shared" si="622"/>
        <v>0</v>
      </c>
      <c r="N392" s="27">
        <f t="shared" si="622"/>
        <v>0</v>
      </c>
      <c r="O392" s="27">
        <f t="shared" si="622"/>
        <v>0</v>
      </c>
      <c r="P392" s="27">
        <f t="shared" si="622"/>
        <v>0</v>
      </c>
      <c r="Q392" s="27">
        <f t="shared" si="622"/>
        <v>0</v>
      </c>
      <c r="R392" s="29">
        <f t="shared" si="622"/>
        <v>0</v>
      </c>
      <c r="S392" s="30">
        <f t="shared" si="622"/>
        <v>0</v>
      </c>
      <c r="T392" s="30">
        <f t="shared" si="622"/>
        <v>0</v>
      </c>
      <c r="U392" s="30">
        <f t="shared" si="622"/>
        <v>0</v>
      </c>
      <c r="W392" s="79" t="str">
        <f>E392</f>
        <v>Product Line 1</v>
      </c>
      <c r="X392" s="64"/>
      <c r="Y392" s="64"/>
      <c r="Z392" s="64"/>
      <c r="AA392" s="64"/>
      <c r="AB392" s="60"/>
      <c r="AC392" s="64"/>
      <c r="AD392" s="64"/>
      <c r="AE392" s="64"/>
      <c r="AF392" s="64"/>
      <c r="AG392" s="60"/>
      <c r="AH392" s="64"/>
      <c r="AI392" s="64"/>
      <c r="AJ392" s="64"/>
    </row>
    <row r="393" spans="2:36" hidden="1" outlineLevel="1" x14ac:dyDescent="0.25">
      <c r="B393" s="229" t="s">
        <v>195</v>
      </c>
      <c r="C393" s="229" t="s">
        <v>195</v>
      </c>
      <c r="E393" s="78" t="s">
        <v>68</v>
      </c>
      <c r="F393" s="26">
        <f t="shared" ref="F393:U393" si="623">IFERROR(F377/F313,0)</f>
        <v>0</v>
      </c>
      <c r="G393" s="26">
        <f t="shared" si="623"/>
        <v>0</v>
      </c>
      <c r="H393" s="26">
        <f t="shared" si="623"/>
        <v>0</v>
      </c>
      <c r="I393" s="27">
        <f t="shared" si="623"/>
        <v>0</v>
      </c>
      <c r="J393" s="27">
        <f t="shared" si="623"/>
        <v>0</v>
      </c>
      <c r="K393" s="27">
        <f t="shared" si="623"/>
        <v>0</v>
      </c>
      <c r="L393" s="27">
        <f t="shared" si="623"/>
        <v>0</v>
      </c>
      <c r="M393" s="28">
        <f t="shared" si="623"/>
        <v>0</v>
      </c>
      <c r="N393" s="27">
        <f t="shared" si="623"/>
        <v>0</v>
      </c>
      <c r="O393" s="27">
        <f t="shared" si="623"/>
        <v>0</v>
      </c>
      <c r="P393" s="27">
        <f t="shared" si="623"/>
        <v>0</v>
      </c>
      <c r="Q393" s="27">
        <f t="shared" si="623"/>
        <v>0</v>
      </c>
      <c r="R393" s="29">
        <f t="shared" si="623"/>
        <v>0</v>
      </c>
      <c r="S393" s="30">
        <f t="shared" si="623"/>
        <v>0</v>
      </c>
      <c r="T393" s="30">
        <f t="shared" si="623"/>
        <v>0</v>
      </c>
      <c r="U393" s="30">
        <f t="shared" si="623"/>
        <v>0</v>
      </c>
      <c r="W393" s="79" t="str">
        <f t="shared" ref="W393:W398" si="624">E393</f>
        <v>Product Line 2</v>
      </c>
      <c r="X393" s="64"/>
      <c r="Y393" s="64"/>
      <c r="Z393" s="64"/>
      <c r="AA393" s="64"/>
      <c r="AB393" s="60"/>
      <c r="AC393" s="64"/>
      <c r="AD393" s="64"/>
      <c r="AE393" s="64"/>
      <c r="AF393" s="64"/>
      <c r="AG393" s="60"/>
      <c r="AH393" s="64"/>
      <c r="AI393" s="64"/>
      <c r="AJ393" s="64"/>
    </row>
    <row r="394" spans="2:36" hidden="1" outlineLevel="1" x14ac:dyDescent="0.25">
      <c r="B394" s="229" t="s">
        <v>195</v>
      </c>
      <c r="C394" s="229" t="s">
        <v>195</v>
      </c>
      <c r="E394" s="78" t="s">
        <v>69</v>
      </c>
      <c r="F394" s="26">
        <f t="shared" ref="F394:U394" si="625">IFERROR(F378/F314,0)</f>
        <v>0</v>
      </c>
      <c r="G394" s="26">
        <f t="shared" si="625"/>
        <v>0</v>
      </c>
      <c r="H394" s="26">
        <f t="shared" si="625"/>
        <v>0</v>
      </c>
      <c r="I394" s="27">
        <f t="shared" si="625"/>
        <v>0</v>
      </c>
      <c r="J394" s="27">
        <f t="shared" si="625"/>
        <v>0</v>
      </c>
      <c r="K394" s="27">
        <f t="shared" si="625"/>
        <v>0</v>
      </c>
      <c r="L394" s="27">
        <f t="shared" si="625"/>
        <v>0</v>
      </c>
      <c r="M394" s="28">
        <f t="shared" si="625"/>
        <v>0</v>
      </c>
      <c r="N394" s="27">
        <f t="shared" si="625"/>
        <v>0</v>
      </c>
      <c r="O394" s="27">
        <f t="shared" si="625"/>
        <v>0</v>
      </c>
      <c r="P394" s="27">
        <f t="shared" si="625"/>
        <v>0</v>
      </c>
      <c r="Q394" s="27">
        <f t="shared" si="625"/>
        <v>0</v>
      </c>
      <c r="R394" s="29">
        <f t="shared" si="625"/>
        <v>0</v>
      </c>
      <c r="S394" s="30">
        <f t="shared" si="625"/>
        <v>0</v>
      </c>
      <c r="T394" s="30">
        <f t="shared" si="625"/>
        <v>0</v>
      </c>
      <c r="U394" s="30">
        <f t="shared" si="625"/>
        <v>0</v>
      </c>
      <c r="W394" s="79" t="str">
        <f t="shared" si="624"/>
        <v>Product Line 3</v>
      </c>
      <c r="X394" s="64"/>
      <c r="Y394" s="64"/>
      <c r="Z394" s="64"/>
      <c r="AA394" s="64"/>
      <c r="AB394" s="60"/>
      <c r="AC394" s="64"/>
      <c r="AD394" s="64"/>
      <c r="AE394" s="64"/>
      <c r="AF394" s="64"/>
      <c r="AG394" s="60"/>
      <c r="AH394" s="64"/>
      <c r="AI394" s="64"/>
      <c r="AJ394" s="64"/>
    </row>
    <row r="395" spans="2:36" hidden="1" outlineLevel="1" x14ac:dyDescent="0.25">
      <c r="B395" s="229" t="s">
        <v>195</v>
      </c>
      <c r="C395" s="229" t="s">
        <v>195</v>
      </c>
      <c r="E395" s="78" t="s">
        <v>70</v>
      </c>
      <c r="F395" s="26">
        <f t="shared" ref="F395:U395" si="626">IFERROR(F379/F315,0)</f>
        <v>0</v>
      </c>
      <c r="G395" s="26">
        <f t="shared" si="626"/>
        <v>0</v>
      </c>
      <c r="H395" s="26">
        <f t="shared" si="626"/>
        <v>0</v>
      </c>
      <c r="I395" s="27">
        <f t="shared" si="626"/>
        <v>0</v>
      </c>
      <c r="J395" s="27">
        <f t="shared" si="626"/>
        <v>0</v>
      </c>
      <c r="K395" s="27">
        <f t="shared" si="626"/>
        <v>0</v>
      </c>
      <c r="L395" s="27">
        <f t="shared" si="626"/>
        <v>0</v>
      </c>
      <c r="M395" s="28">
        <f t="shared" si="626"/>
        <v>0</v>
      </c>
      <c r="N395" s="27">
        <f t="shared" si="626"/>
        <v>0</v>
      </c>
      <c r="O395" s="27">
        <f t="shared" si="626"/>
        <v>0</v>
      </c>
      <c r="P395" s="27">
        <f t="shared" si="626"/>
        <v>0</v>
      </c>
      <c r="Q395" s="27">
        <f t="shared" si="626"/>
        <v>0</v>
      </c>
      <c r="R395" s="29">
        <f t="shared" si="626"/>
        <v>0</v>
      </c>
      <c r="S395" s="30">
        <f t="shared" si="626"/>
        <v>0</v>
      </c>
      <c r="T395" s="30">
        <f t="shared" si="626"/>
        <v>0</v>
      </c>
      <c r="U395" s="30">
        <f t="shared" si="626"/>
        <v>0</v>
      </c>
      <c r="W395" s="79" t="str">
        <f t="shared" si="624"/>
        <v>Product Line 4</v>
      </c>
      <c r="X395" s="64"/>
      <c r="Y395" s="64"/>
      <c r="Z395" s="64"/>
      <c r="AA395" s="64"/>
      <c r="AB395" s="60"/>
      <c r="AC395" s="64"/>
      <c r="AD395" s="64"/>
      <c r="AE395" s="64"/>
      <c r="AF395" s="64"/>
      <c r="AG395" s="60"/>
      <c r="AH395" s="64"/>
      <c r="AI395" s="64"/>
      <c r="AJ395" s="64"/>
    </row>
    <row r="396" spans="2:36" hidden="1" outlineLevel="1" x14ac:dyDescent="0.25">
      <c r="B396" s="229" t="s">
        <v>195</v>
      </c>
      <c r="C396" s="229" t="s">
        <v>195</v>
      </c>
      <c r="E396" s="78" t="s">
        <v>71</v>
      </c>
      <c r="F396" s="26">
        <f t="shared" ref="F396:U396" si="627">IFERROR(F380/F316,0)</f>
        <v>0</v>
      </c>
      <c r="G396" s="26">
        <f t="shared" si="627"/>
        <v>0</v>
      </c>
      <c r="H396" s="26">
        <f t="shared" si="627"/>
        <v>0</v>
      </c>
      <c r="I396" s="27">
        <f t="shared" si="627"/>
        <v>0</v>
      </c>
      <c r="J396" s="27">
        <f t="shared" si="627"/>
        <v>0</v>
      </c>
      <c r="K396" s="27">
        <f t="shared" si="627"/>
        <v>0</v>
      </c>
      <c r="L396" s="27">
        <f t="shared" si="627"/>
        <v>0</v>
      </c>
      <c r="M396" s="28">
        <f t="shared" si="627"/>
        <v>0</v>
      </c>
      <c r="N396" s="27">
        <f t="shared" si="627"/>
        <v>0</v>
      </c>
      <c r="O396" s="27">
        <f t="shared" si="627"/>
        <v>0</v>
      </c>
      <c r="P396" s="27">
        <f t="shared" si="627"/>
        <v>0</v>
      </c>
      <c r="Q396" s="27">
        <f t="shared" si="627"/>
        <v>0</v>
      </c>
      <c r="R396" s="29">
        <f t="shared" si="627"/>
        <v>0</v>
      </c>
      <c r="S396" s="30">
        <f t="shared" si="627"/>
        <v>0</v>
      </c>
      <c r="T396" s="30">
        <f t="shared" si="627"/>
        <v>0</v>
      </c>
      <c r="U396" s="30">
        <f t="shared" si="627"/>
        <v>0</v>
      </c>
      <c r="W396" s="79" t="str">
        <f t="shared" si="624"/>
        <v>Product Line 5</v>
      </c>
      <c r="X396" s="64"/>
      <c r="Y396" s="64"/>
      <c r="Z396" s="64"/>
      <c r="AA396" s="64"/>
      <c r="AB396" s="60"/>
      <c r="AC396" s="64"/>
      <c r="AD396" s="64"/>
      <c r="AE396" s="64"/>
      <c r="AF396" s="64"/>
      <c r="AG396" s="60"/>
      <c r="AH396" s="64"/>
      <c r="AI396" s="64"/>
      <c r="AJ396" s="64"/>
    </row>
    <row r="397" spans="2:36" hidden="1" outlineLevel="1" x14ac:dyDescent="0.25">
      <c r="B397" s="229" t="s">
        <v>195</v>
      </c>
      <c r="C397" s="229" t="s">
        <v>195</v>
      </c>
      <c r="E397" s="78" t="s">
        <v>72</v>
      </c>
      <c r="F397" s="26">
        <f t="shared" ref="F397:U397" si="628">IFERROR(F381/F317,0)</f>
        <v>0</v>
      </c>
      <c r="G397" s="26">
        <f t="shared" si="628"/>
        <v>0</v>
      </c>
      <c r="H397" s="26">
        <f t="shared" si="628"/>
        <v>0</v>
      </c>
      <c r="I397" s="27">
        <f t="shared" si="628"/>
        <v>0</v>
      </c>
      <c r="J397" s="27">
        <f t="shared" si="628"/>
        <v>0</v>
      </c>
      <c r="K397" s="27">
        <f t="shared" si="628"/>
        <v>0</v>
      </c>
      <c r="L397" s="27">
        <f t="shared" si="628"/>
        <v>0</v>
      </c>
      <c r="M397" s="28">
        <f t="shared" si="628"/>
        <v>0</v>
      </c>
      <c r="N397" s="27">
        <f t="shared" si="628"/>
        <v>0</v>
      </c>
      <c r="O397" s="27">
        <f t="shared" si="628"/>
        <v>0</v>
      </c>
      <c r="P397" s="27">
        <f t="shared" si="628"/>
        <v>0</v>
      </c>
      <c r="Q397" s="27">
        <f t="shared" si="628"/>
        <v>0</v>
      </c>
      <c r="R397" s="29">
        <f t="shared" si="628"/>
        <v>0</v>
      </c>
      <c r="S397" s="30">
        <f t="shared" si="628"/>
        <v>0</v>
      </c>
      <c r="T397" s="30">
        <f t="shared" si="628"/>
        <v>0</v>
      </c>
      <c r="U397" s="30">
        <f t="shared" si="628"/>
        <v>0</v>
      </c>
      <c r="W397" s="79" t="str">
        <f t="shared" si="624"/>
        <v>Product Line 6</v>
      </c>
      <c r="X397" s="64"/>
      <c r="Y397" s="64"/>
      <c r="Z397" s="64"/>
      <c r="AA397" s="64"/>
      <c r="AB397" s="60"/>
      <c r="AC397" s="64"/>
      <c r="AD397" s="64"/>
      <c r="AE397" s="64"/>
      <c r="AF397" s="64"/>
      <c r="AG397" s="60"/>
      <c r="AH397" s="64"/>
      <c r="AI397" s="64"/>
      <c r="AJ397" s="64"/>
    </row>
    <row r="398" spans="2:36" hidden="1" outlineLevel="1" x14ac:dyDescent="0.25">
      <c r="B398" s="229" t="s">
        <v>195</v>
      </c>
      <c r="C398" s="229" t="s">
        <v>195</v>
      </c>
      <c r="E398" s="78" t="s">
        <v>73</v>
      </c>
      <c r="F398" s="26">
        <f t="shared" ref="F398:U398" si="629">IFERROR(F382/F318,0)</f>
        <v>0</v>
      </c>
      <c r="G398" s="26">
        <f t="shared" si="629"/>
        <v>0</v>
      </c>
      <c r="H398" s="26">
        <f t="shared" si="629"/>
        <v>0</v>
      </c>
      <c r="I398" s="27">
        <f t="shared" si="629"/>
        <v>0</v>
      </c>
      <c r="J398" s="27">
        <f t="shared" si="629"/>
        <v>0</v>
      </c>
      <c r="K398" s="27">
        <f t="shared" si="629"/>
        <v>0</v>
      </c>
      <c r="L398" s="27">
        <f t="shared" si="629"/>
        <v>0</v>
      </c>
      <c r="M398" s="28">
        <f t="shared" si="629"/>
        <v>0</v>
      </c>
      <c r="N398" s="27">
        <f t="shared" si="629"/>
        <v>0</v>
      </c>
      <c r="O398" s="27">
        <f t="shared" si="629"/>
        <v>0</v>
      </c>
      <c r="P398" s="27">
        <f t="shared" si="629"/>
        <v>0</v>
      </c>
      <c r="Q398" s="27">
        <f t="shared" si="629"/>
        <v>0</v>
      </c>
      <c r="R398" s="29">
        <f t="shared" si="629"/>
        <v>0</v>
      </c>
      <c r="S398" s="30">
        <f t="shared" si="629"/>
        <v>0</v>
      </c>
      <c r="T398" s="30">
        <f t="shared" si="629"/>
        <v>0</v>
      </c>
      <c r="U398" s="30">
        <f t="shared" si="629"/>
        <v>0</v>
      </c>
      <c r="W398" s="79" t="str">
        <f t="shared" si="624"/>
        <v>Product Line 7</v>
      </c>
      <c r="X398" s="64"/>
      <c r="Y398" s="64"/>
      <c r="Z398" s="64"/>
      <c r="AA398" s="64"/>
      <c r="AB398" s="60"/>
      <c r="AC398" s="64"/>
      <c r="AD398" s="64"/>
      <c r="AE398" s="64"/>
      <c r="AF398" s="64"/>
      <c r="AG398" s="60"/>
      <c r="AH398" s="64"/>
      <c r="AI398" s="64"/>
      <c r="AJ398" s="64"/>
    </row>
    <row r="399" spans="2:36" ht="15.75" hidden="1" outlineLevel="1" thickBot="1" x14ac:dyDescent="0.3">
      <c r="E399" s="8" t="s">
        <v>27</v>
      </c>
      <c r="F399" s="31">
        <f t="shared" ref="F399:U399" si="630">IFERROR(F383/F319,0)</f>
        <v>0</v>
      </c>
      <c r="G399" s="31">
        <f t="shared" si="630"/>
        <v>0</v>
      </c>
      <c r="H399" s="31">
        <f t="shared" si="630"/>
        <v>0</v>
      </c>
      <c r="I399" s="32">
        <f t="shared" si="630"/>
        <v>0</v>
      </c>
      <c r="J399" s="32">
        <f t="shared" si="630"/>
        <v>0</v>
      </c>
      <c r="K399" s="32">
        <f t="shared" si="630"/>
        <v>0</v>
      </c>
      <c r="L399" s="32">
        <f t="shared" si="630"/>
        <v>0</v>
      </c>
      <c r="M399" s="33">
        <f t="shared" si="630"/>
        <v>0</v>
      </c>
      <c r="N399" s="32">
        <f t="shared" si="630"/>
        <v>0</v>
      </c>
      <c r="O399" s="32">
        <f t="shared" si="630"/>
        <v>0</v>
      </c>
      <c r="P399" s="32">
        <f t="shared" si="630"/>
        <v>0</v>
      </c>
      <c r="Q399" s="32">
        <f t="shared" si="630"/>
        <v>0</v>
      </c>
      <c r="R399" s="34">
        <f t="shared" si="630"/>
        <v>0</v>
      </c>
      <c r="S399" s="35">
        <f t="shared" si="630"/>
        <v>0</v>
      </c>
      <c r="T399" s="35">
        <f t="shared" si="630"/>
        <v>0</v>
      </c>
      <c r="U399" s="35">
        <f t="shared" si="630"/>
        <v>0</v>
      </c>
    </row>
    <row r="400" spans="2:36" ht="15.75" hidden="1" outlineLevel="1" thickTop="1" x14ac:dyDescent="0.25"/>
    <row r="401" spans="2:36" hidden="1" outlineLevel="1" x14ac:dyDescent="0.25"/>
    <row r="402" spans="2:36" hidden="1" outlineLevel="1" x14ac:dyDescent="0.25"/>
    <row r="403" spans="2:36" ht="18.75" collapsed="1" x14ac:dyDescent="0.3">
      <c r="B403" s="4" t="s">
        <v>34</v>
      </c>
      <c r="C403" s="4" t="s">
        <v>387</v>
      </c>
      <c r="E403" s="53" t="str">
        <f>"Scenario 5: "&amp;Inputs!B26</f>
        <v>Scenario 5: Scenario 5</v>
      </c>
      <c r="F403" s="49"/>
      <c r="G403" s="49"/>
      <c r="H403" s="49"/>
      <c r="I403" s="49"/>
      <c r="J403" s="49"/>
      <c r="K403" s="49"/>
      <c r="L403" s="49"/>
      <c r="M403" s="49"/>
      <c r="N403" s="49"/>
      <c r="O403" s="49"/>
      <c r="P403" s="49"/>
      <c r="Q403" s="49"/>
      <c r="R403" s="49"/>
      <c r="S403" s="49"/>
      <c r="T403" s="49"/>
      <c r="U403" s="49"/>
    </row>
    <row r="404" spans="2:36" hidden="1" outlineLevel="1" x14ac:dyDescent="0.25">
      <c r="E404" s="52" t="str">
        <f>Inputs!C26</f>
        <v>Scenario 5 Description</v>
      </c>
    </row>
    <row r="405" spans="2:36" hidden="1" outlineLevel="1" x14ac:dyDescent="0.25"/>
    <row r="406" spans="2:36" hidden="1" outlineLevel="1" x14ac:dyDescent="0.25"/>
    <row r="407" spans="2:36" hidden="1" outlineLevel="1" x14ac:dyDescent="0.25">
      <c r="E407" s="4" t="s">
        <v>23</v>
      </c>
      <c r="W407" s="4" t="s">
        <v>23</v>
      </c>
    </row>
    <row r="408" spans="2:36" hidden="1" outlineLevel="1" x14ac:dyDescent="0.25">
      <c r="E408" s="6" t="s">
        <v>25</v>
      </c>
      <c r="W408" s="61" t="s">
        <v>62</v>
      </c>
    </row>
    <row r="409" spans="2:36" hidden="1" outlineLevel="1" x14ac:dyDescent="0.25"/>
    <row r="410" spans="2:36" hidden="1" outlineLevel="1" x14ac:dyDescent="0.25">
      <c r="F410" s="12">
        <f>Inputs!$C$7</f>
        <v>2023</v>
      </c>
      <c r="G410" s="12">
        <f>Inputs!$C$8</f>
        <v>2024</v>
      </c>
      <c r="H410" s="12">
        <f>Inputs!$C$9</f>
        <v>2025</v>
      </c>
      <c r="I410" s="13" t="s">
        <v>1</v>
      </c>
      <c r="J410" s="13" t="s">
        <v>2</v>
      </c>
      <c r="K410" s="13" t="s">
        <v>3</v>
      </c>
      <c r="L410" s="13" t="s">
        <v>4</v>
      </c>
      <c r="M410" s="13">
        <f>Inputs!$C$10</f>
        <v>2026</v>
      </c>
      <c r="N410" s="14" t="s">
        <v>1</v>
      </c>
      <c r="O410" s="14" t="s">
        <v>2</v>
      </c>
      <c r="P410" s="14" t="s">
        <v>3</v>
      </c>
      <c r="Q410" s="14" t="s">
        <v>4</v>
      </c>
      <c r="R410" s="15">
        <f>Inputs!$C$11</f>
        <v>2027</v>
      </c>
      <c r="S410" s="16">
        <f>Inputs!$C$12</f>
        <v>2028</v>
      </c>
      <c r="T410" s="16">
        <f>Inputs!$C$13</f>
        <v>2029</v>
      </c>
      <c r="U410" s="16">
        <f>Inputs!$C$14</f>
        <v>2030</v>
      </c>
      <c r="X410" s="13" t="s">
        <v>1</v>
      </c>
      <c r="Y410" s="13" t="s">
        <v>2</v>
      </c>
      <c r="Z410" s="13" t="s">
        <v>3</v>
      </c>
      <c r="AA410" s="13" t="s">
        <v>4</v>
      </c>
      <c r="AB410" s="13">
        <f>Inputs!$C$10</f>
        <v>2026</v>
      </c>
      <c r="AC410" s="14" t="s">
        <v>1</v>
      </c>
      <c r="AD410" s="14" t="s">
        <v>2</v>
      </c>
      <c r="AE410" s="14" t="s">
        <v>3</v>
      </c>
      <c r="AF410" s="14" t="s">
        <v>4</v>
      </c>
      <c r="AG410" s="15">
        <f>Inputs!$C$11</f>
        <v>2027</v>
      </c>
      <c r="AH410" s="16">
        <f>Inputs!$C$12</f>
        <v>2028</v>
      </c>
      <c r="AI410" s="16">
        <f>Inputs!$C$13</f>
        <v>2029</v>
      </c>
      <c r="AJ410" s="16">
        <f>Inputs!$C$14</f>
        <v>2030</v>
      </c>
    </row>
    <row r="411" spans="2:36" hidden="1" outlineLevel="1" x14ac:dyDescent="0.25">
      <c r="F411" s="71" t="s">
        <v>63</v>
      </c>
      <c r="G411" s="71" t="s">
        <v>63</v>
      </c>
      <c r="H411" s="71" t="s">
        <v>63</v>
      </c>
      <c r="I411" s="71" t="s">
        <v>63</v>
      </c>
      <c r="J411" s="71" t="s">
        <v>63</v>
      </c>
      <c r="K411" s="71" t="s">
        <v>63</v>
      </c>
      <c r="L411" s="71" t="s">
        <v>63</v>
      </c>
      <c r="M411" s="71" t="s">
        <v>63</v>
      </c>
      <c r="N411" s="71" t="s">
        <v>63</v>
      </c>
      <c r="O411" s="71" t="s">
        <v>63</v>
      </c>
      <c r="P411" s="71" t="s">
        <v>63</v>
      </c>
      <c r="Q411" s="71" t="s">
        <v>63</v>
      </c>
      <c r="R411" s="71" t="s">
        <v>63</v>
      </c>
      <c r="S411" s="71" t="s">
        <v>63</v>
      </c>
      <c r="T411" s="71" t="s">
        <v>63</v>
      </c>
      <c r="U411" s="71" t="s">
        <v>63</v>
      </c>
      <c r="X411" s="63" t="s">
        <v>30</v>
      </c>
      <c r="Y411" s="63" t="s">
        <v>30</v>
      </c>
      <c r="Z411" s="63" t="s">
        <v>30</v>
      </c>
      <c r="AA411" s="63" t="s">
        <v>30</v>
      </c>
      <c r="AB411" s="62"/>
      <c r="AC411" s="63" t="s">
        <v>30</v>
      </c>
      <c r="AD411" s="63" t="s">
        <v>30</v>
      </c>
      <c r="AE411" s="63" t="s">
        <v>30</v>
      </c>
      <c r="AF411" s="63" t="s">
        <v>30</v>
      </c>
      <c r="AG411" s="62"/>
      <c r="AH411" s="63" t="s">
        <v>30</v>
      </c>
      <c r="AI411" s="63" t="s">
        <v>30</v>
      </c>
      <c r="AJ411" s="63" t="s">
        <v>30</v>
      </c>
    </row>
    <row r="412" spans="2:36" hidden="1" outlineLevel="1" x14ac:dyDescent="0.25">
      <c r="B412" s="229" t="s">
        <v>195</v>
      </c>
      <c r="C412" s="229" t="s">
        <v>195</v>
      </c>
      <c r="E412" s="78" t="s">
        <v>67</v>
      </c>
      <c r="F412" s="21">
        <f>F512</f>
        <v>0</v>
      </c>
      <c r="G412" s="21">
        <f t="shared" ref="G412:H412" si="631">G512</f>
        <v>0</v>
      </c>
      <c r="H412" s="21">
        <f t="shared" si="631"/>
        <v>0</v>
      </c>
      <c r="I412" s="10">
        <f>IF(X412="",I512,X412)</f>
        <v>0</v>
      </c>
      <c r="J412" s="10">
        <f t="shared" ref="J412:L412" si="632">IF(Y412="",J512,Y412)</f>
        <v>0</v>
      </c>
      <c r="K412" s="10">
        <f t="shared" si="632"/>
        <v>0</v>
      </c>
      <c r="L412" s="10">
        <f t="shared" si="632"/>
        <v>0</v>
      </c>
      <c r="M412" s="17">
        <f t="shared" ref="M412:M418" si="633">SUM(I412:L412)</f>
        <v>0</v>
      </c>
      <c r="N412" s="10">
        <f>IF(AC412="",N512,AC412)</f>
        <v>0</v>
      </c>
      <c r="O412" s="10">
        <f t="shared" ref="O412:Q412" si="634">IF(AD412="",O512,AD412)</f>
        <v>0</v>
      </c>
      <c r="P412" s="10">
        <f t="shared" si="634"/>
        <v>0</v>
      </c>
      <c r="Q412" s="10">
        <f t="shared" si="634"/>
        <v>0</v>
      </c>
      <c r="R412" s="22">
        <f t="shared" ref="R412:R418" si="635">SUM(N412:Q412)</f>
        <v>0</v>
      </c>
      <c r="S412" s="23">
        <f t="shared" ref="S412:U412" si="636">IF(AH412="",S512,AH412)</f>
        <v>0</v>
      </c>
      <c r="T412" s="23">
        <f t="shared" si="636"/>
        <v>0</v>
      </c>
      <c r="U412" s="23">
        <f t="shared" si="636"/>
        <v>0</v>
      </c>
      <c r="W412" s="79" t="str">
        <f>E412</f>
        <v>Product Line 1</v>
      </c>
      <c r="X412" s="64"/>
      <c r="Y412" s="64"/>
      <c r="Z412" s="64"/>
      <c r="AA412" s="64"/>
      <c r="AB412" s="60"/>
      <c r="AC412" s="64"/>
      <c r="AD412" s="64"/>
      <c r="AE412" s="64"/>
      <c r="AF412" s="64"/>
      <c r="AG412" s="60"/>
      <c r="AH412" s="64"/>
      <c r="AI412" s="64"/>
      <c r="AJ412" s="64"/>
    </row>
    <row r="413" spans="2:36" hidden="1" outlineLevel="1" x14ac:dyDescent="0.25">
      <c r="B413" s="229" t="s">
        <v>195</v>
      </c>
      <c r="C413" s="229" t="s">
        <v>195</v>
      </c>
      <c r="E413" s="78" t="s">
        <v>68</v>
      </c>
      <c r="F413" s="21">
        <f t="shared" ref="F413:H413" si="637">F513</f>
        <v>0</v>
      </c>
      <c r="G413" s="21">
        <f t="shared" si="637"/>
        <v>0</v>
      </c>
      <c r="H413" s="21">
        <f t="shared" si="637"/>
        <v>0</v>
      </c>
      <c r="I413" s="10">
        <f t="shared" ref="I413:L413" si="638">IF(X413="",I513,X413)</f>
        <v>0</v>
      </c>
      <c r="J413" s="10">
        <f t="shared" si="638"/>
        <v>0</v>
      </c>
      <c r="K413" s="10">
        <f t="shared" si="638"/>
        <v>0</v>
      </c>
      <c r="L413" s="10">
        <f t="shared" si="638"/>
        <v>0</v>
      </c>
      <c r="M413" s="17">
        <f t="shared" si="633"/>
        <v>0</v>
      </c>
      <c r="N413" s="10">
        <f t="shared" ref="N413:Q413" si="639">IF(AC413="",N513,AC413)</f>
        <v>0</v>
      </c>
      <c r="O413" s="10">
        <f t="shared" si="639"/>
        <v>0</v>
      </c>
      <c r="P413" s="10">
        <f t="shared" si="639"/>
        <v>0</v>
      </c>
      <c r="Q413" s="10">
        <f t="shared" si="639"/>
        <v>0</v>
      </c>
      <c r="R413" s="22">
        <f t="shared" si="635"/>
        <v>0</v>
      </c>
      <c r="S413" s="23">
        <f t="shared" ref="S413:U413" si="640">IF(AH413="",S513,AH413)</f>
        <v>0</v>
      </c>
      <c r="T413" s="23">
        <f t="shared" si="640"/>
        <v>0</v>
      </c>
      <c r="U413" s="23">
        <f t="shared" si="640"/>
        <v>0</v>
      </c>
      <c r="W413" s="79" t="str">
        <f t="shared" ref="W413:W418" si="641">E413</f>
        <v>Product Line 2</v>
      </c>
      <c r="X413" s="64"/>
      <c r="Y413" s="64"/>
      <c r="Z413" s="64"/>
      <c r="AA413" s="64"/>
      <c r="AB413" s="60"/>
      <c r="AC413" s="64"/>
      <c r="AD413" s="64"/>
      <c r="AE413" s="64"/>
      <c r="AF413" s="64"/>
      <c r="AG413" s="60"/>
      <c r="AH413" s="64"/>
      <c r="AI413" s="64"/>
      <c r="AJ413" s="64"/>
    </row>
    <row r="414" spans="2:36" hidden="1" outlineLevel="1" x14ac:dyDescent="0.25">
      <c r="B414" s="229" t="s">
        <v>195</v>
      </c>
      <c r="C414" s="229" t="s">
        <v>195</v>
      </c>
      <c r="E414" s="78" t="s">
        <v>69</v>
      </c>
      <c r="F414" s="21">
        <f t="shared" ref="F414:H414" si="642">F514</f>
        <v>0</v>
      </c>
      <c r="G414" s="21">
        <f t="shared" si="642"/>
        <v>0</v>
      </c>
      <c r="H414" s="21">
        <f t="shared" si="642"/>
        <v>0</v>
      </c>
      <c r="I414" s="10">
        <f t="shared" ref="I414:L414" si="643">IF(X414="",I514,X414)</f>
        <v>0</v>
      </c>
      <c r="J414" s="10">
        <f t="shared" si="643"/>
        <v>0</v>
      </c>
      <c r="K414" s="10">
        <f t="shared" si="643"/>
        <v>0</v>
      </c>
      <c r="L414" s="10">
        <f t="shared" si="643"/>
        <v>0</v>
      </c>
      <c r="M414" s="17">
        <f t="shared" si="633"/>
        <v>0</v>
      </c>
      <c r="N414" s="10">
        <f t="shared" ref="N414:Q414" si="644">IF(AC414="",N514,AC414)</f>
        <v>0</v>
      </c>
      <c r="O414" s="10">
        <f t="shared" si="644"/>
        <v>0</v>
      </c>
      <c r="P414" s="10">
        <f t="shared" si="644"/>
        <v>0</v>
      </c>
      <c r="Q414" s="10">
        <f t="shared" si="644"/>
        <v>0</v>
      </c>
      <c r="R414" s="22">
        <f t="shared" si="635"/>
        <v>0</v>
      </c>
      <c r="S414" s="23">
        <f t="shared" ref="S414:U414" si="645">IF(AH414="",S514,AH414)</f>
        <v>0</v>
      </c>
      <c r="T414" s="23">
        <f t="shared" si="645"/>
        <v>0</v>
      </c>
      <c r="U414" s="23">
        <f t="shared" si="645"/>
        <v>0</v>
      </c>
      <c r="W414" s="79" t="str">
        <f t="shared" si="641"/>
        <v>Product Line 3</v>
      </c>
      <c r="X414" s="64"/>
      <c r="Y414" s="64"/>
      <c r="Z414" s="64"/>
      <c r="AA414" s="64"/>
      <c r="AB414" s="60"/>
      <c r="AC414" s="64"/>
      <c r="AD414" s="64"/>
      <c r="AE414" s="64"/>
      <c r="AF414" s="64"/>
      <c r="AG414" s="60"/>
      <c r="AH414" s="64"/>
      <c r="AI414" s="64"/>
      <c r="AJ414" s="64"/>
    </row>
    <row r="415" spans="2:36" hidden="1" outlineLevel="1" x14ac:dyDescent="0.25">
      <c r="B415" s="229" t="s">
        <v>195</v>
      </c>
      <c r="C415" s="229" t="s">
        <v>195</v>
      </c>
      <c r="E415" s="78" t="s">
        <v>70</v>
      </c>
      <c r="F415" s="21">
        <f t="shared" ref="F415:H415" si="646">F515</f>
        <v>0</v>
      </c>
      <c r="G415" s="21">
        <f t="shared" si="646"/>
        <v>0</v>
      </c>
      <c r="H415" s="21">
        <f t="shared" si="646"/>
        <v>0</v>
      </c>
      <c r="I415" s="10">
        <f t="shared" ref="I415:L415" si="647">IF(X415="",I515,X415)</f>
        <v>0</v>
      </c>
      <c r="J415" s="10">
        <f t="shared" si="647"/>
        <v>0</v>
      </c>
      <c r="K415" s="10">
        <f t="shared" si="647"/>
        <v>0</v>
      </c>
      <c r="L415" s="10">
        <f t="shared" si="647"/>
        <v>0</v>
      </c>
      <c r="M415" s="17">
        <f t="shared" si="633"/>
        <v>0</v>
      </c>
      <c r="N415" s="10">
        <f t="shared" ref="N415:Q415" si="648">IF(AC415="",N515,AC415)</f>
        <v>0</v>
      </c>
      <c r="O415" s="10">
        <f t="shared" si="648"/>
        <v>0</v>
      </c>
      <c r="P415" s="10">
        <f t="shared" si="648"/>
        <v>0</v>
      </c>
      <c r="Q415" s="10">
        <f t="shared" si="648"/>
        <v>0</v>
      </c>
      <c r="R415" s="22">
        <f t="shared" si="635"/>
        <v>0</v>
      </c>
      <c r="S415" s="23">
        <f t="shared" ref="S415:U415" si="649">IF(AH415="",S515,AH415)</f>
        <v>0</v>
      </c>
      <c r="T415" s="23">
        <f t="shared" si="649"/>
        <v>0</v>
      </c>
      <c r="U415" s="23">
        <f t="shared" si="649"/>
        <v>0</v>
      </c>
      <c r="W415" s="79" t="str">
        <f t="shared" si="641"/>
        <v>Product Line 4</v>
      </c>
      <c r="X415" s="64"/>
      <c r="Y415" s="64"/>
      <c r="Z415" s="64"/>
      <c r="AA415" s="64"/>
      <c r="AB415" s="60"/>
      <c r="AC415" s="64"/>
      <c r="AD415" s="64"/>
      <c r="AE415" s="64"/>
      <c r="AF415" s="64"/>
      <c r="AG415" s="60"/>
      <c r="AH415" s="64"/>
      <c r="AI415" s="64"/>
      <c r="AJ415" s="64"/>
    </row>
    <row r="416" spans="2:36" hidden="1" outlineLevel="1" x14ac:dyDescent="0.25">
      <c r="B416" s="229" t="s">
        <v>195</v>
      </c>
      <c r="C416" s="229" t="s">
        <v>195</v>
      </c>
      <c r="E416" s="78" t="s">
        <v>71</v>
      </c>
      <c r="F416" s="21">
        <f t="shared" ref="F416:H416" si="650">F516</f>
        <v>0</v>
      </c>
      <c r="G416" s="21">
        <f t="shared" si="650"/>
        <v>0</v>
      </c>
      <c r="H416" s="21">
        <f t="shared" si="650"/>
        <v>0</v>
      </c>
      <c r="I416" s="10">
        <f t="shared" ref="I416:L416" si="651">IF(X416="",I516,X416)</f>
        <v>0</v>
      </c>
      <c r="J416" s="10">
        <f t="shared" si="651"/>
        <v>0</v>
      </c>
      <c r="K416" s="10">
        <f t="shared" si="651"/>
        <v>0</v>
      </c>
      <c r="L416" s="10">
        <f t="shared" si="651"/>
        <v>0</v>
      </c>
      <c r="M416" s="17">
        <f t="shared" si="633"/>
        <v>0</v>
      </c>
      <c r="N416" s="10">
        <f t="shared" ref="N416:Q416" si="652">IF(AC416="",N516,AC416)</f>
        <v>0</v>
      </c>
      <c r="O416" s="10">
        <f t="shared" si="652"/>
        <v>0</v>
      </c>
      <c r="P416" s="10">
        <f t="shared" si="652"/>
        <v>0</v>
      </c>
      <c r="Q416" s="10">
        <f t="shared" si="652"/>
        <v>0</v>
      </c>
      <c r="R416" s="22">
        <f t="shared" si="635"/>
        <v>0</v>
      </c>
      <c r="S416" s="23">
        <f t="shared" ref="S416:U416" si="653">IF(AH416="",S516,AH416)</f>
        <v>0</v>
      </c>
      <c r="T416" s="23">
        <f t="shared" si="653"/>
        <v>0</v>
      </c>
      <c r="U416" s="23">
        <f t="shared" si="653"/>
        <v>0</v>
      </c>
      <c r="W416" s="79" t="str">
        <f t="shared" si="641"/>
        <v>Product Line 5</v>
      </c>
      <c r="X416" s="64"/>
      <c r="Y416" s="64"/>
      <c r="Z416" s="64"/>
      <c r="AA416" s="64"/>
      <c r="AB416" s="60"/>
      <c r="AC416" s="64"/>
      <c r="AD416" s="64"/>
      <c r="AE416" s="64"/>
      <c r="AF416" s="64"/>
      <c r="AG416" s="60"/>
      <c r="AH416" s="64"/>
      <c r="AI416" s="64"/>
      <c r="AJ416" s="64"/>
    </row>
    <row r="417" spans="2:36" hidden="1" outlineLevel="1" x14ac:dyDescent="0.25">
      <c r="B417" s="229" t="s">
        <v>195</v>
      </c>
      <c r="C417" s="229" t="s">
        <v>195</v>
      </c>
      <c r="E417" s="78" t="s">
        <v>72</v>
      </c>
      <c r="F417" s="21">
        <f t="shared" ref="F417:H417" si="654">F517</f>
        <v>0</v>
      </c>
      <c r="G417" s="21">
        <f t="shared" si="654"/>
        <v>0</v>
      </c>
      <c r="H417" s="21">
        <f t="shared" si="654"/>
        <v>0</v>
      </c>
      <c r="I417" s="10">
        <f t="shared" ref="I417:L417" si="655">IF(X417="",I517,X417)</f>
        <v>0</v>
      </c>
      <c r="J417" s="10">
        <f t="shared" si="655"/>
        <v>0</v>
      </c>
      <c r="K417" s="10">
        <f t="shared" si="655"/>
        <v>0</v>
      </c>
      <c r="L417" s="10">
        <f t="shared" si="655"/>
        <v>0</v>
      </c>
      <c r="M417" s="17">
        <f t="shared" si="633"/>
        <v>0</v>
      </c>
      <c r="N417" s="10">
        <f t="shared" ref="N417:Q417" si="656">IF(AC417="",N517,AC417)</f>
        <v>0</v>
      </c>
      <c r="O417" s="10">
        <f t="shared" si="656"/>
        <v>0</v>
      </c>
      <c r="P417" s="10">
        <f t="shared" si="656"/>
        <v>0</v>
      </c>
      <c r="Q417" s="10">
        <f t="shared" si="656"/>
        <v>0</v>
      </c>
      <c r="R417" s="22">
        <f t="shared" si="635"/>
        <v>0</v>
      </c>
      <c r="S417" s="23">
        <f t="shared" ref="S417:U417" si="657">IF(AH417="",S517,AH417)</f>
        <v>0</v>
      </c>
      <c r="T417" s="23">
        <f t="shared" si="657"/>
        <v>0</v>
      </c>
      <c r="U417" s="23">
        <f t="shared" si="657"/>
        <v>0</v>
      </c>
      <c r="W417" s="79" t="str">
        <f t="shared" si="641"/>
        <v>Product Line 6</v>
      </c>
      <c r="X417" s="64"/>
      <c r="Y417" s="64"/>
      <c r="Z417" s="64"/>
      <c r="AA417" s="64"/>
      <c r="AB417" s="60"/>
      <c r="AC417" s="64"/>
      <c r="AD417" s="64"/>
      <c r="AE417" s="64"/>
      <c r="AF417" s="64"/>
      <c r="AG417" s="60"/>
      <c r="AH417" s="64"/>
      <c r="AI417" s="64"/>
      <c r="AJ417" s="64"/>
    </row>
    <row r="418" spans="2:36" hidden="1" outlineLevel="1" x14ac:dyDescent="0.25">
      <c r="B418" s="229" t="s">
        <v>195</v>
      </c>
      <c r="C418" s="229" t="s">
        <v>195</v>
      </c>
      <c r="E418" s="78" t="s">
        <v>73</v>
      </c>
      <c r="F418" s="21">
        <f t="shared" ref="F418:H418" si="658">F518</f>
        <v>0</v>
      </c>
      <c r="G418" s="21">
        <f t="shared" si="658"/>
        <v>0</v>
      </c>
      <c r="H418" s="21">
        <f t="shared" si="658"/>
        <v>0</v>
      </c>
      <c r="I418" s="10">
        <f t="shared" ref="I418:L418" si="659">IF(X418="",I518,X418)</f>
        <v>0</v>
      </c>
      <c r="J418" s="10">
        <f t="shared" si="659"/>
        <v>0</v>
      </c>
      <c r="K418" s="10">
        <f t="shared" si="659"/>
        <v>0</v>
      </c>
      <c r="L418" s="10">
        <f t="shared" si="659"/>
        <v>0</v>
      </c>
      <c r="M418" s="17">
        <f t="shared" si="633"/>
        <v>0</v>
      </c>
      <c r="N418" s="10">
        <f t="shared" ref="N418:Q418" si="660">IF(AC418="",N518,AC418)</f>
        <v>0</v>
      </c>
      <c r="O418" s="10">
        <f t="shared" si="660"/>
        <v>0</v>
      </c>
      <c r="P418" s="10">
        <f t="shared" si="660"/>
        <v>0</v>
      </c>
      <c r="Q418" s="10">
        <f t="shared" si="660"/>
        <v>0</v>
      </c>
      <c r="R418" s="22">
        <f t="shared" si="635"/>
        <v>0</v>
      </c>
      <c r="S418" s="23">
        <f t="shared" ref="S418:U418" si="661">IF(AH418="",S518,AH418)</f>
        <v>0</v>
      </c>
      <c r="T418" s="23">
        <f t="shared" si="661"/>
        <v>0</v>
      </c>
      <c r="U418" s="23">
        <f t="shared" si="661"/>
        <v>0</v>
      </c>
      <c r="W418" s="79" t="str">
        <f t="shared" si="641"/>
        <v>Product Line 7</v>
      </c>
      <c r="X418" s="64"/>
      <c r="Y418" s="64"/>
      <c r="Z418" s="64"/>
      <c r="AA418" s="64"/>
      <c r="AB418" s="60"/>
      <c r="AC418" s="64"/>
      <c r="AD418" s="64"/>
      <c r="AE418" s="64"/>
      <c r="AF418" s="64"/>
      <c r="AG418" s="60"/>
      <c r="AH418" s="64"/>
      <c r="AI418" s="64"/>
      <c r="AJ418" s="64"/>
    </row>
    <row r="419" spans="2:36" ht="15.75" hidden="1" outlineLevel="1" thickBot="1" x14ac:dyDescent="0.3">
      <c r="E419" s="8" t="s">
        <v>27</v>
      </c>
      <c r="F419" s="9">
        <f t="shared" ref="F419:U419" si="662">SUM(F412:F418)</f>
        <v>0</v>
      </c>
      <c r="G419" s="9">
        <f t="shared" si="662"/>
        <v>0</v>
      </c>
      <c r="H419" s="9">
        <f t="shared" si="662"/>
        <v>0</v>
      </c>
      <c r="I419" s="11">
        <f t="shared" si="662"/>
        <v>0</v>
      </c>
      <c r="J419" s="11">
        <f t="shared" si="662"/>
        <v>0</v>
      </c>
      <c r="K419" s="11">
        <f t="shared" si="662"/>
        <v>0</v>
      </c>
      <c r="L419" s="11">
        <f t="shared" si="662"/>
        <v>0</v>
      </c>
      <c r="M419" s="18">
        <f t="shared" si="662"/>
        <v>0</v>
      </c>
      <c r="N419" s="11">
        <f t="shared" si="662"/>
        <v>0</v>
      </c>
      <c r="O419" s="11">
        <f t="shared" si="662"/>
        <v>0</v>
      </c>
      <c r="P419" s="11">
        <f t="shared" si="662"/>
        <v>0</v>
      </c>
      <c r="Q419" s="11">
        <f t="shared" si="662"/>
        <v>0</v>
      </c>
      <c r="R419" s="19">
        <f t="shared" si="662"/>
        <v>0</v>
      </c>
      <c r="S419" s="20">
        <f t="shared" si="662"/>
        <v>0</v>
      </c>
      <c r="T419" s="20">
        <f t="shared" si="662"/>
        <v>0</v>
      </c>
      <c r="U419" s="20">
        <f t="shared" si="662"/>
        <v>0</v>
      </c>
    </row>
    <row r="420" spans="2:36" ht="15.75" hidden="1" outlineLevel="1" thickTop="1" x14ac:dyDescent="0.25">
      <c r="M420" s="3"/>
    </row>
    <row r="421" spans="2:36" hidden="1" outlineLevel="1" x14ac:dyDescent="0.25">
      <c r="M421" s="3"/>
    </row>
    <row r="422" spans="2:36" hidden="1" outlineLevel="1" x14ac:dyDescent="0.25">
      <c r="M422" s="3"/>
    </row>
    <row r="423" spans="2:36" hidden="1" outlineLevel="1" x14ac:dyDescent="0.25">
      <c r="E423" s="4" t="s">
        <v>51</v>
      </c>
      <c r="W423" s="4" t="s">
        <v>51</v>
      </c>
    </row>
    <row r="424" spans="2:36" hidden="1" outlineLevel="1" x14ac:dyDescent="0.25">
      <c r="E424" s="6" t="s">
        <v>25</v>
      </c>
      <c r="W424" s="61" t="s">
        <v>62</v>
      </c>
    </row>
    <row r="425" spans="2:36" hidden="1" outlineLevel="1" x14ac:dyDescent="0.25"/>
    <row r="426" spans="2:36" hidden="1" outlineLevel="1" x14ac:dyDescent="0.25">
      <c r="F426" s="12">
        <f>Inputs!$C$7</f>
        <v>2023</v>
      </c>
      <c r="G426" s="12">
        <f>Inputs!$C$8</f>
        <v>2024</v>
      </c>
      <c r="H426" s="12">
        <f>Inputs!$C$9</f>
        <v>2025</v>
      </c>
      <c r="I426" s="13" t="s">
        <v>1</v>
      </c>
      <c r="J426" s="13" t="s">
        <v>2</v>
      </c>
      <c r="K426" s="13" t="s">
        <v>3</v>
      </c>
      <c r="L426" s="13" t="s">
        <v>4</v>
      </c>
      <c r="M426" s="13">
        <f>Inputs!$C$10</f>
        <v>2026</v>
      </c>
      <c r="N426" s="14" t="s">
        <v>1</v>
      </c>
      <c r="O426" s="14" t="s">
        <v>2</v>
      </c>
      <c r="P426" s="14" t="s">
        <v>3</v>
      </c>
      <c r="Q426" s="14" t="s">
        <v>4</v>
      </c>
      <c r="R426" s="15">
        <f>Inputs!$C$11</f>
        <v>2027</v>
      </c>
      <c r="S426" s="16">
        <f>Inputs!$C$12</f>
        <v>2028</v>
      </c>
      <c r="T426" s="16">
        <f>Inputs!$C$13</f>
        <v>2029</v>
      </c>
      <c r="U426" s="16">
        <f>Inputs!$C$14</f>
        <v>2030</v>
      </c>
      <c r="X426" s="13" t="s">
        <v>1</v>
      </c>
      <c r="Y426" s="13" t="s">
        <v>2</v>
      </c>
      <c r="Z426" s="13" t="s">
        <v>3</v>
      </c>
      <c r="AA426" s="13" t="s">
        <v>4</v>
      </c>
      <c r="AB426" s="13">
        <f>Inputs!$C$10</f>
        <v>2026</v>
      </c>
      <c r="AC426" s="14" t="s">
        <v>1</v>
      </c>
      <c r="AD426" s="14" t="s">
        <v>2</v>
      </c>
      <c r="AE426" s="14" t="s">
        <v>3</v>
      </c>
      <c r="AF426" s="14" t="s">
        <v>4</v>
      </c>
      <c r="AG426" s="15">
        <f>Inputs!$C$11</f>
        <v>2027</v>
      </c>
      <c r="AH426" s="16">
        <f>Inputs!$C$12</f>
        <v>2028</v>
      </c>
      <c r="AI426" s="16">
        <f>Inputs!$C$13</f>
        <v>2029</v>
      </c>
      <c r="AJ426" s="16">
        <f>Inputs!$C$14</f>
        <v>2030</v>
      </c>
    </row>
    <row r="427" spans="2:36" hidden="1" outlineLevel="1" x14ac:dyDescent="0.25">
      <c r="F427" s="71" t="s">
        <v>63</v>
      </c>
      <c r="G427" s="71" t="s">
        <v>63</v>
      </c>
      <c r="H427" s="71" t="s">
        <v>63</v>
      </c>
      <c r="I427" s="71" t="s">
        <v>63</v>
      </c>
      <c r="J427" s="71" t="s">
        <v>63</v>
      </c>
      <c r="K427" s="71" t="s">
        <v>63</v>
      </c>
      <c r="L427" s="71" t="s">
        <v>63</v>
      </c>
      <c r="M427" s="71" t="s">
        <v>63</v>
      </c>
      <c r="N427" s="71" t="s">
        <v>63</v>
      </c>
      <c r="O427" s="71" t="s">
        <v>63</v>
      </c>
      <c r="P427" s="71" t="s">
        <v>63</v>
      </c>
      <c r="Q427" s="71" t="s">
        <v>63</v>
      </c>
      <c r="R427" s="71" t="s">
        <v>63</v>
      </c>
      <c r="S427" s="71" t="s">
        <v>63</v>
      </c>
      <c r="T427" s="71" t="s">
        <v>63</v>
      </c>
      <c r="U427" s="71" t="s">
        <v>63</v>
      </c>
      <c r="X427" s="63" t="s">
        <v>30</v>
      </c>
      <c r="Y427" s="63" t="s">
        <v>30</v>
      </c>
      <c r="Z427" s="63" t="s">
        <v>30</v>
      </c>
      <c r="AA427" s="63" t="s">
        <v>30</v>
      </c>
      <c r="AB427" s="62"/>
      <c r="AC427" s="63" t="s">
        <v>30</v>
      </c>
      <c r="AD427" s="63" t="s">
        <v>30</v>
      </c>
      <c r="AE427" s="63" t="s">
        <v>30</v>
      </c>
      <c r="AF427" s="63" t="s">
        <v>30</v>
      </c>
      <c r="AG427" s="62"/>
      <c r="AH427" s="63" t="s">
        <v>30</v>
      </c>
      <c r="AI427" s="63" t="s">
        <v>30</v>
      </c>
      <c r="AJ427" s="63" t="s">
        <v>30</v>
      </c>
    </row>
    <row r="428" spans="2:36" hidden="1" outlineLevel="1" x14ac:dyDescent="0.25">
      <c r="B428" s="229" t="s">
        <v>195</v>
      </c>
      <c r="C428" s="229" t="s">
        <v>195</v>
      </c>
      <c r="E428" s="78" t="s">
        <v>67</v>
      </c>
      <c r="F428" s="21">
        <f>F528</f>
        <v>0</v>
      </c>
      <c r="G428" s="21">
        <f t="shared" ref="G428:H428" si="663">G528</f>
        <v>0</v>
      </c>
      <c r="H428" s="21">
        <f t="shared" si="663"/>
        <v>0</v>
      </c>
      <c r="I428" s="10">
        <f>IF(X428="",I528,X428)</f>
        <v>0</v>
      </c>
      <c r="J428" s="10">
        <f t="shared" ref="J428:L428" si="664">IF(Y428="",J528,Y428)</f>
        <v>0</v>
      </c>
      <c r="K428" s="10">
        <f t="shared" si="664"/>
        <v>0</v>
      </c>
      <c r="L428" s="10">
        <f t="shared" si="664"/>
        <v>0</v>
      </c>
      <c r="M428" s="17">
        <f t="shared" ref="M428:M434" si="665">SUM(I428:L428)</f>
        <v>0</v>
      </c>
      <c r="N428" s="10">
        <f t="shared" ref="N428:Q428" si="666">IF(AC428="",N528,AC428)</f>
        <v>0</v>
      </c>
      <c r="O428" s="10">
        <f t="shared" si="666"/>
        <v>0</v>
      </c>
      <c r="P428" s="10">
        <f t="shared" si="666"/>
        <v>0</v>
      </c>
      <c r="Q428" s="10">
        <f t="shared" si="666"/>
        <v>0</v>
      </c>
      <c r="R428" s="22">
        <f t="shared" ref="R428:R434" si="667">SUM(N428:Q428)</f>
        <v>0</v>
      </c>
      <c r="S428" s="23">
        <f t="shared" ref="S428:U428" si="668">IF(AH428="",S528,AH428)</f>
        <v>0</v>
      </c>
      <c r="T428" s="23">
        <f t="shared" si="668"/>
        <v>0</v>
      </c>
      <c r="U428" s="23">
        <f t="shared" si="668"/>
        <v>0</v>
      </c>
      <c r="W428" s="79" t="str">
        <f>E428</f>
        <v>Product Line 1</v>
      </c>
      <c r="X428" s="64"/>
      <c r="Y428" s="64"/>
      <c r="Z428" s="64"/>
      <c r="AA428" s="64"/>
      <c r="AB428" s="60"/>
      <c r="AC428" s="64"/>
      <c r="AD428" s="64"/>
      <c r="AE428" s="64"/>
      <c r="AF428" s="64"/>
      <c r="AG428" s="60"/>
      <c r="AH428" s="64"/>
      <c r="AI428" s="64"/>
      <c r="AJ428" s="64"/>
    </row>
    <row r="429" spans="2:36" hidden="1" outlineLevel="1" x14ac:dyDescent="0.25">
      <c r="B429" s="229" t="s">
        <v>195</v>
      </c>
      <c r="C429" s="229" t="s">
        <v>195</v>
      </c>
      <c r="E429" s="78" t="s">
        <v>68</v>
      </c>
      <c r="F429" s="21">
        <f t="shared" ref="F429:H429" si="669">F529</f>
        <v>0</v>
      </c>
      <c r="G429" s="21">
        <f t="shared" si="669"/>
        <v>0</v>
      </c>
      <c r="H429" s="21">
        <f t="shared" si="669"/>
        <v>0</v>
      </c>
      <c r="I429" s="10">
        <f t="shared" ref="I429:L429" si="670">IF(X429="",I529,X429)</f>
        <v>0</v>
      </c>
      <c r="J429" s="10">
        <f t="shared" si="670"/>
        <v>0</v>
      </c>
      <c r="K429" s="10">
        <f t="shared" si="670"/>
        <v>0</v>
      </c>
      <c r="L429" s="10">
        <f t="shared" si="670"/>
        <v>0</v>
      </c>
      <c r="M429" s="17">
        <f t="shared" si="665"/>
        <v>0</v>
      </c>
      <c r="N429" s="10">
        <f t="shared" ref="N429:Q429" si="671">IF(AC429="",N529,AC429)</f>
        <v>0</v>
      </c>
      <c r="O429" s="10">
        <f t="shared" si="671"/>
        <v>0</v>
      </c>
      <c r="P429" s="10">
        <f t="shared" si="671"/>
        <v>0</v>
      </c>
      <c r="Q429" s="10">
        <f t="shared" si="671"/>
        <v>0</v>
      </c>
      <c r="R429" s="22">
        <f t="shared" si="667"/>
        <v>0</v>
      </c>
      <c r="S429" s="23">
        <f t="shared" ref="S429:U429" si="672">IF(AH429="",S529,AH429)</f>
        <v>0</v>
      </c>
      <c r="T429" s="23">
        <f t="shared" si="672"/>
        <v>0</v>
      </c>
      <c r="U429" s="23">
        <f t="shared" si="672"/>
        <v>0</v>
      </c>
      <c r="W429" s="79" t="str">
        <f t="shared" ref="W429:W434" si="673">E429</f>
        <v>Product Line 2</v>
      </c>
      <c r="X429" s="64"/>
      <c r="Y429" s="64"/>
      <c r="Z429" s="64"/>
      <c r="AA429" s="64"/>
      <c r="AB429" s="60"/>
      <c r="AC429" s="64"/>
      <c r="AD429" s="64"/>
      <c r="AE429" s="64"/>
      <c r="AF429" s="64"/>
      <c r="AG429" s="60"/>
      <c r="AH429" s="64"/>
      <c r="AI429" s="64"/>
      <c r="AJ429" s="64"/>
    </row>
    <row r="430" spans="2:36" hidden="1" outlineLevel="1" x14ac:dyDescent="0.25">
      <c r="B430" s="229" t="s">
        <v>195</v>
      </c>
      <c r="C430" s="229" t="s">
        <v>195</v>
      </c>
      <c r="E430" s="78" t="s">
        <v>69</v>
      </c>
      <c r="F430" s="21">
        <f t="shared" ref="F430:H430" si="674">F530</f>
        <v>0</v>
      </c>
      <c r="G430" s="21">
        <f t="shared" si="674"/>
        <v>0</v>
      </c>
      <c r="H430" s="21">
        <f t="shared" si="674"/>
        <v>0</v>
      </c>
      <c r="I430" s="10">
        <f t="shared" ref="I430:L430" si="675">IF(X430="",I530,X430)</f>
        <v>0</v>
      </c>
      <c r="J430" s="10">
        <f t="shared" si="675"/>
        <v>0</v>
      </c>
      <c r="K430" s="10">
        <f t="shared" si="675"/>
        <v>0</v>
      </c>
      <c r="L430" s="10">
        <f t="shared" si="675"/>
        <v>0</v>
      </c>
      <c r="M430" s="17">
        <f t="shared" si="665"/>
        <v>0</v>
      </c>
      <c r="N430" s="10">
        <f t="shared" ref="N430:Q430" si="676">IF(AC430="",N530,AC430)</f>
        <v>0</v>
      </c>
      <c r="O430" s="10">
        <f t="shared" si="676"/>
        <v>0</v>
      </c>
      <c r="P430" s="10">
        <f t="shared" si="676"/>
        <v>0</v>
      </c>
      <c r="Q430" s="10">
        <f t="shared" si="676"/>
        <v>0</v>
      </c>
      <c r="R430" s="22">
        <f t="shared" si="667"/>
        <v>0</v>
      </c>
      <c r="S430" s="23">
        <f t="shared" ref="S430:U430" si="677">IF(AH430="",S530,AH430)</f>
        <v>0</v>
      </c>
      <c r="T430" s="23">
        <f t="shared" si="677"/>
        <v>0</v>
      </c>
      <c r="U430" s="23">
        <f t="shared" si="677"/>
        <v>0</v>
      </c>
      <c r="W430" s="79" t="str">
        <f t="shared" si="673"/>
        <v>Product Line 3</v>
      </c>
      <c r="X430" s="64"/>
      <c r="Y430" s="64"/>
      <c r="Z430" s="64"/>
      <c r="AA430" s="64"/>
      <c r="AB430" s="60"/>
      <c r="AC430" s="64"/>
      <c r="AD430" s="64"/>
      <c r="AE430" s="64"/>
      <c r="AF430" s="64"/>
      <c r="AG430" s="60"/>
      <c r="AH430" s="64"/>
      <c r="AI430" s="64"/>
      <c r="AJ430" s="64"/>
    </row>
    <row r="431" spans="2:36" hidden="1" outlineLevel="1" x14ac:dyDescent="0.25">
      <c r="B431" s="229" t="s">
        <v>195</v>
      </c>
      <c r="C431" s="229" t="s">
        <v>195</v>
      </c>
      <c r="E431" s="78" t="s">
        <v>70</v>
      </c>
      <c r="F431" s="21">
        <f t="shared" ref="F431:H431" si="678">F531</f>
        <v>0</v>
      </c>
      <c r="G431" s="21">
        <f t="shared" si="678"/>
        <v>0</v>
      </c>
      <c r="H431" s="21">
        <f t="shared" si="678"/>
        <v>0</v>
      </c>
      <c r="I431" s="10">
        <f t="shared" ref="I431:L431" si="679">IF(X431="",I531,X431)</f>
        <v>0</v>
      </c>
      <c r="J431" s="10">
        <f t="shared" si="679"/>
        <v>0</v>
      </c>
      <c r="K431" s="10">
        <f t="shared" si="679"/>
        <v>0</v>
      </c>
      <c r="L431" s="10">
        <f t="shared" si="679"/>
        <v>0</v>
      </c>
      <c r="M431" s="17">
        <f t="shared" si="665"/>
        <v>0</v>
      </c>
      <c r="N431" s="10">
        <f t="shared" ref="N431:Q431" si="680">IF(AC431="",N531,AC431)</f>
        <v>0</v>
      </c>
      <c r="O431" s="10">
        <f t="shared" si="680"/>
        <v>0</v>
      </c>
      <c r="P431" s="10">
        <f t="shared" si="680"/>
        <v>0</v>
      </c>
      <c r="Q431" s="10">
        <f t="shared" si="680"/>
        <v>0</v>
      </c>
      <c r="R431" s="22">
        <f t="shared" si="667"/>
        <v>0</v>
      </c>
      <c r="S431" s="23">
        <f t="shared" ref="S431:U431" si="681">IF(AH431="",S531,AH431)</f>
        <v>0</v>
      </c>
      <c r="T431" s="23">
        <f t="shared" si="681"/>
        <v>0</v>
      </c>
      <c r="U431" s="23">
        <f t="shared" si="681"/>
        <v>0</v>
      </c>
      <c r="W431" s="79" t="str">
        <f t="shared" si="673"/>
        <v>Product Line 4</v>
      </c>
      <c r="X431" s="64"/>
      <c r="Y431" s="64"/>
      <c r="Z431" s="64"/>
      <c r="AA431" s="64"/>
      <c r="AB431" s="60"/>
      <c r="AC431" s="64"/>
      <c r="AD431" s="64"/>
      <c r="AE431" s="64"/>
      <c r="AF431" s="64"/>
      <c r="AG431" s="60"/>
      <c r="AH431" s="64"/>
      <c r="AI431" s="64"/>
      <c r="AJ431" s="64"/>
    </row>
    <row r="432" spans="2:36" hidden="1" outlineLevel="1" x14ac:dyDescent="0.25">
      <c r="B432" s="229" t="s">
        <v>195</v>
      </c>
      <c r="C432" s="229" t="s">
        <v>195</v>
      </c>
      <c r="E432" s="78" t="s">
        <v>71</v>
      </c>
      <c r="F432" s="21">
        <f t="shared" ref="F432:H432" si="682">F532</f>
        <v>0</v>
      </c>
      <c r="G432" s="21">
        <f t="shared" si="682"/>
        <v>0</v>
      </c>
      <c r="H432" s="21">
        <f t="shared" si="682"/>
        <v>0</v>
      </c>
      <c r="I432" s="10">
        <f t="shared" ref="I432:L432" si="683">IF(X432="",I532,X432)</f>
        <v>0</v>
      </c>
      <c r="J432" s="10">
        <f t="shared" si="683"/>
        <v>0</v>
      </c>
      <c r="K432" s="10">
        <f t="shared" si="683"/>
        <v>0</v>
      </c>
      <c r="L432" s="10">
        <f t="shared" si="683"/>
        <v>0</v>
      </c>
      <c r="M432" s="17">
        <f t="shared" si="665"/>
        <v>0</v>
      </c>
      <c r="N432" s="10">
        <f t="shared" ref="N432:Q432" si="684">IF(AC432="",N532,AC432)</f>
        <v>0</v>
      </c>
      <c r="O432" s="10">
        <f t="shared" si="684"/>
        <v>0</v>
      </c>
      <c r="P432" s="10">
        <f t="shared" si="684"/>
        <v>0</v>
      </c>
      <c r="Q432" s="10">
        <f t="shared" si="684"/>
        <v>0</v>
      </c>
      <c r="R432" s="22">
        <f t="shared" si="667"/>
        <v>0</v>
      </c>
      <c r="S432" s="23">
        <f t="shared" ref="S432:U432" si="685">IF(AH432="",S532,AH432)</f>
        <v>0</v>
      </c>
      <c r="T432" s="23">
        <f t="shared" si="685"/>
        <v>0</v>
      </c>
      <c r="U432" s="23">
        <f t="shared" si="685"/>
        <v>0</v>
      </c>
      <c r="W432" s="79" t="str">
        <f t="shared" si="673"/>
        <v>Product Line 5</v>
      </c>
      <c r="X432" s="64"/>
      <c r="Y432" s="64"/>
      <c r="Z432" s="64"/>
      <c r="AA432" s="64"/>
      <c r="AB432" s="60"/>
      <c r="AC432" s="64"/>
      <c r="AD432" s="64"/>
      <c r="AE432" s="64"/>
      <c r="AF432" s="64"/>
      <c r="AG432" s="60"/>
      <c r="AH432" s="64"/>
      <c r="AI432" s="64"/>
      <c r="AJ432" s="64"/>
    </row>
    <row r="433" spans="2:36" hidden="1" outlineLevel="1" x14ac:dyDescent="0.25">
      <c r="B433" s="229" t="s">
        <v>195</v>
      </c>
      <c r="C433" s="229" t="s">
        <v>195</v>
      </c>
      <c r="E433" s="78" t="s">
        <v>72</v>
      </c>
      <c r="F433" s="21">
        <f t="shared" ref="F433:H433" si="686">F533</f>
        <v>0</v>
      </c>
      <c r="G433" s="21">
        <f t="shared" si="686"/>
        <v>0</v>
      </c>
      <c r="H433" s="21">
        <f t="shared" si="686"/>
        <v>0</v>
      </c>
      <c r="I433" s="10">
        <f t="shared" ref="I433:L433" si="687">IF(X433="",I533,X433)</f>
        <v>0</v>
      </c>
      <c r="J433" s="10">
        <f t="shared" si="687"/>
        <v>0</v>
      </c>
      <c r="K433" s="10">
        <f t="shared" si="687"/>
        <v>0</v>
      </c>
      <c r="L433" s="10">
        <f t="shared" si="687"/>
        <v>0</v>
      </c>
      <c r="M433" s="17">
        <f t="shared" si="665"/>
        <v>0</v>
      </c>
      <c r="N433" s="10">
        <f t="shared" ref="N433:Q433" si="688">IF(AC433="",N533,AC433)</f>
        <v>0</v>
      </c>
      <c r="O433" s="10">
        <f t="shared" si="688"/>
        <v>0</v>
      </c>
      <c r="P433" s="10">
        <f t="shared" si="688"/>
        <v>0</v>
      </c>
      <c r="Q433" s="10">
        <f t="shared" si="688"/>
        <v>0</v>
      </c>
      <c r="R433" s="22">
        <f t="shared" si="667"/>
        <v>0</v>
      </c>
      <c r="S433" s="23">
        <f t="shared" ref="S433:U433" si="689">IF(AH433="",S533,AH433)</f>
        <v>0</v>
      </c>
      <c r="T433" s="23">
        <f t="shared" si="689"/>
        <v>0</v>
      </c>
      <c r="U433" s="23">
        <f t="shared" si="689"/>
        <v>0</v>
      </c>
      <c r="W433" s="79" t="str">
        <f t="shared" si="673"/>
        <v>Product Line 6</v>
      </c>
      <c r="X433" s="64"/>
      <c r="Y433" s="64"/>
      <c r="Z433" s="64"/>
      <c r="AA433" s="64"/>
      <c r="AB433" s="60"/>
      <c r="AC433" s="64"/>
      <c r="AD433" s="64"/>
      <c r="AE433" s="64"/>
      <c r="AF433" s="64"/>
      <c r="AG433" s="60"/>
      <c r="AH433" s="64"/>
      <c r="AI433" s="64"/>
      <c r="AJ433" s="64"/>
    </row>
    <row r="434" spans="2:36" hidden="1" outlineLevel="1" x14ac:dyDescent="0.25">
      <c r="B434" s="229" t="s">
        <v>195</v>
      </c>
      <c r="C434" s="229" t="s">
        <v>195</v>
      </c>
      <c r="E434" s="78" t="s">
        <v>73</v>
      </c>
      <c r="F434" s="21">
        <f t="shared" ref="F434:H434" si="690">F534</f>
        <v>0</v>
      </c>
      <c r="G434" s="21">
        <f t="shared" si="690"/>
        <v>0</v>
      </c>
      <c r="H434" s="21">
        <f t="shared" si="690"/>
        <v>0</v>
      </c>
      <c r="I434" s="10">
        <f t="shared" ref="I434:L434" si="691">IF(X434="",I534,X434)</f>
        <v>0</v>
      </c>
      <c r="J434" s="10">
        <f t="shared" si="691"/>
        <v>0</v>
      </c>
      <c r="K434" s="10">
        <f t="shared" si="691"/>
        <v>0</v>
      </c>
      <c r="L434" s="10">
        <f t="shared" si="691"/>
        <v>0</v>
      </c>
      <c r="M434" s="17">
        <f t="shared" si="665"/>
        <v>0</v>
      </c>
      <c r="N434" s="10">
        <f t="shared" ref="N434:Q434" si="692">IF(AC434="",N534,AC434)</f>
        <v>0</v>
      </c>
      <c r="O434" s="10">
        <f t="shared" si="692"/>
        <v>0</v>
      </c>
      <c r="P434" s="10">
        <f t="shared" si="692"/>
        <v>0</v>
      </c>
      <c r="Q434" s="10">
        <f t="shared" si="692"/>
        <v>0</v>
      </c>
      <c r="R434" s="22">
        <f t="shared" si="667"/>
        <v>0</v>
      </c>
      <c r="S434" s="23">
        <f t="shared" ref="S434:U434" si="693">IF(AH434="",S534,AH434)</f>
        <v>0</v>
      </c>
      <c r="T434" s="23">
        <f t="shared" si="693"/>
        <v>0</v>
      </c>
      <c r="U434" s="23">
        <f t="shared" si="693"/>
        <v>0</v>
      </c>
      <c r="W434" s="79" t="str">
        <f t="shared" si="673"/>
        <v>Product Line 7</v>
      </c>
      <c r="X434" s="64"/>
      <c r="Y434" s="64"/>
      <c r="Z434" s="64"/>
      <c r="AA434" s="64"/>
      <c r="AB434" s="60"/>
      <c r="AC434" s="64"/>
      <c r="AD434" s="64"/>
      <c r="AE434" s="64"/>
      <c r="AF434" s="64"/>
      <c r="AG434" s="60"/>
      <c r="AH434" s="64"/>
      <c r="AI434" s="64"/>
      <c r="AJ434" s="64"/>
    </row>
    <row r="435" spans="2:36" ht="15.75" hidden="1" outlineLevel="1" thickBot="1" x14ac:dyDescent="0.3">
      <c r="E435" s="8" t="s">
        <v>27</v>
      </c>
      <c r="F435" s="9">
        <f t="shared" ref="F435:U435" si="694">SUM(F428:F434)</f>
        <v>0</v>
      </c>
      <c r="G435" s="9">
        <f t="shared" si="694"/>
        <v>0</v>
      </c>
      <c r="H435" s="9">
        <f t="shared" si="694"/>
        <v>0</v>
      </c>
      <c r="I435" s="11">
        <f t="shared" si="694"/>
        <v>0</v>
      </c>
      <c r="J435" s="11">
        <f t="shared" si="694"/>
        <v>0</v>
      </c>
      <c r="K435" s="11">
        <f t="shared" si="694"/>
        <v>0</v>
      </c>
      <c r="L435" s="11">
        <f t="shared" si="694"/>
        <v>0</v>
      </c>
      <c r="M435" s="18">
        <f t="shared" si="694"/>
        <v>0</v>
      </c>
      <c r="N435" s="11">
        <f t="shared" si="694"/>
        <v>0</v>
      </c>
      <c r="O435" s="11">
        <f t="shared" si="694"/>
        <v>0</v>
      </c>
      <c r="P435" s="11">
        <f t="shared" si="694"/>
        <v>0</v>
      </c>
      <c r="Q435" s="11">
        <f t="shared" si="694"/>
        <v>0</v>
      </c>
      <c r="R435" s="19">
        <f t="shared" si="694"/>
        <v>0</v>
      </c>
      <c r="S435" s="20">
        <f t="shared" si="694"/>
        <v>0</v>
      </c>
      <c r="T435" s="20">
        <f t="shared" si="694"/>
        <v>0</v>
      </c>
      <c r="U435" s="20">
        <f t="shared" si="694"/>
        <v>0</v>
      </c>
    </row>
    <row r="436" spans="2:36" ht="15.75" hidden="1" outlineLevel="1" thickTop="1" x14ac:dyDescent="0.25"/>
    <row r="437" spans="2:36" hidden="1" outlineLevel="1" x14ac:dyDescent="0.25"/>
    <row r="438" spans="2:36" hidden="1" outlineLevel="1" x14ac:dyDescent="0.25"/>
    <row r="439" spans="2:36" hidden="1" outlineLevel="1" x14ac:dyDescent="0.25">
      <c r="E439" s="4" t="s">
        <v>52</v>
      </c>
      <c r="W439" s="4" t="s">
        <v>52</v>
      </c>
    </row>
    <row r="440" spans="2:36" hidden="1" outlineLevel="1" x14ac:dyDescent="0.25">
      <c r="E440" s="6" t="s">
        <v>25</v>
      </c>
      <c r="W440" s="61" t="s">
        <v>62</v>
      </c>
    </row>
    <row r="441" spans="2:36" hidden="1" outlineLevel="1" x14ac:dyDescent="0.25"/>
    <row r="442" spans="2:36" hidden="1" outlineLevel="1" x14ac:dyDescent="0.25">
      <c r="F442" s="12">
        <f>Inputs!$C$7</f>
        <v>2023</v>
      </c>
      <c r="G442" s="12">
        <f>Inputs!$C$8</f>
        <v>2024</v>
      </c>
      <c r="H442" s="12">
        <f>Inputs!$C$9</f>
        <v>2025</v>
      </c>
      <c r="I442" s="13" t="s">
        <v>1</v>
      </c>
      <c r="J442" s="13" t="s">
        <v>2</v>
      </c>
      <c r="K442" s="13" t="s">
        <v>3</v>
      </c>
      <c r="L442" s="13" t="s">
        <v>4</v>
      </c>
      <c r="M442" s="13">
        <f>Inputs!$C$10</f>
        <v>2026</v>
      </c>
      <c r="N442" s="14" t="s">
        <v>1</v>
      </c>
      <c r="O442" s="14" t="s">
        <v>2</v>
      </c>
      <c r="P442" s="14" t="s">
        <v>3</v>
      </c>
      <c r="Q442" s="14" t="s">
        <v>4</v>
      </c>
      <c r="R442" s="15">
        <f>Inputs!$C$11</f>
        <v>2027</v>
      </c>
      <c r="S442" s="16">
        <f>Inputs!$C$12</f>
        <v>2028</v>
      </c>
      <c r="T442" s="16">
        <f>Inputs!$C$13</f>
        <v>2029</v>
      </c>
      <c r="U442" s="16">
        <f>Inputs!$C$14</f>
        <v>2030</v>
      </c>
      <c r="X442" s="13" t="s">
        <v>1</v>
      </c>
      <c r="Y442" s="13" t="s">
        <v>2</v>
      </c>
      <c r="Z442" s="13" t="s">
        <v>3</v>
      </c>
      <c r="AA442" s="13" t="s">
        <v>4</v>
      </c>
      <c r="AB442" s="13">
        <f>Inputs!$C$10</f>
        <v>2026</v>
      </c>
      <c r="AC442" s="14" t="s">
        <v>1</v>
      </c>
      <c r="AD442" s="14" t="s">
        <v>2</v>
      </c>
      <c r="AE442" s="14" t="s">
        <v>3</v>
      </c>
      <c r="AF442" s="14" t="s">
        <v>4</v>
      </c>
      <c r="AG442" s="15">
        <f>Inputs!$C$11</f>
        <v>2027</v>
      </c>
      <c r="AH442" s="16">
        <f>Inputs!$C$12</f>
        <v>2028</v>
      </c>
      <c r="AI442" s="16">
        <f>Inputs!$C$13</f>
        <v>2029</v>
      </c>
      <c r="AJ442" s="16">
        <f>Inputs!$C$14</f>
        <v>2030</v>
      </c>
    </row>
    <row r="443" spans="2:36" hidden="1" outlineLevel="1" x14ac:dyDescent="0.25">
      <c r="F443" s="71" t="s">
        <v>63</v>
      </c>
      <c r="G443" s="71" t="s">
        <v>63</v>
      </c>
      <c r="H443" s="71" t="s">
        <v>63</v>
      </c>
      <c r="I443" s="71" t="s">
        <v>63</v>
      </c>
      <c r="J443" s="71" t="s">
        <v>63</v>
      </c>
      <c r="K443" s="71" t="s">
        <v>63</v>
      </c>
      <c r="L443" s="71" t="s">
        <v>63</v>
      </c>
      <c r="M443" s="71" t="s">
        <v>63</v>
      </c>
      <c r="N443" s="71" t="s">
        <v>63</v>
      </c>
      <c r="O443" s="71" t="s">
        <v>63</v>
      </c>
      <c r="P443" s="71" t="s">
        <v>63</v>
      </c>
      <c r="Q443" s="71" t="s">
        <v>63</v>
      </c>
      <c r="R443" s="71" t="s">
        <v>63</v>
      </c>
      <c r="S443" s="71" t="s">
        <v>63</v>
      </c>
      <c r="T443" s="71" t="s">
        <v>63</v>
      </c>
      <c r="U443" s="71" t="s">
        <v>63</v>
      </c>
      <c r="X443" s="63" t="s">
        <v>30</v>
      </c>
      <c r="Y443" s="63" t="s">
        <v>30</v>
      </c>
      <c r="Z443" s="63" t="s">
        <v>30</v>
      </c>
      <c r="AA443" s="63" t="s">
        <v>30</v>
      </c>
      <c r="AB443" s="62"/>
      <c r="AC443" s="63" t="s">
        <v>30</v>
      </c>
      <c r="AD443" s="63" t="s">
        <v>30</v>
      </c>
      <c r="AE443" s="63" t="s">
        <v>30</v>
      </c>
      <c r="AF443" s="63" t="s">
        <v>30</v>
      </c>
      <c r="AG443" s="62"/>
      <c r="AH443" s="63" t="s">
        <v>30</v>
      </c>
      <c r="AI443" s="63" t="s">
        <v>30</v>
      </c>
      <c r="AJ443" s="63" t="s">
        <v>30</v>
      </c>
    </row>
    <row r="444" spans="2:36" hidden="1" outlineLevel="1" x14ac:dyDescent="0.25">
      <c r="B444" s="229" t="s">
        <v>195</v>
      </c>
      <c r="C444" s="229" t="s">
        <v>195</v>
      </c>
      <c r="E444" s="78" t="s">
        <v>67</v>
      </c>
      <c r="F444" s="21">
        <f>F544</f>
        <v>0</v>
      </c>
      <c r="G444" s="21">
        <f t="shared" ref="G444:H444" si="695">G544</f>
        <v>0</v>
      </c>
      <c r="H444" s="21">
        <f t="shared" si="695"/>
        <v>0</v>
      </c>
      <c r="I444" s="10">
        <f>IF(X444="",I544,X444)</f>
        <v>0</v>
      </c>
      <c r="J444" s="10">
        <f t="shared" ref="J444:L444" si="696">IF(Y444="",J544,Y444)</f>
        <v>0</v>
      </c>
      <c r="K444" s="10">
        <f t="shared" si="696"/>
        <v>0</v>
      </c>
      <c r="L444" s="10">
        <f t="shared" si="696"/>
        <v>0</v>
      </c>
      <c r="M444" s="17">
        <f t="shared" ref="M444:M450" si="697">SUM(I444:L444)</f>
        <v>0</v>
      </c>
      <c r="N444" s="10">
        <f t="shared" ref="N444:Q444" si="698">IF(AC444="",N544,AC444)</f>
        <v>0</v>
      </c>
      <c r="O444" s="10">
        <f t="shared" si="698"/>
        <v>0</v>
      </c>
      <c r="P444" s="10">
        <f t="shared" si="698"/>
        <v>0</v>
      </c>
      <c r="Q444" s="10">
        <f t="shared" si="698"/>
        <v>0</v>
      </c>
      <c r="R444" s="22">
        <f t="shared" ref="R444:R450" si="699">SUM(N444:Q444)</f>
        <v>0</v>
      </c>
      <c r="S444" s="23">
        <f t="shared" ref="S444:U444" si="700">IF(AH444="",S544,AH444)</f>
        <v>0</v>
      </c>
      <c r="T444" s="23">
        <f t="shared" si="700"/>
        <v>0</v>
      </c>
      <c r="U444" s="23">
        <f t="shared" si="700"/>
        <v>0</v>
      </c>
      <c r="W444" s="79" t="str">
        <f>E444</f>
        <v>Product Line 1</v>
      </c>
      <c r="X444" s="64"/>
      <c r="Y444" s="64"/>
      <c r="Z444" s="64"/>
      <c r="AA444" s="64"/>
      <c r="AB444" s="60"/>
      <c r="AC444" s="64"/>
      <c r="AD444" s="64"/>
      <c r="AE444" s="64"/>
      <c r="AF444" s="64"/>
      <c r="AG444" s="60"/>
      <c r="AH444" s="64"/>
      <c r="AI444" s="64"/>
      <c r="AJ444" s="64"/>
    </row>
    <row r="445" spans="2:36" hidden="1" outlineLevel="1" x14ac:dyDescent="0.25">
      <c r="B445" s="229" t="s">
        <v>195</v>
      </c>
      <c r="C445" s="229" t="s">
        <v>195</v>
      </c>
      <c r="E445" s="78" t="s">
        <v>68</v>
      </c>
      <c r="F445" s="21">
        <f t="shared" ref="F445:H445" si="701">F545</f>
        <v>0</v>
      </c>
      <c r="G445" s="21">
        <f t="shared" si="701"/>
        <v>0</v>
      </c>
      <c r="H445" s="21">
        <f t="shared" si="701"/>
        <v>0</v>
      </c>
      <c r="I445" s="10">
        <f t="shared" ref="I445:L445" si="702">IF(X445="",I545,X445)</f>
        <v>0</v>
      </c>
      <c r="J445" s="10">
        <f t="shared" si="702"/>
        <v>0</v>
      </c>
      <c r="K445" s="10">
        <f t="shared" si="702"/>
        <v>0</v>
      </c>
      <c r="L445" s="10">
        <f t="shared" si="702"/>
        <v>0</v>
      </c>
      <c r="M445" s="17">
        <f t="shared" si="697"/>
        <v>0</v>
      </c>
      <c r="N445" s="10">
        <f t="shared" ref="N445:Q445" si="703">IF(AC445="",N545,AC445)</f>
        <v>0</v>
      </c>
      <c r="O445" s="10">
        <f t="shared" si="703"/>
        <v>0</v>
      </c>
      <c r="P445" s="10">
        <f t="shared" si="703"/>
        <v>0</v>
      </c>
      <c r="Q445" s="10">
        <f t="shared" si="703"/>
        <v>0</v>
      </c>
      <c r="R445" s="22">
        <f t="shared" si="699"/>
        <v>0</v>
      </c>
      <c r="S445" s="23">
        <f t="shared" ref="S445:U445" si="704">IF(AH445="",S545,AH445)</f>
        <v>0</v>
      </c>
      <c r="T445" s="23">
        <f t="shared" si="704"/>
        <v>0</v>
      </c>
      <c r="U445" s="23">
        <f t="shared" si="704"/>
        <v>0</v>
      </c>
      <c r="W445" s="79" t="str">
        <f t="shared" ref="W445:W450" si="705">E445</f>
        <v>Product Line 2</v>
      </c>
      <c r="X445" s="64"/>
      <c r="Y445" s="64"/>
      <c r="Z445" s="64"/>
      <c r="AA445" s="64"/>
      <c r="AB445" s="60"/>
      <c r="AC445" s="64"/>
      <c r="AD445" s="64"/>
      <c r="AE445" s="64"/>
      <c r="AF445" s="64"/>
      <c r="AG445" s="60"/>
      <c r="AH445" s="64"/>
      <c r="AI445" s="64"/>
      <c r="AJ445" s="64"/>
    </row>
    <row r="446" spans="2:36" hidden="1" outlineLevel="1" x14ac:dyDescent="0.25">
      <c r="B446" s="229" t="s">
        <v>195</v>
      </c>
      <c r="C446" s="229" t="s">
        <v>195</v>
      </c>
      <c r="E446" s="78" t="s">
        <v>69</v>
      </c>
      <c r="F446" s="21">
        <f t="shared" ref="F446:H446" si="706">F546</f>
        <v>0</v>
      </c>
      <c r="G446" s="21">
        <f t="shared" si="706"/>
        <v>0</v>
      </c>
      <c r="H446" s="21">
        <f t="shared" si="706"/>
        <v>0</v>
      </c>
      <c r="I446" s="10">
        <f t="shared" ref="I446:L446" si="707">IF(X446="",I546,X446)</f>
        <v>0</v>
      </c>
      <c r="J446" s="10">
        <f t="shared" si="707"/>
        <v>0</v>
      </c>
      <c r="K446" s="10">
        <f t="shared" si="707"/>
        <v>0</v>
      </c>
      <c r="L446" s="10">
        <f t="shared" si="707"/>
        <v>0</v>
      </c>
      <c r="M446" s="17">
        <f t="shared" si="697"/>
        <v>0</v>
      </c>
      <c r="N446" s="10">
        <f t="shared" ref="N446:Q446" si="708">IF(AC446="",N546,AC446)</f>
        <v>0</v>
      </c>
      <c r="O446" s="10">
        <f t="shared" si="708"/>
        <v>0</v>
      </c>
      <c r="P446" s="10">
        <f t="shared" si="708"/>
        <v>0</v>
      </c>
      <c r="Q446" s="10">
        <f t="shared" si="708"/>
        <v>0</v>
      </c>
      <c r="R446" s="22">
        <f t="shared" si="699"/>
        <v>0</v>
      </c>
      <c r="S446" s="23">
        <f t="shared" ref="S446:U446" si="709">IF(AH446="",S546,AH446)</f>
        <v>0</v>
      </c>
      <c r="T446" s="23">
        <f t="shared" si="709"/>
        <v>0</v>
      </c>
      <c r="U446" s="23">
        <f t="shared" si="709"/>
        <v>0</v>
      </c>
      <c r="W446" s="79" t="str">
        <f t="shared" si="705"/>
        <v>Product Line 3</v>
      </c>
      <c r="X446" s="64"/>
      <c r="Y446" s="64"/>
      <c r="Z446" s="64"/>
      <c r="AA446" s="64"/>
      <c r="AB446" s="60"/>
      <c r="AC446" s="64"/>
      <c r="AD446" s="64"/>
      <c r="AE446" s="64"/>
      <c r="AF446" s="64"/>
      <c r="AG446" s="60"/>
      <c r="AH446" s="64"/>
      <c r="AI446" s="64"/>
      <c r="AJ446" s="64"/>
    </row>
    <row r="447" spans="2:36" hidden="1" outlineLevel="1" x14ac:dyDescent="0.25">
      <c r="B447" s="229" t="s">
        <v>195</v>
      </c>
      <c r="C447" s="229" t="s">
        <v>195</v>
      </c>
      <c r="E447" s="78" t="s">
        <v>70</v>
      </c>
      <c r="F447" s="21">
        <f t="shared" ref="F447:H447" si="710">F547</f>
        <v>0</v>
      </c>
      <c r="G447" s="21">
        <f t="shared" si="710"/>
        <v>0</v>
      </c>
      <c r="H447" s="21">
        <f t="shared" si="710"/>
        <v>0</v>
      </c>
      <c r="I447" s="10">
        <f t="shared" ref="I447:L447" si="711">IF(X447="",I547,X447)</f>
        <v>0</v>
      </c>
      <c r="J447" s="10">
        <f t="shared" si="711"/>
        <v>0</v>
      </c>
      <c r="K447" s="10">
        <f t="shared" si="711"/>
        <v>0</v>
      </c>
      <c r="L447" s="10">
        <f t="shared" si="711"/>
        <v>0</v>
      </c>
      <c r="M447" s="17">
        <f t="shared" si="697"/>
        <v>0</v>
      </c>
      <c r="N447" s="10">
        <f t="shared" ref="N447:Q447" si="712">IF(AC447="",N547,AC447)</f>
        <v>0</v>
      </c>
      <c r="O447" s="10">
        <f t="shared" si="712"/>
        <v>0</v>
      </c>
      <c r="P447" s="10">
        <f t="shared" si="712"/>
        <v>0</v>
      </c>
      <c r="Q447" s="10">
        <f t="shared" si="712"/>
        <v>0</v>
      </c>
      <c r="R447" s="22">
        <f t="shared" si="699"/>
        <v>0</v>
      </c>
      <c r="S447" s="23">
        <f t="shared" ref="S447:U447" si="713">IF(AH447="",S547,AH447)</f>
        <v>0</v>
      </c>
      <c r="T447" s="23">
        <f t="shared" si="713"/>
        <v>0</v>
      </c>
      <c r="U447" s="23">
        <f t="shared" si="713"/>
        <v>0</v>
      </c>
      <c r="W447" s="79" t="str">
        <f t="shared" si="705"/>
        <v>Product Line 4</v>
      </c>
      <c r="X447" s="64"/>
      <c r="Y447" s="64"/>
      <c r="Z447" s="64"/>
      <c r="AA447" s="64"/>
      <c r="AB447" s="60"/>
      <c r="AC447" s="64"/>
      <c r="AD447" s="64"/>
      <c r="AE447" s="64"/>
      <c r="AF447" s="64"/>
      <c r="AG447" s="60"/>
      <c r="AH447" s="64"/>
      <c r="AI447" s="64"/>
      <c r="AJ447" s="64"/>
    </row>
    <row r="448" spans="2:36" hidden="1" outlineLevel="1" x14ac:dyDescent="0.25">
      <c r="B448" s="229" t="s">
        <v>195</v>
      </c>
      <c r="C448" s="229" t="s">
        <v>195</v>
      </c>
      <c r="E448" s="78" t="s">
        <v>71</v>
      </c>
      <c r="F448" s="21">
        <f t="shared" ref="F448:H448" si="714">F548</f>
        <v>0</v>
      </c>
      <c r="G448" s="21">
        <f t="shared" si="714"/>
        <v>0</v>
      </c>
      <c r="H448" s="21">
        <f t="shared" si="714"/>
        <v>0</v>
      </c>
      <c r="I448" s="10">
        <f t="shared" ref="I448:L448" si="715">IF(X448="",I548,X448)</f>
        <v>0</v>
      </c>
      <c r="J448" s="10">
        <f t="shared" si="715"/>
        <v>0</v>
      </c>
      <c r="K448" s="10">
        <f t="shared" si="715"/>
        <v>0</v>
      </c>
      <c r="L448" s="10">
        <f t="shared" si="715"/>
        <v>0</v>
      </c>
      <c r="M448" s="17">
        <f t="shared" si="697"/>
        <v>0</v>
      </c>
      <c r="N448" s="10">
        <f t="shared" ref="N448:Q448" si="716">IF(AC448="",N548,AC448)</f>
        <v>0</v>
      </c>
      <c r="O448" s="10">
        <f t="shared" si="716"/>
        <v>0</v>
      </c>
      <c r="P448" s="10">
        <f t="shared" si="716"/>
        <v>0</v>
      </c>
      <c r="Q448" s="10">
        <f t="shared" si="716"/>
        <v>0</v>
      </c>
      <c r="R448" s="22">
        <f t="shared" si="699"/>
        <v>0</v>
      </c>
      <c r="S448" s="23">
        <f t="shared" ref="S448:U448" si="717">IF(AH448="",S548,AH448)</f>
        <v>0</v>
      </c>
      <c r="T448" s="23">
        <f t="shared" si="717"/>
        <v>0</v>
      </c>
      <c r="U448" s="23">
        <f t="shared" si="717"/>
        <v>0</v>
      </c>
      <c r="W448" s="79" t="str">
        <f t="shared" si="705"/>
        <v>Product Line 5</v>
      </c>
      <c r="X448" s="64"/>
      <c r="Y448" s="64"/>
      <c r="Z448" s="64"/>
      <c r="AA448" s="64"/>
      <c r="AB448" s="60"/>
      <c r="AC448" s="64"/>
      <c r="AD448" s="64"/>
      <c r="AE448" s="64"/>
      <c r="AF448" s="64"/>
      <c r="AG448" s="60"/>
      <c r="AH448" s="64"/>
      <c r="AI448" s="64"/>
      <c r="AJ448" s="64"/>
    </row>
    <row r="449" spans="2:36" hidden="1" outlineLevel="1" x14ac:dyDescent="0.25">
      <c r="B449" s="229" t="s">
        <v>195</v>
      </c>
      <c r="C449" s="229" t="s">
        <v>195</v>
      </c>
      <c r="E449" s="78" t="s">
        <v>72</v>
      </c>
      <c r="F449" s="21">
        <f t="shared" ref="F449:H449" si="718">F549</f>
        <v>0</v>
      </c>
      <c r="G449" s="21">
        <f t="shared" si="718"/>
        <v>0</v>
      </c>
      <c r="H449" s="21">
        <f t="shared" si="718"/>
        <v>0</v>
      </c>
      <c r="I449" s="10">
        <f t="shared" ref="I449:L449" si="719">IF(X449="",I549,X449)</f>
        <v>0</v>
      </c>
      <c r="J449" s="10">
        <f t="shared" si="719"/>
        <v>0</v>
      </c>
      <c r="K449" s="10">
        <f t="shared" si="719"/>
        <v>0</v>
      </c>
      <c r="L449" s="10">
        <f t="shared" si="719"/>
        <v>0</v>
      </c>
      <c r="M449" s="17">
        <f t="shared" si="697"/>
        <v>0</v>
      </c>
      <c r="N449" s="10">
        <f t="shared" ref="N449:Q449" si="720">IF(AC449="",N549,AC449)</f>
        <v>0</v>
      </c>
      <c r="O449" s="10">
        <f t="shared" si="720"/>
        <v>0</v>
      </c>
      <c r="P449" s="10">
        <f t="shared" si="720"/>
        <v>0</v>
      </c>
      <c r="Q449" s="10">
        <f t="shared" si="720"/>
        <v>0</v>
      </c>
      <c r="R449" s="22">
        <f t="shared" si="699"/>
        <v>0</v>
      </c>
      <c r="S449" s="23">
        <f t="shared" ref="S449:U449" si="721">IF(AH449="",S549,AH449)</f>
        <v>0</v>
      </c>
      <c r="T449" s="23">
        <f t="shared" si="721"/>
        <v>0</v>
      </c>
      <c r="U449" s="23">
        <f t="shared" si="721"/>
        <v>0</v>
      </c>
      <c r="W449" s="79" t="str">
        <f t="shared" si="705"/>
        <v>Product Line 6</v>
      </c>
      <c r="X449" s="64"/>
      <c r="Y449" s="64"/>
      <c r="Z449" s="64"/>
      <c r="AA449" s="64"/>
      <c r="AB449" s="60"/>
      <c r="AC449" s="64"/>
      <c r="AD449" s="64"/>
      <c r="AE449" s="64"/>
      <c r="AF449" s="64"/>
      <c r="AG449" s="60"/>
      <c r="AH449" s="64"/>
      <c r="AI449" s="64"/>
      <c r="AJ449" s="64"/>
    </row>
    <row r="450" spans="2:36" hidden="1" outlineLevel="1" x14ac:dyDescent="0.25">
      <c r="B450" s="229" t="s">
        <v>195</v>
      </c>
      <c r="C450" s="229" t="s">
        <v>195</v>
      </c>
      <c r="E450" s="78" t="s">
        <v>73</v>
      </c>
      <c r="F450" s="21">
        <f t="shared" ref="F450:H450" si="722">F550</f>
        <v>0</v>
      </c>
      <c r="G450" s="21">
        <f t="shared" si="722"/>
        <v>0</v>
      </c>
      <c r="H450" s="21">
        <f t="shared" si="722"/>
        <v>0</v>
      </c>
      <c r="I450" s="10">
        <f t="shared" ref="I450:L450" si="723">IF(X450="",I550,X450)</f>
        <v>0</v>
      </c>
      <c r="J450" s="10">
        <f t="shared" si="723"/>
        <v>0</v>
      </c>
      <c r="K450" s="10">
        <f t="shared" si="723"/>
        <v>0</v>
      </c>
      <c r="L450" s="10">
        <f t="shared" si="723"/>
        <v>0</v>
      </c>
      <c r="M450" s="17">
        <f t="shared" si="697"/>
        <v>0</v>
      </c>
      <c r="N450" s="10">
        <f t="shared" ref="N450:Q450" si="724">IF(AC450="",N550,AC450)</f>
        <v>0</v>
      </c>
      <c r="O450" s="10">
        <f t="shared" si="724"/>
        <v>0</v>
      </c>
      <c r="P450" s="10">
        <f t="shared" si="724"/>
        <v>0</v>
      </c>
      <c r="Q450" s="10">
        <f t="shared" si="724"/>
        <v>0</v>
      </c>
      <c r="R450" s="22">
        <f t="shared" si="699"/>
        <v>0</v>
      </c>
      <c r="S450" s="23">
        <f t="shared" ref="S450:U450" si="725">IF(AH450="",S550,AH450)</f>
        <v>0</v>
      </c>
      <c r="T450" s="23">
        <f t="shared" si="725"/>
        <v>0</v>
      </c>
      <c r="U450" s="23">
        <f t="shared" si="725"/>
        <v>0</v>
      </c>
      <c r="W450" s="79" t="str">
        <f t="shared" si="705"/>
        <v>Product Line 7</v>
      </c>
      <c r="X450" s="64"/>
      <c r="Y450" s="64"/>
      <c r="Z450" s="64"/>
      <c r="AA450" s="64"/>
      <c r="AB450" s="60"/>
      <c r="AC450" s="64"/>
      <c r="AD450" s="64"/>
      <c r="AE450" s="64"/>
      <c r="AF450" s="64"/>
      <c r="AG450" s="60"/>
      <c r="AH450" s="64"/>
      <c r="AI450" s="64"/>
      <c r="AJ450" s="64"/>
    </row>
    <row r="451" spans="2:36" ht="15.75" hidden="1" outlineLevel="1" thickBot="1" x14ac:dyDescent="0.3">
      <c r="E451" s="8" t="s">
        <v>27</v>
      </c>
      <c r="F451" s="9">
        <f t="shared" ref="F451:U451" si="726">SUM(F444:F450)</f>
        <v>0</v>
      </c>
      <c r="G451" s="9">
        <f t="shared" si="726"/>
        <v>0</v>
      </c>
      <c r="H451" s="9">
        <f t="shared" si="726"/>
        <v>0</v>
      </c>
      <c r="I451" s="11">
        <f t="shared" si="726"/>
        <v>0</v>
      </c>
      <c r="J451" s="11">
        <f t="shared" si="726"/>
        <v>0</v>
      </c>
      <c r="K451" s="11">
        <f t="shared" si="726"/>
        <v>0</v>
      </c>
      <c r="L451" s="11">
        <f t="shared" si="726"/>
        <v>0</v>
      </c>
      <c r="M451" s="18">
        <f t="shared" si="726"/>
        <v>0</v>
      </c>
      <c r="N451" s="11">
        <f t="shared" si="726"/>
        <v>0</v>
      </c>
      <c r="O451" s="11">
        <f t="shared" si="726"/>
        <v>0</v>
      </c>
      <c r="P451" s="11">
        <f t="shared" si="726"/>
        <v>0</v>
      </c>
      <c r="Q451" s="11">
        <f t="shared" si="726"/>
        <v>0</v>
      </c>
      <c r="R451" s="19">
        <f t="shared" si="726"/>
        <v>0</v>
      </c>
      <c r="S451" s="20">
        <f t="shared" si="726"/>
        <v>0</v>
      </c>
      <c r="T451" s="20">
        <f t="shared" si="726"/>
        <v>0</v>
      </c>
      <c r="U451" s="20">
        <f t="shared" si="726"/>
        <v>0</v>
      </c>
    </row>
    <row r="452" spans="2:36" ht="15.75" hidden="1" outlineLevel="1" thickTop="1" x14ac:dyDescent="0.25"/>
    <row r="453" spans="2:36" hidden="1" outlineLevel="1" x14ac:dyDescent="0.25"/>
    <row r="454" spans="2:36" hidden="1" outlineLevel="1" x14ac:dyDescent="0.25"/>
    <row r="455" spans="2:36" hidden="1" outlineLevel="1" x14ac:dyDescent="0.25">
      <c r="E455" s="4" t="s">
        <v>53</v>
      </c>
      <c r="W455" s="4" t="s">
        <v>53</v>
      </c>
    </row>
    <row r="456" spans="2:36" hidden="1" outlineLevel="1" x14ac:dyDescent="0.25">
      <c r="E456" s="6" t="s">
        <v>25</v>
      </c>
      <c r="W456" s="61" t="s">
        <v>62</v>
      </c>
    </row>
    <row r="457" spans="2:36" hidden="1" outlineLevel="1" x14ac:dyDescent="0.25"/>
    <row r="458" spans="2:36" hidden="1" outlineLevel="1" x14ac:dyDescent="0.25">
      <c r="F458" s="12">
        <f>Inputs!$C$7</f>
        <v>2023</v>
      </c>
      <c r="G458" s="12">
        <f>Inputs!$C$8</f>
        <v>2024</v>
      </c>
      <c r="H458" s="12">
        <f>Inputs!$C$9</f>
        <v>2025</v>
      </c>
      <c r="I458" s="13" t="s">
        <v>1</v>
      </c>
      <c r="J458" s="13" t="s">
        <v>2</v>
      </c>
      <c r="K458" s="13" t="s">
        <v>3</v>
      </c>
      <c r="L458" s="13" t="s">
        <v>4</v>
      </c>
      <c r="M458" s="13">
        <f>Inputs!$C$10</f>
        <v>2026</v>
      </c>
      <c r="N458" s="14" t="s">
        <v>1</v>
      </c>
      <c r="O458" s="14" t="s">
        <v>2</v>
      </c>
      <c r="P458" s="14" t="s">
        <v>3</v>
      </c>
      <c r="Q458" s="14" t="s">
        <v>4</v>
      </c>
      <c r="R458" s="15">
        <f>Inputs!$C$11</f>
        <v>2027</v>
      </c>
      <c r="S458" s="16">
        <f>Inputs!$C$12</f>
        <v>2028</v>
      </c>
      <c r="T458" s="16">
        <f>Inputs!$C$13</f>
        <v>2029</v>
      </c>
      <c r="U458" s="16">
        <f>Inputs!$C$14</f>
        <v>2030</v>
      </c>
      <c r="X458" s="13" t="s">
        <v>1</v>
      </c>
      <c r="Y458" s="13" t="s">
        <v>2</v>
      </c>
      <c r="Z458" s="13" t="s">
        <v>3</v>
      </c>
      <c r="AA458" s="13" t="s">
        <v>4</v>
      </c>
      <c r="AB458" s="13">
        <f>Inputs!$C$10</f>
        <v>2026</v>
      </c>
      <c r="AC458" s="14" t="s">
        <v>1</v>
      </c>
      <c r="AD458" s="14" t="s">
        <v>2</v>
      </c>
      <c r="AE458" s="14" t="s">
        <v>3</v>
      </c>
      <c r="AF458" s="14" t="s">
        <v>4</v>
      </c>
      <c r="AG458" s="15">
        <f>Inputs!$C$11</f>
        <v>2027</v>
      </c>
      <c r="AH458" s="16">
        <f>Inputs!$C$12</f>
        <v>2028</v>
      </c>
      <c r="AI458" s="16">
        <f>Inputs!$C$13</f>
        <v>2029</v>
      </c>
      <c r="AJ458" s="16">
        <f>Inputs!$C$14</f>
        <v>2030</v>
      </c>
    </row>
    <row r="459" spans="2:36" hidden="1" outlineLevel="1" x14ac:dyDescent="0.25">
      <c r="F459" s="71" t="s">
        <v>63</v>
      </c>
      <c r="G459" s="71" t="s">
        <v>63</v>
      </c>
      <c r="H459" s="71" t="s">
        <v>63</v>
      </c>
      <c r="I459" s="71" t="s">
        <v>63</v>
      </c>
      <c r="J459" s="71" t="s">
        <v>63</v>
      </c>
      <c r="K459" s="71" t="s">
        <v>63</v>
      </c>
      <c r="L459" s="71" t="s">
        <v>63</v>
      </c>
      <c r="M459" s="71" t="s">
        <v>63</v>
      </c>
      <c r="N459" s="71" t="s">
        <v>63</v>
      </c>
      <c r="O459" s="71" t="s">
        <v>63</v>
      </c>
      <c r="P459" s="71" t="s">
        <v>63</v>
      </c>
      <c r="Q459" s="71" t="s">
        <v>63</v>
      </c>
      <c r="R459" s="71" t="s">
        <v>63</v>
      </c>
      <c r="S459" s="71" t="s">
        <v>63</v>
      </c>
      <c r="T459" s="71" t="s">
        <v>63</v>
      </c>
      <c r="U459" s="71" t="s">
        <v>63</v>
      </c>
      <c r="X459" s="63" t="s">
        <v>30</v>
      </c>
      <c r="Y459" s="63" t="s">
        <v>30</v>
      </c>
      <c r="Z459" s="63" t="s">
        <v>30</v>
      </c>
      <c r="AA459" s="63" t="s">
        <v>30</v>
      </c>
      <c r="AB459" s="62"/>
      <c r="AC459" s="63" t="s">
        <v>30</v>
      </c>
      <c r="AD459" s="63" t="s">
        <v>30</v>
      </c>
      <c r="AE459" s="63" t="s">
        <v>30</v>
      </c>
      <c r="AF459" s="63" t="s">
        <v>30</v>
      </c>
      <c r="AG459" s="62"/>
      <c r="AH459" s="63" t="s">
        <v>30</v>
      </c>
      <c r="AI459" s="63" t="s">
        <v>30</v>
      </c>
      <c r="AJ459" s="63" t="s">
        <v>30</v>
      </c>
    </row>
    <row r="460" spans="2:36" hidden="1" outlineLevel="1" x14ac:dyDescent="0.25">
      <c r="B460" s="229" t="s">
        <v>195</v>
      </c>
      <c r="C460" s="229" t="s">
        <v>195</v>
      </c>
      <c r="E460" s="78" t="s">
        <v>67</v>
      </c>
      <c r="F460" s="21">
        <f>F560</f>
        <v>0</v>
      </c>
      <c r="G460" s="21">
        <f t="shared" ref="G460:H460" si="727">G560</f>
        <v>0</v>
      </c>
      <c r="H460" s="21">
        <f t="shared" si="727"/>
        <v>0</v>
      </c>
      <c r="I460" s="10">
        <f>IF(X460="",I560,X460)</f>
        <v>0</v>
      </c>
      <c r="J460" s="10">
        <f t="shared" ref="J460:L460" si="728">IF(Y460="",J560,Y460)</f>
        <v>0</v>
      </c>
      <c r="K460" s="10">
        <f t="shared" si="728"/>
        <v>0</v>
      </c>
      <c r="L460" s="10">
        <f t="shared" si="728"/>
        <v>0</v>
      </c>
      <c r="M460" s="17">
        <f t="shared" ref="M460:M466" si="729">SUM(I460:L460)</f>
        <v>0</v>
      </c>
      <c r="N460" s="10">
        <f t="shared" ref="N460:Q460" si="730">IF(AC460="",N560,AC460)</f>
        <v>0</v>
      </c>
      <c r="O460" s="10">
        <f t="shared" si="730"/>
        <v>0</v>
      </c>
      <c r="P460" s="10">
        <f t="shared" si="730"/>
        <v>0</v>
      </c>
      <c r="Q460" s="10">
        <f t="shared" si="730"/>
        <v>0</v>
      </c>
      <c r="R460" s="22">
        <f t="shared" ref="R460:R466" si="731">M460*(1-R436)</f>
        <v>0</v>
      </c>
      <c r="S460" s="23">
        <f t="shared" ref="S460:U460" si="732">IF(AH460="",S560,AH460)</f>
        <v>0</v>
      </c>
      <c r="T460" s="23">
        <f t="shared" si="732"/>
        <v>0</v>
      </c>
      <c r="U460" s="23">
        <f t="shared" si="732"/>
        <v>0</v>
      </c>
      <c r="W460" s="79" t="str">
        <f>E460</f>
        <v>Product Line 1</v>
      </c>
      <c r="X460" s="64"/>
      <c r="Y460" s="64"/>
      <c r="Z460" s="64"/>
      <c r="AA460" s="64"/>
      <c r="AB460" s="60"/>
      <c r="AC460" s="64"/>
      <c r="AD460" s="64"/>
      <c r="AE460" s="64"/>
      <c r="AF460" s="64"/>
      <c r="AG460" s="60"/>
      <c r="AH460" s="64"/>
      <c r="AI460" s="64"/>
      <c r="AJ460" s="64"/>
    </row>
    <row r="461" spans="2:36" hidden="1" outlineLevel="1" x14ac:dyDescent="0.25">
      <c r="B461" s="229" t="s">
        <v>195</v>
      </c>
      <c r="C461" s="229" t="s">
        <v>195</v>
      </c>
      <c r="E461" s="78" t="s">
        <v>68</v>
      </c>
      <c r="F461" s="21">
        <f t="shared" ref="F461:H461" si="733">F561</f>
        <v>0</v>
      </c>
      <c r="G461" s="21">
        <f t="shared" si="733"/>
        <v>0</v>
      </c>
      <c r="H461" s="21">
        <f t="shared" si="733"/>
        <v>0</v>
      </c>
      <c r="I461" s="10">
        <f t="shared" ref="I461:L461" si="734">IF(X461="",I561,X461)</f>
        <v>0</v>
      </c>
      <c r="J461" s="10">
        <f t="shared" si="734"/>
        <v>0</v>
      </c>
      <c r="K461" s="10">
        <f t="shared" si="734"/>
        <v>0</v>
      </c>
      <c r="L461" s="10">
        <f t="shared" si="734"/>
        <v>0</v>
      </c>
      <c r="M461" s="17">
        <f t="shared" si="729"/>
        <v>0</v>
      </c>
      <c r="N461" s="10">
        <f t="shared" ref="N461:Q461" si="735">IF(AC461="",N561,AC461)</f>
        <v>0</v>
      </c>
      <c r="O461" s="10">
        <f t="shared" si="735"/>
        <v>0</v>
      </c>
      <c r="P461" s="10">
        <f t="shared" si="735"/>
        <v>0</v>
      </c>
      <c r="Q461" s="10">
        <f t="shared" si="735"/>
        <v>0</v>
      </c>
      <c r="R461" s="22">
        <f t="shared" si="731"/>
        <v>0</v>
      </c>
      <c r="S461" s="23">
        <f t="shared" ref="S461:U461" si="736">IF(AH461="",S561,AH461)</f>
        <v>0</v>
      </c>
      <c r="T461" s="23">
        <f t="shared" si="736"/>
        <v>0</v>
      </c>
      <c r="U461" s="23">
        <f t="shared" si="736"/>
        <v>0</v>
      </c>
      <c r="W461" s="79" t="str">
        <f t="shared" ref="W461:W466" si="737">E461</f>
        <v>Product Line 2</v>
      </c>
      <c r="X461" s="64"/>
      <c r="Y461" s="64"/>
      <c r="Z461" s="64"/>
      <c r="AA461" s="64"/>
      <c r="AB461" s="60"/>
      <c r="AC461" s="64"/>
      <c r="AD461" s="64"/>
      <c r="AE461" s="64"/>
      <c r="AF461" s="64"/>
      <c r="AG461" s="60"/>
      <c r="AH461" s="64"/>
      <c r="AI461" s="64"/>
      <c r="AJ461" s="64"/>
    </row>
    <row r="462" spans="2:36" hidden="1" outlineLevel="1" x14ac:dyDescent="0.25">
      <c r="B462" s="229" t="s">
        <v>195</v>
      </c>
      <c r="C462" s="229" t="s">
        <v>195</v>
      </c>
      <c r="E462" s="78" t="s">
        <v>69</v>
      </c>
      <c r="F462" s="21">
        <f t="shared" ref="F462:H462" si="738">F562</f>
        <v>0</v>
      </c>
      <c r="G462" s="21">
        <f t="shared" si="738"/>
        <v>0</v>
      </c>
      <c r="H462" s="21">
        <f t="shared" si="738"/>
        <v>0</v>
      </c>
      <c r="I462" s="10">
        <f t="shared" ref="I462:L462" si="739">IF(X462="",I562,X462)</f>
        <v>0</v>
      </c>
      <c r="J462" s="10">
        <f t="shared" si="739"/>
        <v>0</v>
      </c>
      <c r="K462" s="10">
        <f t="shared" si="739"/>
        <v>0</v>
      </c>
      <c r="L462" s="10">
        <f t="shared" si="739"/>
        <v>0</v>
      </c>
      <c r="M462" s="17">
        <f t="shared" si="729"/>
        <v>0</v>
      </c>
      <c r="N462" s="10">
        <f t="shared" ref="N462:Q462" si="740">IF(AC462="",N562,AC462)</f>
        <v>0</v>
      </c>
      <c r="O462" s="10">
        <f t="shared" si="740"/>
        <v>0</v>
      </c>
      <c r="P462" s="10">
        <f t="shared" si="740"/>
        <v>0</v>
      </c>
      <c r="Q462" s="10">
        <f t="shared" si="740"/>
        <v>0</v>
      </c>
      <c r="R462" s="22">
        <f t="shared" si="731"/>
        <v>0</v>
      </c>
      <c r="S462" s="23">
        <f t="shared" ref="S462:U462" si="741">IF(AH462="",S562,AH462)</f>
        <v>0</v>
      </c>
      <c r="T462" s="23">
        <f t="shared" si="741"/>
        <v>0</v>
      </c>
      <c r="U462" s="23">
        <f t="shared" si="741"/>
        <v>0</v>
      </c>
      <c r="W462" s="79" t="str">
        <f t="shared" si="737"/>
        <v>Product Line 3</v>
      </c>
      <c r="X462" s="64"/>
      <c r="Y462" s="64"/>
      <c r="Z462" s="64"/>
      <c r="AA462" s="64"/>
      <c r="AB462" s="60"/>
      <c r="AC462" s="64"/>
      <c r="AD462" s="64"/>
      <c r="AE462" s="64"/>
      <c r="AF462" s="64"/>
      <c r="AG462" s="60"/>
      <c r="AH462" s="64"/>
      <c r="AI462" s="64"/>
      <c r="AJ462" s="64"/>
    </row>
    <row r="463" spans="2:36" hidden="1" outlineLevel="1" x14ac:dyDescent="0.25">
      <c r="B463" s="229" t="s">
        <v>195</v>
      </c>
      <c r="C463" s="229" t="s">
        <v>195</v>
      </c>
      <c r="E463" s="78" t="s">
        <v>70</v>
      </c>
      <c r="F463" s="21">
        <f t="shared" ref="F463:H463" si="742">F563</f>
        <v>0</v>
      </c>
      <c r="G463" s="21">
        <f t="shared" si="742"/>
        <v>0</v>
      </c>
      <c r="H463" s="21">
        <f t="shared" si="742"/>
        <v>0</v>
      </c>
      <c r="I463" s="10">
        <f t="shared" ref="I463:L463" si="743">IF(X463="",I563,X463)</f>
        <v>0</v>
      </c>
      <c r="J463" s="10">
        <f t="shared" si="743"/>
        <v>0</v>
      </c>
      <c r="K463" s="10">
        <f t="shared" si="743"/>
        <v>0</v>
      </c>
      <c r="L463" s="10">
        <f t="shared" si="743"/>
        <v>0</v>
      </c>
      <c r="M463" s="17">
        <f t="shared" si="729"/>
        <v>0</v>
      </c>
      <c r="N463" s="10">
        <f t="shared" ref="N463:Q463" si="744">IF(AC463="",N563,AC463)</f>
        <v>0</v>
      </c>
      <c r="O463" s="10">
        <f t="shared" si="744"/>
        <v>0</v>
      </c>
      <c r="P463" s="10">
        <f t="shared" si="744"/>
        <v>0</v>
      </c>
      <c r="Q463" s="10">
        <f t="shared" si="744"/>
        <v>0</v>
      </c>
      <c r="R463" s="22">
        <f t="shared" si="731"/>
        <v>0</v>
      </c>
      <c r="S463" s="23">
        <f t="shared" ref="S463:U463" si="745">IF(AH463="",S563,AH463)</f>
        <v>0</v>
      </c>
      <c r="T463" s="23">
        <f t="shared" si="745"/>
        <v>0</v>
      </c>
      <c r="U463" s="23">
        <f t="shared" si="745"/>
        <v>0</v>
      </c>
      <c r="W463" s="79" t="str">
        <f t="shared" si="737"/>
        <v>Product Line 4</v>
      </c>
      <c r="X463" s="64"/>
      <c r="Y463" s="64"/>
      <c r="Z463" s="64"/>
      <c r="AA463" s="64"/>
      <c r="AB463" s="60"/>
      <c r="AC463" s="64"/>
      <c r="AD463" s="64"/>
      <c r="AE463" s="64"/>
      <c r="AF463" s="64"/>
      <c r="AG463" s="60"/>
      <c r="AH463" s="64"/>
      <c r="AI463" s="64"/>
      <c r="AJ463" s="64"/>
    </row>
    <row r="464" spans="2:36" hidden="1" outlineLevel="1" x14ac:dyDescent="0.25">
      <c r="B464" s="229" t="s">
        <v>195</v>
      </c>
      <c r="C464" s="229" t="s">
        <v>195</v>
      </c>
      <c r="E464" s="78" t="s">
        <v>71</v>
      </c>
      <c r="F464" s="21">
        <f t="shared" ref="F464:H464" si="746">F564</f>
        <v>0</v>
      </c>
      <c r="G464" s="21">
        <f t="shared" si="746"/>
        <v>0</v>
      </c>
      <c r="H464" s="21">
        <f t="shared" si="746"/>
        <v>0</v>
      </c>
      <c r="I464" s="10">
        <f t="shared" ref="I464:L464" si="747">IF(X464="",I564,X464)</f>
        <v>0</v>
      </c>
      <c r="J464" s="10">
        <f t="shared" si="747"/>
        <v>0</v>
      </c>
      <c r="K464" s="10">
        <f t="shared" si="747"/>
        <v>0</v>
      </c>
      <c r="L464" s="10">
        <f t="shared" si="747"/>
        <v>0</v>
      </c>
      <c r="M464" s="17">
        <f t="shared" si="729"/>
        <v>0</v>
      </c>
      <c r="N464" s="10">
        <f t="shared" ref="N464:Q464" si="748">IF(AC464="",N564,AC464)</f>
        <v>0</v>
      </c>
      <c r="O464" s="10">
        <f t="shared" si="748"/>
        <v>0</v>
      </c>
      <c r="P464" s="10">
        <f t="shared" si="748"/>
        <v>0</v>
      </c>
      <c r="Q464" s="10">
        <f t="shared" si="748"/>
        <v>0</v>
      </c>
      <c r="R464" s="22">
        <f t="shared" si="731"/>
        <v>0</v>
      </c>
      <c r="S464" s="23">
        <f t="shared" ref="S464:U464" si="749">IF(AH464="",S564,AH464)</f>
        <v>0</v>
      </c>
      <c r="T464" s="23">
        <f t="shared" si="749"/>
        <v>0</v>
      </c>
      <c r="U464" s="23">
        <f t="shared" si="749"/>
        <v>0</v>
      </c>
      <c r="W464" s="79" t="str">
        <f t="shared" si="737"/>
        <v>Product Line 5</v>
      </c>
      <c r="X464" s="64"/>
      <c r="Y464" s="64"/>
      <c r="Z464" s="64"/>
      <c r="AA464" s="64"/>
      <c r="AB464" s="60"/>
      <c r="AC464" s="64"/>
      <c r="AD464" s="64"/>
      <c r="AE464" s="64"/>
      <c r="AF464" s="64"/>
      <c r="AG464" s="60"/>
      <c r="AH464" s="64"/>
      <c r="AI464" s="64"/>
      <c r="AJ464" s="64"/>
    </row>
    <row r="465" spans="2:36" hidden="1" outlineLevel="1" x14ac:dyDescent="0.25">
      <c r="B465" s="229" t="s">
        <v>195</v>
      </c>
      <c r="C465" s="229" t="s">
        <v>195</v>
      </c>
      <c r="E465" s="78" t="s">
        <v>72</v>
      </c>
      <c r="F465" s="21">
        <f t="shared" ref="F465:H465" si="750">F565</f>
        <v>0</v>
      </c>
      <c r="G465" s="21">
        <f t="shared" si="750"/>
        <v>0</v>
      </c>
      <c r="H465" s="21">
        <f t="shared" si="750"/>
        <v>0</v>
      </c>
      <c r="I465" s="10">
        <f t="shared" ref="I465:L465" si="751">IF(X465="",I565,X465)</f>
        <v>0</v>
      </c>
      <c r="J465" s="10">
        <f t="shared" si="751"/>
        <v>0</v>
      </c>
      <c r="K465" s="10">
        <f t="shared" si="751"/>
        <v>0</v>
      </c>
      <c r="L465" s="10">
        <f t="shared" si="751"/>
        <v>0</v>
      </c>
      <c r="M465" s="17">
        <f t="shared" si="729"/>
        <v>0</v>
      </c>
      <c r="N465" s="10">
        <f t="shared" ref="N465:Q465" si="752">IF(AC465="",N565,AC465)</f>
        <v>0</v>
      </c>
      <c r="O465" s="10">
        <f t="shared" si="752"/>
        <v>0</v>
      </c>
      <c r="P465" s="10">
        <f t="shared" si="752"/>
        <v>0</v>
      </c>
      <c r="Q465" s="10">
        <f t="shared" si="752"/>
        <v>0</v>
      </c>
      <c r="R465" s="22">
        <f t="shared" si="731"/>
        <v>0</v>
      </c>
      <c r="S465" s="23">
        <f t="shared" ref="S465:U465" si="753">IF(AH465="",S565,AH465)</f>
        <v>0</v>
      </c>
      <c r="T465" s="23">
        <f t="shared" si="753"/>
        <v>0</v>
      </c>
      <c r="U465" s="23">
        <f t="shared" si="753"/>
        <v>0</v>
      </c>
      <c r="W465" s="79" t="str">
        <f t="shared" si="737"/>
        <v>Product Line 6</v>
      </c>
      <c r="X465" s="64"/>
      <c r="Y465" s="64"/>
      <c r="Z465" s="64"/>
      <c r="AA465" s="64"/>
      <c r="AB465" s="60"/>
      <c r="AC465" s="64"/>
      <c r="AD465" s="64"/>
      <c r="AE465" s="64"/>
      <c r="AF465" s="64"/>
      <c r="AG465" s="60"/>
      <c r="AH465" s="64"/>
      <c r="AI465" s="64"/>
      <c r="AJ465" s="64"/>
    </row>
    <row r="466" spans="2:36" hidden="1" outlineLevel="1" x14ac:dyDescent="0.25">
      <c r="B466" s="229" t="s">
        <v>195</v>
      </c>
      <c r="C466" s="229" t="s">
        <v>195</v>
      </c>
      <c r="E466" s="78" t="s">
        <v>73</v>
      </c>
      <c r="F466" s="21">
        <f t="shared" ref="F466:H466" si="754">F566</f>
        <v>0</v>
      </c>
      <c r="G466" s="21">
        <f t="shared" si="754"/>
        <v>0</v>
      </c>
      <c r="H466" s="21">
        <f t="shared" si="754"/>
        <v>0</v>
      </c>
      <c r="I466" s="10">
        <f t="shared" ref="I466:L466" si="755">IF(X466="",I566,X466)</f>
        <v>0</v>
      </c>
      <c r="J466" s="10">
        <f t="shared" si="755"/>
        <v>0</v>
      </c>
      <c r="K466" s="10">
        <f t="shared" si="755"/>
        <v>0</v>
      </c>
      <c r="L466" s="10">
        <f t="shared" si="755"/>
        <v>0</v>
      </c>
      <c r="M466" s="17">
        <f t="shared" si="729"/>
        <v>0</v>
      </c>
      <c r="N466" s="10">
        <f t="shared" ref="N466:Q466" si="756">IF(AC466="",N566,AC466)</f>
        <v>0</v>
      </c>
      <c r="O466" s="10">
        <f t="shared" si="756"/>
        <v>0</v>
      </c>
      <c r="P466" s="10">
        <f t="shared" si="756"/>
        <v>0</v>
      </c>
      <c r="Q466" s="10">
        <f t="shared" si="756"/>
        <v>0</v>
      </c>
      <c r="R466" s="22">
        <f t="shared" si="731"/>
        <v>0</v>
      </c>
      <c r="S466" s="23">
        <f t="shared" ref="S466:U466" si="757">IF(AH466="",S566,AH466)</f>
        <v>0</v>
      </c>
      <c r="T466" s="23">
        <f t="shared" si="757"/>
        <v>0</v>
      </c>
      <c r="U466" s="23">
        <f t="shared" si="757"/>
        <v>0</v>
      </c>
      <c r="W466" s="79" t="str">
        <f t="shared" si="737"/>
        <v>Product Line 7</v>
      </c>
      <c r="X466" s="64"/>
      <c r="Y466" s="64"/>
      <c r="Z466" s="64"/>
      <c r="AA466" s="64"/>
      <c r="AB466" s="60"/>
      <c r="AC466" s="64"/>
      <c r="AD466" s="64"/>
      <c r="AE466" s="64"/>
      <c r="AF466" s="64"/>
      <c r="AG466" s="60"/>
      <c r="AH466" s="64"/>
      <c r="AI466" s="64"/>
      <c r="AJ466" s="64"/>
    </row>
    <row r="467" spans="2:36" ht="15.75" hidden="1" outlineLevel="1" thickBot="1" x14ac:dyDescent="0.3">
      <c r="E467" s="8" t="s">
        <v>27</v>
      </c>
      <c r="F467" s="9">
        <f t="shared" ref="F467:U467" si="758">SUM(F460:F466)</f>
        <v>0</v>
      </c>
      <c r="G467" s="9">
        <f t="shared" si="758"/>
        <v>0</v>
      </c>
      <c r="H467" s="9">
        <f t="shared" si="758"/>
        <v>0</v>
      </c>
      <c r="I467" s="11">
        <f t="shared" si="758"/>
        <v>0</v>
      </c>
      <c r="J467" s="11">
        <f t="shared" si="758"/>
        <v>0</v>
      </c>
      <c r="K467" s="11">
        <f t="shared" si="758"/>
        <v>0</v>
      </c>
      <c r="L467" s="11">
        <f t="shared" si="758"/>
        <v>0</v>
      </c>
      <c r="M467" s="18">
        <f t="shared" si="758"/>
        <v>0</v>
      </c>
      <c r="N467" s="11">
        <f t="shared" si="758"/>
        <v>0</v>
      </c>
      <c r="O467" s="11">
        <f t="shared" si="758"/>
        <v>0</v>
      </c>
      <c r="P467" s="11">
        <f t="shared" si="758"/>
        <v>0</v>
      </c>
      <c r="Q467" s="11">
        <f t="shared" si="758"/>
        <v>0</v>
      </c>
      <c r="R467" s="19">
        <f t="shared" si="758"/>
        <v>0</v>
      </c>
      <c r="S467" s="20">
        <f t="shared" si="758"/>
        <v>0</v>
      </c>
      <c r="T467" s="20">
        <f t="shared" si="758"/>
        <v>0</v>
      </c>
      <c r="U467" s="20">
        <f t="shared" si="758"/>
        <v>0</v>
      </c>
    </row>
    <row r="468" spans="2:36" ht="15.75" hidden="1" outlineLevel="1" thickTop="1" x14ac:dyDescent="0.25"/>
    <row r="469" spans="2:36" hidden="1" outlineLevel="1" x14ac:dyDescent="0.25"/>
    <row r="470" spans="2:36" hidden="1" outlineLevel="1" x14ac:dyDescent="0.25"/>
    <row r="471" spans="2:36" hidden="1" outlineLevel="1" x14ac:dyDescent="0.25">
      <c r="E471" s="4" t="s">
        <v>24</v>
      </c>
    </row>
    <row r="472" spans="2:36" hidden="1" outlineLevel="1" x14ac:dyDescent="0.25">
      <c r="E472" s="6" t="s">
        <v>25</v>
      </c>
    </row>
    <row r="473" spans="2:36" hidden="1" outlineLevel="1" x14ac:dyDescent="0.25"/>
    <row r="474" spans="2:36" hidden="1" outlineLevel="1" x14ac:dyDescent="0.25">
      <c r="F474" s="12">
        <f>Inputs!$C$7</f>
        <v>2023</v>
      </c>
      <c r="G474" s="12">
        <f>Inputs!$C$8</f>
        <v>2024</v>
      </c>
      <c r="H474" s="12">
        <f>Inputs!$C$9</f>
        <v>2025</v>
      </c>
      <c r="I474" s="13" t="s">
        <v>1</v>
      </c>
      <c r="J474" s="13" t="s">
        <v>2</v>
      </c>
      <c r="K474" s="13" t="s">
        <v>3</v>
      </c>
      <c r="L474" s="13" t="s">
        <v>4</v>
      </c>
      <c r="M474" s="13">
        <f>Inputs!$C$10</f>
        <v>2026</v>
      </c>
      <c r="N474" s="14" t="s">
        <v>1</v>
      </c>
      <c r="O474" s="14" t="s">
        <v>2</v>
      </c>
      <c r="P474" s="14" t="s">
        <v>3</v>
      </c>
      <c r="Q474" s="14" t="s">
        <v>4</v>
      </c>
      <c r="R474" s="15">
        <f>Inputs!$C$11</f>
        <v>2027</v>
      </c>
      <c r="S474" s="16">
        <f>Inputs!$C$12</f>
        <v>2028</v>
      </c>
      <c r="T474" s="16">
        <f>Inputs!$C$13</f>
        <v>2029</v>
      </c>
      <c r="U474" s="16">
        <f>Inputs!$C$14</f>
        <v>2030</v>
      </c>
    </row>
    <row r="475" spans="2:36" hidden="1" outlineLevel="1" x14ac:dyDescent="0.25">
      <c r="F475" s="71" t="s">
        <v>63</v>
      </c>
      <c r="G475" s="71" t="s">
        <v>63</v>
      </c>
      <c r="H475" s="71" t="s">
        <v>63</v>
      </c>
      <c r="I475" s="71" t="s">
        <v>63</v>
      </c>
      <c r="J475" s="71" t="s">
        <v>63</v>
      </c>
      <c r="K475" s="71" t="s">
        <v>63</v>
      </c>
      <c r="L475" s="71" t="s">
        <v>63</v>
      </c>
      <c r="M475" s="71" t="s">
        <v>63</v>
      </c>
      <c r="N475" s="71" t="s">
        <v>63</v>
      </c>
      <c r="O475" s="71" t="s">
        <v>63</v>
      </c>
      <c r="P475" s="71" t="s">
        <v>63</v>
      </c>
      <c r="Q475" s="71" t="s">
        <v>63</v>
      </c>
      <c r="R475" s="71" t="s">
        <v>63</v>
      </c>
      <c r="S475" s="71" t="s">
        <v>63</v>
      </c>
      <c r="T475" s="71" t="s">
        <v>63</v>
      </c>
      <c r="U475" s="71" t="s">
        <v>63</v>
      </c>
    </row>
    <row r="476" spans="2:36" hidden="1" outlineLevel="1" x14ac:dyDescent="0.25">
      <c r="B476" s="229" t="s">
        <v>195</v>
      </c>
      <c r="C476" s="229" t="s">
        <v>195</v>
      </c>
      <c r="E476" s="78" t="s">
        <v>67</v>
      </c>
      <c r="F476" s="21">
        <f>F576</f>
        <v>0</v>
      </c>
      <c r="G476" s="21">
        <f t="shared" ref="G476:H476" si="759">G576</f>
        <v>0</v>
      </c>
      <c r="H476" s="21">
        <f t="shared" si="759"/>
        <v>0</v>
      </c>
      <c r="I476" s="10">
        <f>IF(X492="",I412*I592,I412*X492)</f>
        <v>0</v>
      </c>
      <c r="J476" s="10">
        <f t="shared" ref="J476:L476" si="760">IF(Y492="",J412*J592,J412*Y492)</f>
        <v>0</v>
      </c>
      <c r="K476" s="10">
        <f t="shared" si="760"/>
        <v>0</v>
      </c>
      <c r="L476" s="10">
        <f t="shared" si="760"/>
        <v>0</v>
      </c>
      <c r="M476" s="17">
        <f t="shared" ref="M476:M482" si="761">SUM(I476:L476)</f>
        <v>0</v>
      </c>
      <c r="N476" s="10">
        <f t="shared" ref="N476:Q476" si="762">IF(AC492="",N412*N592,N412*AC492)</f>
        <v>0</v>
      </c>
      <c r="O476" s="10">
        <f t="shared" si="762"/>
        <v>0</v>
      </c>
      <c r="P476" s="10">
        <f t="shared" si="762"/>
        <v>0</v>
      </c>
      <c r="Q476" s="10">
        <f t="shared" si="762"/>
        <v>0</v>
      </c>
      <c r="R476" s="22">
        <f t="shared" ref="R476:R482" si="763">SUM(N476:Q476)</f>
        <v>0</v>
      </c>
      <c r="S476" s="23">
        <f t="shared" ref="S476:U476" si="764">IF(AH492="",S412*S592,S412*AH492)</f>
        <v>0</v>
      </c>
      <c r="T476" s="23">
        <f t="shared" si="764"/>
        <v>0</v>
      </c>
      <c r="U476" s="23">
        <f t="shared" si="764"/>
        <v>0</v>
      </c>
    </row>
    <row r="477" spans="2:36" hidden="1" outlineLevel="1" x14ac:dyDescent="0.25">
      <c r="B477" s="229" t="s">
        <v>195</v>
      </c>
      <c r="C477" s="229" t="s">
        <v>195</v>
      </c>
      <c r="E477" s="78" t="s">
        <v>68</v>
      </c>
      <c r="F477" s="21">
        <f t="shared" ref="F477:H477" si="765">F577</f>
        <v>0</v>
      </c>
      <c r="G477" s="21">
        <f t="shared" si="765"/>
        <v>0</v>
      </c>
      <c r="H477" s="21">
        <f t="shared" si="765"/>
        <v>0</v>
      </c>
      <c r="I477" s="10">
        <f t="shared" ref="I477:L477" si="766">IF(X493="",I413*I593,I413*X493)</f>
        <v>0</v>
      </c>
      <c r="J477" s="10">
        <f t="shared" si="766"/>
        <v>0</v>
      </c>
      <c r="K477" s="10">
        <f t="shared" si="766"/>
        <v>0</v>
      </c>
      <c r="L477" s="10">
        <f t="shared" si="766"/>
        <v>0</v>
      </c>
      <c r="M477" s="17">
        <f t="shared" si="761"/>
        <v>0</v>
      </c>
      <c r="N477" s="10">
        <f t="shared" ref="N477:Q477" si="767">IF(AC493="",N413*N593,N413*AC493)</f>
        <v>0</v>
      </c>
      <c r="O477" s="10">
        <f t="shared" si="767"/>
        <v>0</v>
      </c>
      <c r="P477" s="10">
        <f t="shared" si="767"/>
        <v>0</v>
      </c>
      <c r="Q477" s="10">
        <f t="shared" si="767"/>
        <v>0</v>
      </c>
      <c r="R477" s="22">
        <f t="shared" si="763"/>
        <v>0</v>
      </c>
      <c r="S477" s="23">
        <f t="shared" ref="S477:U477" si="768">IF(AH493="",S413*S593,S413*AH493)</f>
        <v>0</v>
      </c>
      <c r="T477" s="23">
        <f t="shared" si="768"/>
        <v>0</v>
      </c>
      <c r="U477" s="23">
        <f t="shared" si="768"/>
        <v>0</v>
      </c>
    </row>
    <row r="478" spans="2:36" hidden="1" outlineLevel="1" x14ac:dyDescent="0.25">
      <c r="B478" s="229" t="s">
        <v>195</v>
      </c>
      <c r="C478" s="229" t="s">
        <v>195</v>
      </c>
      <c r="E478" s="78" t="s">
        <v>69</v>
      </c>
      <c r="F478" s="21">
        <f t="shared" ref="F478:H478" si="769">F578</f>
        <v>0</v>
      </c>
      <c r="G478" s="21">
        <f t="shared" si="769"/>
        <v>0</v>
      </c>
      <c r="H478" s="21">
        <f t="shared" si="769"/>
        <v>0</v>
      </c>
      <c r="I478" s="10">
        <f t="shared" ref="I478:L478" si="770">IF(X494="",I414*I594,I414*X494)</f>
        <v>0</v>
      </c>
      <c r="J478" s="10">
        <f t="shared" si="770"/>
        <v>0</v>
      </c>
      <c r="K478" s="10">
        <f t="shared" si="770"/>
        <v>0</v>
      </c>
      <c r="L478" s="10">
        <f t="shared" si="770"/>
        <v>0</v>
      </c>
      <c r="M478" s="17">
        <f t="shared" si="761"/>
        <v>0</v>
      </c>
      <c r="N478" s="10">
        <f t="shared" ref="N478:Q478" si="771">IF(AC494="",N414*N594,N414*AC494)</f>
        <v>0</v>
      </c>
      <c r="O478" s="10">
        <f t="shared" si="771"/>
        <v>0</v>
      </c>
      <c r="P478" s="10">
        <f t="shared" si="771"/>
        <v>0</v>
      </c>
      <c r="Q478" s="10">
        <f t="shared" si="771"/>
        <v>0</v>
      </c>
      <c r="R478" s="22">
        <f t="shared" si="763"/>
        <v>0</v>
      </c>
      <c r="S478" s="23">
        <f t="shared" ref="S478:U478" si="772">IF(AH494="",S414*S594,S414*AH494)</f>
        <v>0</v>
      </c>
      <c r="T478" s="23">
        <f t="shared" si="772"/>
        <v>0</v>
      </c>
      <c r="U478" s="23">
        <f t="shared" si="772"/>
        <v>0</v>
      </c>
    </row>
    <row r="479" spans="2:36" hidden="1" outlineLevel="1" x14ac:dyDescent="0.25">
      <c r="B479" s="229" t="s">
        <v>195</v>
      </c>
      <c r="C479" s="229" t="s">
        <v>195</v>
      </c>
      <c r="E479" s="78" t="s">
        <v>70</v>
      </c>
      <c r="F479" s="21">
        <f t="shared" ref="F479:H479" si="773">F579</f>
        <v>0</v>
      </c>
      <c r="G479" s="21">
        <f t="shared" si="773"/>
        <v>0</v>
      </c>
      <c r="H479" s="21">
        <f t="shared" si="773"/>
        <v>0</v>
      </c>
      <c r="I479" s="10">
        <f t="shared" ref="I479:L479" si="774">IF(X495="",I415*I595,I415*X495)</f>
        <v>0</v>
      </c>
      <c r="J479" s="10">
        <f t="shared" si="774"/>
        <v>0</v>
      </c>
      <c r="K479" s="10">
        <f t="shared" si="774"/>
        <v>0</v>
      </c>
      <c r="L479" s="10">
        <f t="shared" si="774"/>
        <v>0</v>
      </c>
      <c r="M479" s="17">
        <f t="shared" si="761"/>
        <v>0</v>
      </c>
      <c r="N479" s="10">
        <f t="shared" ref="N479:Q479" si="775">IF(AC495="",N415*N595,N415*AC495)</f>
        <v>0</v>
      </c>
      <c r="O479" s="10">
        <f t="shared" si="775"/>
        <v>0</v>
      </c>
      <c r="P479" s="10">
        <f t="shared" si="775"/>
        <v>0</v>
      </c>
      <c r="Q479" s="10">
        <f t="shared" si="775"/>
        <v>0</v>
      </c>
      <c r="R479" s="22">
        <f t="shared" si="763"/>
        <v>0</v>
      </c>
      <c r="S479" s="23">
        <f t="shared" ref="S479:U479" si="776">IF(AH495="",S415*S595,S415*AH495)</f>
        <v>0</v>
      </c>
      <c r="T479" s="23">
        <f t="shared" si="776"/>
        <v>0</v>
      </c>
      <c r="U479" s="23">
        <f t="shared" si="776"/>
        <v>0</v>
      </c>
    </row>
    <row r="480" spans="2:36" hidden="1" outlineLevel="1" x14ac:dyDescent="0.25">
      <c r="B480" s="229" t="s">
        <v>195</v>
      </c>
      <c r="C480" s="229" t="s">
        <v>195</v>
      </c>
      <c r="E480" s="78" t="s">
        <v>71</v>
      </c>
      <c r="F480" s="21">
        <f t="shared" ref="F480:H480" si="777">F580</f>
        <v>0</v>
      </c>
      <c r="G480" s="21">
        <f t="shared" si="777"/>
        <v>0</v>
      </c>
      <c r="H480" s="21">
        <f t="shared" si="777"/>
        <v>0</v>
      </c>
      <c r="I480" s="10">
        <f t="shared" ref="I480:L480" si="778">IF(X496="",I416*I596,I416*X496)</f>
        <v>0</v>
      </c>
      <c r="J480" s="10">
        <f t="shared" si="778"/>
        <v>0</v>
      </c>
      <c r="K480" s="10">
        <f t="shared" si="778"/>
        <v>0</v>
      </c>
      <c r="L480" s="10">
        <f t="shared" si="778"/>
        <v>0</v>
      </c>
      <c r="M480" s="17">
        <f t="shared" si="761"/>
        <v>0</v>
      </c>
      <c r="N480" s="10">
        <f t="shared" ref="N480:Q480" si="779">IF(AC496="",N416*N596,N416*AC496)</f>
        <v>0</v>
      </c>
      <c r="O480" s="10">
        <f t="shared" si="779"/>
        <v>0</v>
      </c>
      <c r="P480" s="10">
        <f t="shared" si="779"/>
        <v>0</v>
      </c>
      <c r="Q480" s="10">
        <f t="shared" si="779"/>
        <v>0</v>
      </c>
      <c r="R480" s="22">
        <f t="shared" si="763"/>
        <v>0</v>
      </c>
      <c r="S480" s="23">
        <f t="shared" ref="S480:U480" si="780">IF(AH496="",S416*S596,S416*AH496)</f>
        <v>0</v>
      </c>
      <c r="T480" s="23">
        <f t="shared" si="780"/>
        <v>0</v>
      </c>
      <c r="U480" s="23">
        <f t="shared" si="780"/>
        <v>0</v>
      </c>
    </row>
    <row r="481" spans="2:36" hidden="1" outlineLevel="1" x14ac:dyDescent="0.25">
      <c r="B481" s="229" t="s">
        <v>195</v>
      </c>
      <c r="C481" s="229" t="s">
        <v>195</v>
      </c>
      <c r="E481" s="78" t="s">
        <v>72</v>
      </c>
      <c r="F481" s="21">
        <f t="shared" ref="F481:H481" si="781">F581</f>
        <v>0</v>
      </c>
      <c r="G481" s="21">
        <f t="shared" si="781"/>
        <v>0</v>
      </c>
      <c r="H481" s="21">
        <f t="shared" si="781"/>
        <v>0</v>
      </c>
      <c r="I481" s="10">
        <f t="shared" ref="I481:L481" si="782">IF(X497="",I417*I597,I417*X497)</f>
        <v>0</v>
      </c>
      <c r="J481" s="10">
        <f t="shared" si="782"/>
        <v>0</v>
      </c>
      <c r="K481" s="10">
        <f t="shared" si="782"/>
        <v>0</v>
      </c>
      <c r="L481" s="10">
        <f t="shared" si="782"/>
        <v>0</v>
      </c>
      <c r="M481" s="17">
        <f t="shared" si="761"/>
        <v>0</v>
      </c>
      <c r="N481" s="10">
        <f t="shared" ref="N481:Q481" si="783">IF(AC497="",N417*N597,N417*AC497)</f>
        <v>0</v>
      </c>
      <c r="O481" s="10">
        <f t="shared" si="783"/>
        <v>0</v>
      </c>
      <c r="P481" s="10">
        <f t="shared" si="783"/>
        <v>0</v>
      </c>
      <c r="Q481" s="10">
        <f t="shared" si="783"/>
        <v>0</v>
      </c>
      <c r="R481" s="22">
        <f t="shared" si="763"/>
        <v>0</v>
      </c>
      <c r="S481" s="23">
        <f t="shared" ref="S481:U481" si="784">IF(AH497="",S417*S597,S417*AH497)</f>
        <v>0</v>
      </c>
      <c r="T481" s="23">
        <f t="shared" si="784"/>
        <v>0</v>
      </c>
      <c r="U481" s="23">
        <f t="shared" si="784"/>
        <v>0</v>
      </c>
    </row>
    <row r="482" spans="2:36" hidden="1" outlineLevel="1" x14ac:dyDescent="0.25">
      <c r="B482" s="229" t="s">
        <v>195</v>
      </c>
      <c r="C482" s="229" t="s">
        <v>195</v>
      </c>
      <c r="E482" s="78" t="s">
        <v>73</v>
      </c>
      <c r="F482" s="21">
        <f t="shared" ref="F482:H482" si="785">F582</f>
        <v>0</v>
      </c>
      <c r="G482" s="21">
        <f t="shared" si="785"/>
        <v>0</v>
      </c>
      <c r="H482" s="21">
        <f t="shared" si="785"/>
        <v>0</v>
      </c>
      <c r="I482" s="10">
        <f t="shared" ref="I482:L482" si="786">IF(X498="",I418*I598,I418*X498)</f>
        <v>0</v>
      </c>
      <c r="J482" s="10">
        <f t="shared" si="786"/>
        <v>0</v>
      </c>
      <c r="K482" s="10">
        <f t="shared" si="786"/>
        <v>0</v>
      </c>
      <c r="L482" s="10">
        <f t="shared" si="786"/>
        <v>0</v>
      </c>
      <c r="M482" s="17">
        <f t="shared" si="761"/>
        <v>0</v>
      </c>
      <c r="N482" s="10">
        <f t="shared" ref="N482:Q482" si="787">IF(AC498="",N418*N598,N418*AC498)</f>
        <v>0</v>
      </c>
      <c r="O482" s="10">
        <f t="shared" si="787"/>
        <v>0</v>
      </c>
      <c r="P482" s="10">
        <f t="shared" si="787"/>
        <v>0</v>
      </c>
      <c r="Q482" s="10">
        <f t="shared" si="787"/>
        <v>0</v>
      </c>
      <c r="R482" s="22">
        <f t="shared" si="763"/>
        <v>0</v>
      </c>
      <c r="S482" s="23">
        <f t="shared" ref="S482:U482" si="788">IF(AH498="",S418*S598,S418*AH498)</f>
        <v>0</v>
      </c>
      <c r="T482" s="23">
        <f t="shared" si="788"/>
        <v>0</v>
      </c>
      <c r="U482" s="23">
        <f t="shared" si="788"/>
        <v>0</v>
      </c>
    </row>
    <row r="483" spans="2:36" ht="15.75" hidden="1" outlineLevel="1" thickBot="1" x14ac:dyDescent="0.3">
      <c r="E483" s="8" t="s">
        <v>27</v>
      </c>
      <c r="F483" s="9">
        <f t="shared" ref="F483:U483" si="789">SUM(F476:F482)</f>
        <v>0</v>
      </c>
      <c r="G483" s="9">
        <f t="shared" si="789"/>
        <v>0</v>
      </c>
      <c r="H483" s="9">
        <f t="shared" si="789"/>
        <v>0</v>
      </c>
      <c r="I483" s="11">
        <f t="shared" si="789"/>
        <v>0</v>
      </c>
      <c r="J483" s="11">
        <f t="shared" si="789"/>
        <v>0</v>
      </c>
      <c r="K483" s="11">
        <f t="shared" si="789"/>
        <v>0</v>
      </c>
      <c r="L483" s="11">
        <f t="shared" si="789"/>
        <v>0</v>
      </c>
      <c r="M483" s="18">
        <f t="shared" si="789"/>
        <v>0</v>
      </c>
      <c r="N483" s="11">
        <f t="shared" si="789"/>
        <v>0</v>
      </c>
      <c r="O483" s="11">
        <f t="shared" si="789"/>
        <v>0</v>
      </c>
      <c r="P483" s="11">
        <f t="shared" si="789"/>
        <v>0</v>
      </c>
      <c r="Q483" s="11">
        <f t="shared" si="789"/>
        <v>0</v>
      </c>
      <c r="R483" s="19">
        <f t="shared" si="789"/>
        <v>0</v>
      </c>
      <c r="S483" s="20">
        <f t="shared" si="789"/>
        <v>0</v>
      </c>
      <c r="T483" s="20">
        <f t="shared" si="789"/>
        <v>0</v>
      </c>
      <c r="U483" s="20">
        <f t="shared" si="789"/>
        <v>0</v>
      </c>
    </row>
    <row r="484" spans="2:36" ht="15.75" hidden="1" outlineLevel="1" thickTop="1" x14ac:dyDescent="0.25">
      <c r="F484" s="24"/>
      <c r="G484" s="25"/>
      <c r="H484" s="25"/>
      <c r="I484" s="25"/>
      <c r="J484" s="25"/>
      <c r="K484" s="25"/>
      <c r="L484" s="25"/>
      <c r="M484" s="25"/>
      <c r="N484" s="25"/>
      <c r="O484" s="25"/>
      <c r="P484" s="25"/>
      <c r="Q484" s="25"/>
      <c r="R484" s="25"/>
      <c r="S484" s="25"/>
      <c r="T484" s="25"/>
      <c r="U484" s="25"/>
    </row>
    <row r="485" spans="2:36" hidden="1" outlineLevel="1" x14ac:dyDescent="0.25"/>
    <row r="486" spans="2:36" hidden="1" outlineLevel="1" x14ac:dyDescent="0.25"/>
    <row r="487" spans="2:36" hidden="1" outlineLevel="1" x14ac:dyDescent="0.25">
      <c r="E487" s="4" t="s">
        <v>26</v>
      </c>
      <c r="W487" s="4" t="s">
        <v>26</v>
      </c>
    </row>
    <row r="488" spans="2:36" hidden="1" outlineLevel="1" x14ac:dyDescent="0.25">
      <c r="E488" s="6" t="s">
        <v>25</v>
      </c>
      <c r="W488" s="61" t="s">
        <v>66</v>
      </c>
    </row>
    <row r="489" spans="2:36" hidden="1" outlineLevel="1" x14ac:dyDescent="0.25"/>
    <row r="490" spans="2:36" hidden="1" outlineLevel="1" x14ac:dyDescent="0.25">
      <c r="F490" s="12">
        <f>Inputs!$C$7</f>
        <v>2023</v>
      </c>
      <c r="G490" s="12">
        <f>Inputs!$C$8</f>
        <v>2024</v>
      </c>
      <c r="H490" s="12">
        <f>Inputs!$C$9</f>
        <v>2025</v>
      </c>
      <c r="I490" s="13" t="s">
        <v>1</v>
      </c>
      <c r="J490" s="13" t="s">
        <v>2</v>
      </c>
      <c r="K490" s="13" t="s">
        <v>3</v>
      </c>
      <c r="L490" s="13" t="s">
        <v>4</v>
      </c>
      <c r="M490" s="13">
        <f>Inputs!$C$10</f>
        <v>2026</v>
      </c>
      <c r="N490" s="14" t="s">
        <v>1</v>
      </c>
      <c r="O490" s="14" t="s">
        <v>2</v>
      </c>
      <c r="P490" s="14" t="s">
        <v>3</v>
      </c>
      <c r="Q490" s="14" t="s">
        <v>4</v>
      </c>
      <c r="R490" s="15">
        <f>Inputs!$C$11</f>
        <v>2027</v>
      </c>
      <c r="S490" s="16">
        <f>Inputs!$C$12</f>
        <v>2028</v>
      </c>
      <c r="T490" s="16">
        <f>Inputs!$C$13</f>
        <v>2029</v>
      </c>
      <c r="U490" s="16">
        <f>Inputs!$C$14</f>
        <v>2030</v>
      </c>
      <c r="X490" s="13" t="s">
        <v>1</v>
      </c>
      <c r="Y490" s="13" t="s">
        <v>2</v>
      </c>
      <c r="Z490" s="13" t="s">
        <v>3</v>
      </c>
      <c r="AA490" s="13" t="s">
        <v>4</v>
      </c>
      <c r="AB490" s="13">
        <f>Inputs!$C$10</f>
        <v>2026</v>
      </c>
      <c r="AC490" s="14" t="s">
        <v>1</v>
      </c>
      <c r="AD490" s="14" t="s">
        <v>2</v>
      </c>
      <c r="AE490" s="14" t="s">
        <v>3</v>
      </c>
      <c r="AF490" s="14" t="s">
        <v>4</v>
      </c>
      <c r="AG490" s="15">
        <f>Inputs!$C$11</f>
        <v>2027</v>
      </c>
      <c r="AH490" s="16">
        <f>Inputs!$C$12</f>
        <v>2028</v>
      </c>
      <c r="AI490" s="16">
        <f>Inputs!$C$13</f>
        <v>2029</v>
      </c>
      <c r="AJ490" s="16">
        <f>Inputs!$C$14</f>
        <v>2030</v>
      </c>
    </row>
    <row r="491" spans="2:36" hidden="1" outlineLevel="1" x14ac:dyDescent="0.25">
      <c r="F491" s="71" t="s">
        <v>64</v>
      </c>
      <c r="G491" s="71" t="s">
        <v>64</v>
      </c>
      <c r="H491" s="71" t="s">
        <v>64</v>
      </c>
      <c r="I491" s="71" t="s">
        <v>64</v>
      </c>
      <c r="J491" s="71" t="s">
        <v>64</v>
      </c>
      <c r="K491" s="71" t="s">
        <v>64</v>
      </c>
      <c r="L491" s="71" t="s">
        <v>64</v>
      </c>
      <c r="M491" s="71" t="s">
        <v>64</v>
      </c>
      <c r="N491" s="71" t="s">
        <v>64</v>
      </c>
      <c r="O491" s="71" t="s">
        <v>64</v>
      </c>
      <c r="P491" s="71" t="s">
        <v>64</v>
      </c>
      <c r="Q491" s="71" t="s">
        <v>64</v>
      </c>
      <c r="R491" s="71" t="s">
        <v>64</v>
      </c>
      <c r="S491" s="71" t="s">
        <v>64</v>
      </c>
      <c r="T491" s="71" t="s">
        <v>64</v>
      </c>
      <c r="U491" s="71" t="s">
        <v>64</v>
      </c>
      <c r="X491" s="63" t="s">
        <v>64</v>
      </c>
      <c r="Y491" s="63" t="s">
        <v>64</v>
      </c>
      <c r="Z491" s="63" t="s">
        <v>64</v>
      </c>
      <c r="AA491" s="63" t="s">
        <v>64</v>
      </c>
      <c r="AB491" s="62"/>
      <c r="AC491" s="63" t="s">
        <v>64</v>
      </c>
      <c r="AD491" s="63" t="s">
        <v>64</v>
      </c>
      <c r="AE491" s="63" t="s">
        <v>64</v>
      </c>
      <c r="AF491" s="63" t="s">
        <v>64</v>
      </c>
      <c r="AG491" s="62"/>
      <c r="AH491" s="63" t="s">
        <v>64</v>
      </c>
      <c r="AI491" s="63" t="s">
        <v>64</v>
      </c>
      <c r="AJ491" s="63" t="s">
        <v>64</v>
      </c>
    </row>
    <row r="492" spans="2:36" hidden="1" outlineLevel="1" x14ac:dyDescent="0.25">
      <c r="B492" s="229" t="s">
        <v>195</v>
      </c>
      <c r="C492" s="229" t="s">
        <v>195</v>
      </c>
      <c r="E492" s="78" t="s">
        <v>67</v>
      </c>
      <c r="F492" s="26">
        <f t="shared" ref="F492:U492" si="790">IFERROR(F476/F412,0)</f>
        <v>0</v>
      </c>
      <c r="G492" s="26">
        <f t="shared" si="790"/>
        <v>0</v>
      </c>
      <c r="H492" s="26">
        <f t="shared" si="790"/>
        <v>0</v>
      </c>
      <c r="I492" s="27">
        <f t="shared" si="790"/>
        <v>0</v>
      </c>
      <c r="J492" s="27">
        <f t="shared" si="790"/>
        <v>0</v>
      </c>
      <c r="K492" s="27">
        <f t="shared" si="790"/>
        <v>0</v>
      </c>
      <c r="L492" s="27">
        <f t="shared" si="790"/>
        <v>0</v>
      </c>
      <c r="M492" s="28">
        <f t="shared" si="790"/>
        <v>0</v>
      </c>
      <c r="N492" s="27">
        <f t="shared" si="790"/>
        <v>0</v>
      </c>
      <c r="O492" s="27">
        <f t="shared" si="790"/>
        <v>0</v>
      </c>
      <c r="P492" s="27">
        <f t="shared" si="790"/>
        <v>0</v>
      </c>
      <c r="Q492" s="27">
        <f t="shared" si="790"/>
        <v>0</v>
      </c>
      <c r="R492" s="29">
        <f t="shared" si="790"/>
        <v>0</v>
      </c>
      <c r="S492" s="30">
        <f t="shared" si="790"/>
        <v>0</v>
      </c>
      <c r="T492" s="30">
        <f t="shared" si="790"/>
        <v>0</v>
      </c>
      <c r="U492" s="30">
        <f t="shared" si="790"/>
        <v>0</v>
      </c>
      <c r="W492" s="79" t="str">
        <f>E492</f>
        <v>Product Line 1</v>
      </c>
      <c r="X492" s="64"/>
      <c r="Y492" s="64"/>
      <c r="Z492" s="64"/>
      <c r="AA492" s="64"/>
      <c r="AB492" s="60"/>
      <c r="AC492" s="64"/>
      <c r="AD492" s="64"/>
      <c r="AE492" s="64"/>
      <c r="AF492" s="64"/>
      <c r="AG492" s="60"/>
      <c r="AH492" s="64"/>
      <c r="AI492" s="64"/>
      <c r="AJ492" s="64"/>
    </row>
    <row r="493" spans="2:36" hidden="1" outlineLevel="1" x14ac:dyDescent="0.25">
      <c r="B493" s="229" t="s">
        <v>195</v>
      </c>
      <c r="C493" s="229" t="s">
        <v>195</v>
      </c>
      <c r="E493" s="78" t="s">
        <v>68</v>
      </c>
      <c r="F493" s="26">
        <f t="shared" ref="F493:U493" si="791">IFERROR(F477/F413,0)</f>
        <v>0</v>
      </c>
      <c r="G493" s="26">
        <f t="shared" si="791"/>
        <v>0</v>
      </c>
      <c r="H493" s="26">
        <f t="shared" si="791"/>
        <v>0</v>
      </c>
      <c r="I493" s="27">
        <f t="shared" si="791"/>
        <v>0</v>
      </c>
      <c r="J493" s="27">
        <f t="shared" si="791"/>
        <v>0</v>
      </c>
      <c r="K493" s="27">
        <f t="shared" si="791"/>
        <v>0</v>
      </c>
      <c r="L493" s="27">
        <f t="shared" si="791"/>
        <v>0</v>
      </c>
      <c r="M493" s="28">
        <f t="shared" si="791"/>
        <v>0</v>
      </c>
      <c r="N493" s="27">
        <f t="shared" si="791"/>
        <v>0</v>
      </c>
      <c r="O493" s="27">
        <f t="shared" si="791"/>
        <v>0</v>
      </c>
      <c r="P493" s="27">
        <f t="shared" si="791"/>
        <v>0</v>
      </c>
      <c r="Q493" s="27">
        <f t="shared" si="791"/>
        <v>0</v>
      </c>
      <c r="R493" s="29">
        <f t="shared" si="791"/>
        <v>0</v>
      </c>
      <c r="S493" s="30">
        <f t="shared" si="791"/>
        <v>0</v>
      </c>
      <c r="T493" s="30">
        <f t="shared" si="791"/>
        <v>0</v>
      </c>
      <c r="U493" s="30">
        <f t="shared" si="791"/>
        <v>0</v>
      </c>
      <c r="W493" s="79" t="str">
        <f t="shared" ref="W493:W498" si="792">E493</f>
        <v>Product Line 2</v>
      </c>
      <c r="X493" s="64"/>
      <c r="Y493" s="64"/>
      <c r="Z493" s="64"/>
      <c r="AA493" s="64"/>
      <c r="AB493" s="60"/>
      <c r="AC493" s="64"/>
      <c r="AD493" s="64"/>
      <c r="AE493" s="64"/>
      <c r="AF493" s="64"/>
      <c r="AG493" s="60"/>
      <c r="AH493" s="64"/>
      <c r="AI493" s="64"/>
      <c r="AJ493" s="64"/>
    </row>
    <row r="494" spans="2:36" hidden="1" outlineLevel="1" x14ac:dyDescent="0.25">
      <c r="B494" s="229" t="s">
        <v>195</v>
      </c>
      <c r="C494" s="229" t="s">
        <v>195</v>
      </c>
      <c r="E494" s="78" t="s">
        <v>69</v>
      </c>
      <c r="F494" s="26">
        <f t="shared" ref="F494:U494" si="793">IFERROR(F478/F414,0)</f>
        <v>0</v>
      </c>
      <c r="G494" s="26">
        <f t="shared" si="793"/>
        <v>0</v>
      </c>
      <c r="H494" s="26">
        <f t="shared" si="793"/>
        <v>0</v>
      </c>
      <c r="I494" s="27">
        <f t="shared" si="793"/>
        <v>0</v>
      </c>
      <c r="J494" s="27">
        <f t="shared" si="793"/>
        <v>0</v>
      </c>
      <c r="K494" s="27">
        <f t="shared" si="793"/>
        <v>0</v>
      </c>
      <c r="L494" s="27">
        <f t="shared" si="793"/>
        <v>0</v>
      </c>
      <c r="M494" s="28">
        <f t="shared" si="793"/>
        <v>0</v>
      </c>
      <c r="N494" s="27">
        <f t="shared" si="793"/>
        <v>0</v>
      </c>
      <c r="O494" s="27">
        <f t="shared" si="793"/>
        <v>0</v>
      </c>
      <c r="P494" s="27">
        <f t="shared" si="793"/>
        <v>0</v>
      </c>
      <c r="Q494" s="27">
        <f t="shared" si="793"/>
        <v>0</v>
      </c>
      <c r="R494" s="29">
        <f t="shared" si="793"/>
        <v>0</v>
      </c>
      <c r="S494" s="30">
        <f t="shared" si="793"/>
        <v>0</v>
      </c>
      <c r="T494" s="30">
        <f t="shared" si="793"/>
        <v>0</v>
      </c>
      <c r="U494" s="30">
        <f t="shared" si="793"/>
        <v>0</v>
      </c>
      <c r="W494" s="79" t="str">
        <f t="shared" si="792"/>
        <v>Product Line 3</v>
      </c>
      <c r="X494" s="64"/>
      <c r="Y494" s="64"/>
      <c r="Z494" s="64"/>
      <c r="AA494" s="64"/>
      <c r="AB494" s="60"/>
      <c r="AC494" s="64"/>
      <c r="AD494" s="64"/>
      <c r="AE494" s="64"/>
      <c r="AF494" s="64"/>
      <c r="AG494" s="60"/>
      <c r="AH494" s="64"/>
      <c r="AI494" s="64"/>
      <c r="AJ494" s="64"/>
    </row>
    <row r="495" spans="2:36" hidden="1" outlineLevel="1" x14ac:dyDescent="0.25">
      <c r="B495" s="229" t="s">
        <v>195</v>
      </c>
      <c r="C495" s="229" t="s">
        <v>195</v>
      </c>
      <c r="E495" s="78" t="s">
        <v>70</v>
      </c>
      <c r="F495" s="26">
        <f t="shared" ref="F495:U495" si="794">IFERROR(F479/F415,0)</f>
        <v>0</v>
      </c>
      <c r="G495" s="26">
        <f t="shared" si="794"/>
        <v>0</v>
      </c>
      <c r="H495" s="26">
        <f t="shared" si="794"/>
        <v>0</v>
      </c>
      <c r="I495" s="27">
        <f t="shared" si="794"/>
        <v>0</v>
      </c>
      <c r="J495" s="27">
        <f t="shared" si="794"/>
        <v>0</v>
      </c>
      <c r="K495" s="27">
        <f t="shared" si="794"/>
        <v>0</v>
      </c>
      <c r="L495" s="27">
        <f t="shared" si="794"/>
        <v>0</v>
      </c>
      <c r="M495" s="28">
        <f t="shared" si="794"/>
        <v>0</v>
      </c>
      <c r="N495" s="27">
        <f t="shared" si="794"/>
        <v>0</v>
      </c>
      <c r="O495" s="27">
        <f t="shared" si="794"/>
        <v>0</v>
      </c>
      <c r="P495" s="27">
        <f t="shared" si="794"/>
        <v>0</v>
      </c>
      <c r="Q495" s="27">
        <f t="shared" si="794"/>
        <v>0</v>
      </c>
      <c r="R495" s="29">
        <f t="shared" si="794"/>
        <v>0</v>
      </c>
      <c r="S495" s="30">
        <f t="shared" si="794"/>
        <v>0</v>
      </c>
      <c r="T495" s="30">
        <f t="shared" si="794"/>
        <v>0</v>
      </c>
      <c r="U495" s="30">
        <f t="shared" si="794"/>
        <v>0</v>
      </c>
      <c r="W495" s="79" t="str">
        <f t="shared" si="792"/>
        <v>Product Line 4</v>
      </c>
      <c r="X495" s="64"/>
      <c r="Y495" s="64"/>
      <c r="Z495" s="64"/>
      <c r="AA495" s="64"/>
      <c r="AB495" s="60"/>
      <c r="AC495" s="64"/>
      <c r="AD495" s="64"/>
      <c r="AE495" s="64"/>
      <c r="AF495" s="64"/>
      <c r="AG495" s="60"/>
      <c r="AH495" s="64"/>
      <c r="AI495" s="64"/>
      <c r="AJ495" s="64"/>
    </row>
    <row r="496" spans="2:36" hidden="1" outlineLevel="1" x14ac:dyDescent="0.25">
      <c r="B496" s="229" t="s">
        <v>195</v>
      </c>
      <c r="C496" s="229" t="s">
        <v>195</v>
      </c>
      <c r="E496" s="78" t="s">
        <v>71</v>
      </c>
      <c r="F496" s="26">
        <f t="shared" ref="F496:U496" si="795">IFERROR(F480/F416,0)</f>
        <v>0</v>
      </c>
      <c r="G496" s="26">
        <f t="shared" si="795"/>
        <v>0</v>
      </c>
      <c r="H496" s="26">
        <f t="shared" si="795"/>
        <v>0</v>
      </c>
      <c r="I496" s="27">
        <f t="shared" si="795"/>
        <v>0</v>
      </c>
      <c r="J496" s="27">
        <f t="shared" si="795"/>
        <v>0</v>
      </c>
      <c r="K496" s="27">
        <f t="shared" si="795"/>
        <v>0</v>
      </c>
      <c r="L496" s="27">
        <f t="shared" si="795"/>
        <v>0</v>
      </c>
      <c r="M496" s="28">
        <f t="shared" si="795"/>
        <v>0</v>
      </c>
      <c r="N496" s="27">
        <f t="shared" si="795"/>
        <v>0</v>
      </c>
      <c r="O496" s="27">
        <f t="shared" si="795"/>
        <v>0</v>
      </c>
      <c r="P496" s="27">
        <f t="shared" si="795"/>
        <v>0</v>
      </c>
      <c r="Q496" s="27">
        <f t="shared" si="795"/>
        <v>0</v>
      </c>
      <c r="R496" s="29">
        <f t="shared" si="795"/>
        <v>0</v>
      </c>
      <c r="S496" s="30">
        <f t="shared" si="795"/>
        <v>0</v>
      </c>
      <c r="T496" s="30">
        <f t="shared" si="795"/>
        <v>0</v>
      </c>
      <c r="U496" s="30">
        <f t="shared" si="795"/>
        <v>0</v>
      </c>
      <c r="W496" s="79" t="str">
        <f t="shared" si="792"/>
        <v>Product Line 5</v>
      </c>
      <c r="X496" s="64"/>
      <c r="Y496" s="64"/>
      <c r="Z496" s="64"/>
      <c r="AA496" s="64"/>
      <c r="AB496" s="60"/>
      <c r="AC496" s="64"/>
      <c r="AD496" s="64"/>
      <c r="AE496" s="64"/>
      <c r="AF496" s="64"/>
      <c r="AG496" s="60"/>
      <c r="AH496" s="64"/>
      <c r="AI496" s="64"/>
      <c r="AJ496" s="64"/>
    </row>
    <row r="497" spans="2:36" hidden="1" outlineLevel="1" x14ac:dyDescent="0.25">
      <c r="B497" s="229" t="s">
        <v>195</v>
      </c>
      <c r="C497" s="229" t="s">
        <v>195</v>
      </c>
      <c r="E497" s="78" t="s">
        <v>72</v>
      </c>
      <c r="F497" s="26">
        <f t="shared" ref="F497:U497" si="796">IFERROR(F481/F417,0)</f>
        <v>0</v>
      </c>
      <c r="G497" s="26">
        <f t="shared" si="796"/>
        <v>0</v>
      </c>
      <c r="H497" s="26">
        <f t="shared" si="796"/>
        <v>0</v>
      </c>
      <c r="I497" s="27">
        <f t="shared" si="796"/>
        <v>0</v>
      </c>
      <c r="J497" s="27">
        <f t="shared" si="796"/>
        <v>0</v>
      </c>
      <c r="K497" s="27">
        <f t="shared" si="796"/>
        <v>0</v>
      </c>
      <c r="L497" s="27">
        <f t="shared" si="796"/>
        <v>0</v>
      </c>
      <c r="M497" s="28">
        <f t="shared" si="796"/>
        <v>0</v>
      </c>
      <c r="N497" s="27">
        <f t="shared" si="796"/>
        <v>0</v>
      </c>
      <c r="O497" s="27">
        <f t="shared" si="796"/>
        <v>0</v>
      </c>
      <c r="P497" s="27">
        <f t="shared" si="796"/>
        <v>0</v>
      </c>
      <c r="Q497" s="27">
        <f t="shared" si="796"/>
        <v>0</v>
      </c>
      <c r="R497" s="29">
        <f t="shared" si="796"/>
        <v>0</v>
      </c>
      <c r="S497" s="30">
        <f t="shared" si="796"/>
        <v>0</v>
      </c>
      <c r="T497" s="30">
        <f t="shared" si="796"/>
        <v>0</v>
      </c>
      <c r="U497" s="30">
        <f t="shared" si="796"/>
        <v>0</v>
      </c>
      <c r="W497" s="79" t="str">
        <f t="shared" si="792"/>
        <v>Product Line 6</v>
      </c>
      <c r="X497" s="64"/>
      <c r="Y497" s="64"/>
      <c r="Z497" s="64"/>
      <c r="AA497" s="64"/>
      <c r="AB497" s="60"/>
      <c r="AC497" s="64"/>
      <c r="AD497" s="64"/>
      <c r="AE497" s="64"/>
      <c r="AF497" s="64"/>
      <c r="AG497" s="60"/>
      <c r="AH497" s="64"/>
      <c r="AI497" s="64"/>
      <c r="AJ497" s="64"/>
    </row>
    <row r="498" spans="2:36" hidden="1" outlineLevel="1" x14ac:dyDescent="0.25">
      <c r="B498" s="229" t="s">
        <v>195</v>
      </c>
      <c r="C498" s="229" t="s">
        <v>195</v>
      </c>
      <c r="E498" s="78" t="s">
        <v>73</v>
      </c>
      <c r="F498" s="26">
        <f t="shared" ref="F498:U498" si="797">IFERROR(F482/F418,0)</f>
        <v>0</v>
      </c>
      <c r="G498" s="26">
        <f t="shared" si="797"/>
        <v>0</v>
      </c>
      <c r="H498" s="26">
        <f t="shared" si="797"/>
        <v>0</v>
      </c>
      <c r="I498" s="27">
        <f t="shared" si="797"/>
        <v>0</v>
      </c>
      <c r="J498" s="27">
        <f t="shared" si="797"/>
        <v>0</v>
      </c>
      <c r="K498" s="27">
        <f t="shared" si="797"/>
        <v>0</v>
      </c>
      <c r="L498" s="27">
        <f t="shared" si="797"/>
        <v>0</v>
      </c>
      <c r="M498" s="28">
        <f t="shared" si="797"/>
        <v>0</v>
      </c>
      <c r="N498" s="27">
        <f t="shared" si="797"/>
        <v>0</v>
      </c>
      <c r="O498" s="27">
        <f t="shared" si="797"/>
        <v>0</v>
      </c>
      <c r="P498" s="27">
        <f t="shared" si="797"/>
        <v>0</v>
      </c>
      <c r="Q498" s="27">
        <f t="shared" si="797"/>
        <v>0</v>
      </c>
      <c r="R498" s="29">
        <f t="shared" si="797"/>
        <v>0</v>
      </c>
      <c r="S498" s="30">
        <f t="shared" si="797"/>
        <v>0</v>
      </c>
      <c r="T498" s="30">
        <f t="shared" si="797"/>
        <v>0</v>
      </c>
      <c r="U498" s="30">
        <f t="shared" si="797"/>
        <v>0</v>
      </c>
      <c r="W498" s="79" t="str">
        <f t="shared" si="792"/>
        <v>Product Line 7</v>
      </c>
      <c r="X498" s="64"/>
      <c r="Y498" s="64"/>
      <c r="Z498" s="64"/>
      <c r="AA498" s="64"/>
      <c r="AB498" s="60"/>
      <c r="AC498" s="64"/>
      <c r="AD498" s="64"/>
      <c r="AE498" s="64"/>
      <c r="AF498" s="64"/>
      <c r="AG498" s="60"/>
      <c r="AH498" s="64"/>
      <c r="AI498" s="64"/>
      <c r="AJ498" s="64"/>
    </row>
    <row r="499" spans="2:36" ht="15.75" hidden="1" outlineLevel="1" thickBot="1" x14ac:dyDescent="0.3">
      <c r="E499" s="8" t="s">
        <v>27</v>
      </c>
      <c r="F499" s="31">
        <f t="shared" ref="F499:U499" si="798">IFERROR(F483/F419,0)</f>
        <v>0</v>
      </c>
      <c r="G499" s="31">
        <f t="shared" si="798"/>
        <v>0</v>
      </c>
      <c r="H499" s="31">
        <f t="shared" si="798"/>
        <v>0</v>
      </c>
      <c r="I499" s="32">
        <f t="shared" si="798"/>
        <v>0</v>
      </c>
      <c r="J499" s="32">
        <f t="shared" si="798"/>
        <v>0</v>
      </c>
      <c r="K499" s="32">
        <f t="shared" si="798"/>
        <v>0</v>
      </c>
      <c r="L499" s="32">
        <f t="shared" si="798"/>
        <v>0</v>
      </c>
      <c r="M499" s="33">
        <f t="shared" si="798"/>
        <v>0</v>
      </c>
      <c r="N499" s="32">
        <f t="shared" si="798"/>
        <v>0</v>
      </c>
      <c r="O499" s="32">
        <f t="shared" si="798"/>
        <v>0</v>
      </c>
      <c r="P499" s="32">
        <f t="shared" si="798"/>
        <v>0</v>
      </c>
      <c r="Q499" s="32">
        <f t="shared" si="798"/>
        <v>0</v>
      </c>
      <c r="R499" s="34">
        <f t="shared" si="798"/>
        <v>0</v>
      </c>
      <c r="S499" s="35">
        <f t="shared" si="798"/>
        <v>0</v>
      </c>
      <c r="T499" s="35">
        <f t="shared" si="798"/>
        <v>0</v>
      </c>
      <c r="U499" s="35">
        <f t="shared" si="798"/>
        <v>0</v>
      </c>
    </row>
    <row r="500" spans="2:36" ht="15.75" hidden="1" outlineLevel="1" thickTop="1" x14ac:dyDescent="0.25"/>
    <row r="501" spans="2:36" hidden="1" outlineLevel="1" x14ac:dyDescent="0.25"/>
    <row r="502" spans="2:36" hidden="1" outlineLevel="1" x14ac:dyDescent="0.25"/>
    <row r="503" spans="2:36" ht="18.75" collapsed="1" x14ac:dyDescent="0.3">
      <c r="E503" s="70" t="s">
        <v>61</v>
      </c>
      <c r="F503" s="70"/>
      <c r="G503" s="70"/>
      <c r="H503" s="70"/>
      <c r="I503" s="70"/>
      <c r="J503" s="70"/>
      <c r="K503" s="70"/>
      <c r="L503" s="70"/>
      <c r="M503" s="70"/>
      <c r="N503" s="70"/>
      <c r="O503" s="70"/>
      <c r="P503" s="70"/>
      <c r="Q503" s="70"/>
      <c r="R503" s="70"/>
      <c r="S503" s="70"/>
      <c r="T503" s="70"/>
      <c r="U503" s="70"/>
    </row>
    <row r="504" spans="2:36" x14ac:dyDescent="0.25">
      <c r="E504" s="52" t="s">
        <v>65</v>
      </c>
    </row>
    <row r="507" spans="2:36" x14ac:dyDescent="0.25">
      <c r="E507" s="4" t="s">
        <v>23</v>
      </c>
    </row>
    <row r="508" spans="2:36" x14ac:dyDescent="0.25">
      <c r="E508" s="6" t="s">
        <v>25</v>
      </c>
    </row>
    <row r="510" spans="2:36" x14ac:dyDescent="0.25">
      <c r="F510" s="12">
        <f>Inputs!$C$7</f>
        <v>2023</v>
      </c>
      <c r="G510" s="12">
        <f>Inputs!$C$8</f>
        <v>2024</v>
      </c>
      <c r="H510" s="12">
        <f>Inputs!$C$9</f>
        <v>2025</v>
      </c>
      <c r="I510" s="13" t="s">
        <v>1</v>
      </c>
      <c r="J510" s="13" t="s">
        <v>2</v>
      </c>
      <c r="K510" s="13" t="s">
        <v>3</v>
      </c>
      <c r="L510" s="13" t="s">
        <v>4</v>
      </c>
      <c r="M510" s="13">
        <f>Inputs!$C$10</f>
        <v>2026</v>
      </c>
      <c r="N510" s="14" t="s">
        <v>1</v>
      </c>
      <c r="O510" s="14" t="s">
        <v>2</v>
      </c>
      <c r="P510" s="14" t="s">
        <v>3</v>
      </c>
      <c r="Q510" s="14" t="s">
        <v>4</v>
      </c>
      <c r="R510" s="15">
        <f>Inputs!$C$11</f>
        <v>2027</v>
      </c>
      <c r="S510" s="16">
        <f>Inputs!$C$12</f>
        <v>2028</v>
      </c>
      <c r="T510" s="16">
        <f>Inputs!$C$13</f>
        <v>2029</v>
      </c>
      <c r="U510" s="16">
        <f>Inputs!$C$14</f>
        <v>2030</v>
      </c>
    </row>
    <row r="511" spans="2:36" x14ac:dyDescent="0.25">
      <c r="F511" s="71" t="s">
        <v>63</v>
      </c>
      <c r="G511" s="71" t="s">
        <v>63</v>
      </c>
      <c r="H511" s="71" t="s">
        <v>63</v>
      </c>
      <c r="I511" s="71" t="s">
        <v>63</v>
      </c>
      <c r="J511" s="71" t="s">
        <v>63</v>
      </c>
      <c r="K511" s="71" t="s">
        <v>63</v>
      </c>
      <c r="L511" s="71" t="s">
        <v>63</v>
      </c>
      <c r="M511" s="71" t="s">
        <v>63</v>
      </c>
      <c r="N511" s="71" t="s">
        <v>63</v>
      </c>
      <c r="O511" s="71" t="s">
        <v>63</v>
      </c>
      <c r="P511" s="71" t="s">
        <v>63</v>
      </c>
      <c r="Q511" s="71" t="s">
        <v>63</v>
      </c>
      <c r="R511" s="71" t="s">
        <v>63</v>
      </c>
      <c r="S511" s="71" t="s">
        <v>63</v>
      </c>
      <c r="T511" s="71" t="s">
        <v>63</v>
      </c>
      <c r="U511" s="71" t="s">
        <v>63</v>
      </c>
    </row>
    <row r="512" spans="2:36" x14ac:dyDescent="0.25">
      <c r="E512" s="78" t="s">
        <v>67</v>
      </c>
      <c r="F512" s="65"/>
      <c r="G512" s="65"/>
      <c r="H512" s="65"/>
      <c r="I512" s="72"/>
      <c r="J512" s="72"/>
      <c r="K512" s="72"/>
      <c r="L512" s="72"/>
      <c r="M512" s="65">
        <f>SUM(I512:L512)</f>
        <v>0</v>
      </c>
      <c r="N512" s="72"/>
      <c r="O512" s="72"/>
      <c r="P512" s="72"/>
      <c r="Q512" s="72"/>
      <c r="R512" s="66">
        <f t="shared" ref="R512:R518" si="799">SUM(N512:Q512)</f>
        <v>0</v>
      </c>
      <c r="S512" s="66"/>
      <c r="T512" s="66"/>
      <c r="U512" s="66"/>
    </row>
    <row r="513" spans="5:21" x14ac:dyDescent="0.25">
      <c r="E513" s="78" t="s">
        <v>68</v>
      </c>
      <c r="F513" s="65"/>
      <c r="G513" s="65"/>
      <c r="H513" s="65"/>
      <c r="I513" s="72"/>
      <c r="J513" s="72"/>
      <c r="K513" s="72"/>
      <c r="L513" s="72"/>
      <c r="M513" s="65">
        <f t="shared" ref="M513:M518" si="800">SUM(I513:L513)</f>
        <v>0</v>
      </c>
      <c r="N513" s="72"/>
      <c r="O513" s="72"/>
      <c r="P513" s="72"/>
      <c r="Q513" s="72"/>
      <c r="R513" s="66">
        <f t="shared" si="799"/>
        <v>0</v>
      </c>
      <c r="S513" s="66"/>
      <c r="T513" s="66"/>
      <c r="U513" s="66"/>
    </row>
    <row r="514" spans="5:21" x14ac:dyDescent="0.25">
      <c r="E514" s="78" t="s">
        <v>69</v>
      </c>
      <c r="F514" s="65"/>
      <c r="G514" s="65"/>
      <c r="H514" s="65"/>
      <c r="I514" s="72"/>
      <c r="J514" s="72"/>
      <c r="K514" s="72"/>
      <c r="L514" s="72"/>
      <c r="M514" s="65">
        <f t="shared" si="800"/>
        <v>0</v>
      </c>
      <c r="N514" s="72"/>
      <c r="O514" s="72"/>
      <c r="P514" s="72"/>
      <c r="Q514" s="72"/>
      <c r="R514" s="66">
        <f t="shared" si="799"/>
        <v>0</v>
      </c>
      <c r="S514" s="66"/>
      <c r="T514" s="66"/>
      <c r="U514" s="66"/>
    </row>
    <row r="515" spans="5:21" x14ac:dyDescent="0.25">
      <c r="E515" s="78" t="s">
        <v>70</v>
      </c>
      <c r="F515" s="65"/>
      <c r="G515" s="65"/>
      <c r="H515" s="65"/>
      <c r="I515" s="72"/>
      <c r="J515" s="72"/>
      <c r="K515" s="72"/>
      <c r="L515" s="72"/>
      <c r="M515" s="65">
        <f t="shared" si="800"/>
        <v>0</v>
      </c>
      <c r="N515" s="72"/>
      <c r="O515" s="72"/>
      <c r="P515" s="72"/>
      <c r="Q515" s="72"/>
      <c r="R515" s="66">
        <f t="shared" si="799"/>
        <v>0</v>
      </c>
      <c r="S515" s="66"/>
      <c r="T515" s="66"/>
      <c r="U515" s="66"/>
    </row>
    <row r="516" spans="5:21" x14ac:dyDescent="0.25">
      <c r="E516" s="78" t="s">
        <v>71</v>
      </c>
      <c r="F516" s="65"/>
      <c r="G516" s="65"/>
      <c r="H516" s="65"/>
      <c r="I516" s="72"/>
      <c r="J516" s="72"/>
      <c r="K516" s="72"/>
      <c r="L516" s="72"/>
      <c r="M516" s="65">
        <f t="shared" si="800"/>
        <v>0</v>
      </c>
      <c r="N516" s="72"/>
      <c r="O516" s="72"/>
      <c r="P516" s="72"/>
      <c r="Q516" s="72"/>
      <c r="R516" s="66">
        <f t="shared" si="799"/>
        <v>0</v>
      </c>
      <c r="S516" s="66"/>
      <c r="T516" s="66"/>
      <c r="U516" s="66"/>
    </row>
    <row r="517" spans="5:21" x14ac:dyDescent="0.25">
      <c r="E517" s="78" t="s">
        <v>72</v>
      </c>
      <c r="F517" s="65"/>
      <c r="G517" s="65"/>
      <c r="H517" s="65"/>
      <c r="I517" s="72"/>
      <c r="J517" s="72"/>
      <c r="K517" s="72"/>
      <c r="L517" s="72"/>
      <c r="M517" s="65">
        <f t="shared" si="800"/>
        <v>0</v>
      </c>
      <c r="N517" s="72"/>
      <c r="O517" s="72"/>
      <c r="P517" s="72"/>
      <c r="Q517" s="72"/>
      <c r="R517" s="66">
        <f t="shared" si="799"/>
        <v>0</v>
      </c>
      <c r="S517" s="66"/>
      <c r="T517" s="66"/>
      <c r="U517" s="66"/>
    </row>
    <row r="518" spans="5:21" x14ac:dyDescent="0.25">
      <c r="E518" s="78" t="s">
        <v>73</v>
      </c>
      <c r="F518" s="65"/>
      <c r="G518" s="65"/>
      <c r="H518" s="65"/>
      <c r="I518" s="72"/>
      <c r="J518" s="72"/>
      <c r="K518" s="72"/>
      <c r="L518" s="72"/>
      <c r="M518" s="65">
        <f t="shared" si="800"/>
        <v>0</v>
      </c>
      <c r="N518" s="72"/>
      <c r="O518" s="72"/>
      <c r="P518" s="72"/>
      <c r="Q518" s="72"/>
      <c r="R518" s="66">
        <f t="shared" si="799"/>
        <v>0</v>
      </c>
      <c r="S518" s="66"/>
      <c r="T518" s="66"/>
      <c r="U518" s="66"/>
    </row>
    <row r="519" spans="5:21" ht="15.75" thickBot="1" x14ac:dyDescent="0.3">
      <c r="E519" s="8" t="s">
        <v>27</v>
      </c>
      <c r="F519" s="67">
        <f>SUM(F512:F518)</f>
        <v>0</v>
      </c>
      <c r="G519" s="67">
        <f t="shared" ref="G519:U519" si="801">SUM(G512:G518)</f>
        <v>0</v>
      </c>
      <c r="H519" s="67">
        <f t="shared" si="801"/>
        <v>0</v>
      </c>
      <c r="I519" s="43">
        <f t="shared" si="801"/>
        <v>0</v>
      </c>
      <c r="J519" s="43">
        <f t="shared" si="801"/>
        <v>0</v>
      </c>
      <c r="K519" s="43">
        <f t="shared" si="801"/>
        <v>0</v>
      </c>
      <c r="L519" s="43">
        <f t="shared" si="801"/>
        <v>0</v>
      </c>
      <c r="M519" s="68">
        <f t="shared" si="801"/>
        <v>0</v>
      </c>
      <c r="N519" s="43">
        <f t="shared" si="801"/>
        <v>0</v>
      </c>
      <c r="O519" s="43">
        <f t="shared" si="801"/>
        <v>0</v>
      </c>
      <c r="P519" s="43">
        <f t="shared" si="801"/>
        <v>0</v>
      </c>
      <c r="Q519" s="43">
        <f t="shared" si="801"/>
        <v>0</v>
      </c>
      <c r="R519" s="69">
        <f t="shared" si="801"/>
        <v>0</v>
      </c>
      <c r="S519" s="69">
        <f t="shared" si="801"/>
        <v>0</v>
      </c>
      <c r="T519" s="69">
        <f t="shared" si="801"/>
        <v>0</v>
      </c>
      <c r="U519" s="69">
        <f t="shared" si="801"/>
        <v>0</v>
      </c>
    </row>
    <row r="520" spans="5:21" ht="15.75" thickTop="1" x14ac:dyDescent="0.25">
      <c r="M520" s="3"/>
    </row>
    <row r="521" spans="5:21" x14ac:dyDescent="0.25">
      <c r="M521" s="3"/>
    </row>
    <row r="522" spans="5:21" x14ac:dyDescent="0.25">
      <c r="M522" s="3"/>
    </row>
    <row r="523" spans="5:21" x14ac:dyDescent="0.25">
      <c r="E523" s="4" t="s">
        <v>51</v>
      </c>
    </row>
    <row r="524" spans="5:21" x14ac:dyDescent="0.25">
      <c r="E524" s="6" t="s">
        <v>25</v>
      </c>
    </row>
    <row r="526" spans="5:21" x14ac:dyDescent="0.25">
      <c r="F526" s="12">
        <f>Inputs!$C$7</f>
        <v>2023</v>
      </c>
      <c r="G526" s="12">
        <f>Inputs!$C$8</f>
        <v>2024</v>
      </c>
      <c r="H526" s="12">
        <f>Inputs!$C$9</f>
        <v>2025</v>
      </c>
      <c r="I526" s="13" t="s">
        <v>1</v>
      </c>
      <c r="J526" s="13" t="s">
        <v>2</v>
      </c>
      <c r="K526" s="13" t="s">
        <v>3</v>
      </c>
      <c r="L526" s="13" t="s">
        <v>4</v>
      </c>
      <c r="M526" s="13">
        <f>Inputs!$C$10</f>
        <v>2026</v>
      </c>
      <c r="N526" s="14" t="s">
        <v>1</v>
      </c>
      <c r="O526" s="14" t="s">
        <v>2</v>
      </c>
      <c r="P526" s="14" t="s">
        <v>3</v>
      </c>
      <c r="Q526" s="14" t="s">
        <v>4</v>
      </c>
      <c r="R526" s="15">
        <f>Inputs!$C$11</f>
        <v>2027</v>
      </c>
      <c r="S526" s="16">
        <f>Inputs!$C$12</f>
        <v>2028</v>
      </c>
      <c r="T526" s="16">
        <f>Inputs!$C$13</f>
        <v>2029</v>
      </c>
      <c r="U526" s="16">
        <f>Inputs!$C$14</f>
        <v>2030</v>
      </c>
    </row>
    <row r="527" spans="5:21" x14ac:dyDescent="0.25">
      <c r="F527" s="71" t="s">
        <v>63</v>
      </c>
      <c r="G527" s="71" t="s">
        <v>63</v>
      </c>
      <c r="H527" s="71" t="s">
        <v>63</v>
      </c>
      <c r="I527" s="71" t="s">
        <v>63</v>
      </c>
      <c r="J527" s="71" t="s">
        <v>63</v>
      </c>
      <c r="K527" s="71" t="s">
        <v>63</v>
      </c>
      <c r="L527" s="71" t="s">
        <v>63</v>
      </c>
      <c r="M527" s="71" t="s">
        <v>63</v>
      </c>
      <c r="N527" s="71" t="s">
        <v>63</v>
      </c>
      <c r="O527" s="71" t="s">
        <v>63</v>
      </c>
      <c r="P527" s="71" t="s">
        <v>63</v>
      </c>
      <c r="Q527" s="71" t="s">
        <v>63</v>
      </c>
      <c r="R527" s="71" t="s">
        <v>63</v>
      </c>
      <c r="S527" s="71" t="s">
        <v>63</v>
      </c>
      <c r="T527" s="71" t="s">
        <v>63</v>
      </c>
      <c r="U527" s="71" t="s">
        <v>63</v>
      </c>
    </row>
    <row r="528" spans="5:21" x14ac:dyDescent="0.25">
      <c r="E528" s="78" t="s">
        <v>67</v>
      </c>
      <c r="F528" s="65"/>
      <c r="G528" s="65"/>
      <c r="H528" s="65"/>
      <c r="I528" s="72"/>
      <c r="J528" s="72"/>
      <c r="K528" s="72"/>
      <c r="L528" s="72"/>
      <c r="M528" s="65">
        <f>SUM(I528:L528)</f>
        <v>0</v>
      </c>
      <c r="N528" s="72"/>
      <c r="O528" s="72"/>
      <c r="P528" s="72"/>
      <c r="Q528" s="72"/>
      <c r="R528" s="66">
        <f t="shared" ref="R528:R534" si="802">SUM(N528:Q528)</f>
        <v>0</v>
      </c>
      <c r="S528" s="66"/>
      <c r="T528" s="66"/>
      <c r="U528" s="66"/>
    </row>
    <row r="529" spans="5:21" x14ac:dyDescent="0.25">
      <c r="E529" s="78" t="s">
        <v>68</v>
      </c>
      <c r="F529" s="65"/>
      <c r="G529" s="65"/>
      <c r="H529" s="65"/>
      <c r="I529" s="72"/>
      <c r="J529" s="72"/>
      <c r="K529" s="72"/>
      <c r="L529" s="72"/>
      <c r="M529" s="65">
        <f t="shared" ref="M529:M534" si="803">SUM(I529:L529)</f>
        <v>0</v>
      </c>
      <c r="N529" s="72"/>
      <c r="O529" s="72"/>
      <c r="P529" s="72"/>
      <c r="Q529" s="72"/>
      <c r="R529" s="66">
        <f t="shared" si="802"/>
        <v>0</v>
      </c>
      <c r="S529" s="66"/>
      <c r="T529" s="66"/>
      <c r="U529" s="66"/>
    </row>
    <row r="530" spans="5:21" x14ac:dyDescent="0.25">
      <c r="E530" s="78" t="s">
        <v>69</v>
      </c>
      <c r="F530" s="65"/>
      <c r="G530" s="65"/>
      <c r="H530" s="65"/>
      <c r="I530" s="72"/>
      <c r="J530" s="72"/>
      <c r="K530" s="72"/>
      <c r="L530" s="72"/>
      <c r="M530" s="65">
        <f t="shared" si="803"/>
        <v>0</v>
      </c>
      <c r="N530" s="72"/>
      <c r="O530" s="72"/>
      <c r="P530" s="72"/>
      <c r="Q530" s="72"/>
      <c r="R530" s="66">
        <f t="shared" si="802"/>
        <v>0</v>
      </c>
      <c r="S530" s="66"/>
      <c r="T530" s="66"/>
      <c r="U530" s="66"/>
    </row>
    <row r="531" spans="5:21" x14ac:dyDescent="0.25">
      <c r="E531" s="78" t="s">
        <v>70</v>
      </c>
      <c r="F531" s="65"/>
      <c r="G531" s="65"/>
      <c r="H531" s="65"/>
      <c r="I531" s="72"/>
      <c r="J531" s="72"/>
      <c r="K531" s="72"/>
      <c r="L531" s="72"/>
      <c r="M531" s="65">
        <f t="shared" si="803"/>
        <v>0</v>
      </c>
      <c r="N531" s="72"/>
      <c r="O531" s="72"/>
      <c r="P531" s="72"/>
      <c r="Q531" s="72"/>
      <c r="R531" s="66">
        <f t="shared" si="802"/>
        <v>0</v>
      </c>
      <c r="S531" s="66"/>
      <c r="T531" s="66"/>
      <c r="U531" s="66"/>
    </row>
    <row r="532" spans="5:21" x14ac:dyDescent="0.25">
      <c r="E532" s="78" t="s">
        <v>71</v>
      </c>
      <c r="F532" s="65"/>
      <c r="G532" s="65"/>
      <c r="H532" s="65"/>
      <c r="I532" s="72"/>
      <c r="J532" s="72"/>
      <c r="K532" s="72"/>
      <c r="L532" s="72"/>
      <c r="M532" s="65">
        <f t="shared" si="803"/>
        <v>0</v>
      </c>
      <c r="N532" s="72"/>
      <c r="O532" s="72"/>
      <c r="P532" s="72"/>
      <c r="Q532" s="72"/>
      <c r="R532" s="66">
        <f t="shared" si="802"/>
        <v>0</v>
      </c>
      <c r="S532" s="66"/>
      <c r="T532" s="66"/>
      <c r="U532" s="66"/>
    </row>
    <row r="533" spans="5:21" x14ac:dyDescent="0.25">
      <c r="E533" s="78" t="s">
        <v>72</v>
      </c>
      <c r="F533" s="65"/>
      <c r="G533" s="65"/>
      <c r="H533" s="65"/>
      <c r="I533" s="72"/>
      <c r="J533" s="72"/>
      <c r="K533" s="72"/>
      <c r="L533" s="72"/>
      <c r="M533" s="65">
        <f t="shared" si="803"/>
        <v>0</v>
      </c>
      <c r="N533" s="72"/>
      <c r="O533" s="72"/>
      <c r="P533" s="72"/>
      <c r="Q533" s="72"/>
      <c r="R533" s="66">
        <f t="shared" si="802"/>
        <v>0</v>
      </c>
      <c r="S533" s="66"/>
      <c r="T533" s="66"/>
      <c r="U533" s="66"/>
    </row>
    <row r="534" spans="5:21" x14ac:dyDescent="0.25">
      <c r="E534" s="78" t="s">
        <v>73</v>
      </c>
      <c r="F534" s="65"/>
      <c r="G534" s="65"/>
      <c r="H534" s="65"/>
      <c r="I534" s="72"/>
      <c r="J534" s="72"/>
      <c r="K534" s="72"/>
      <c r="L534" s="72"/>
      <c r="M534" s="65">
        <f t="shared" si="803"/>
        <v>0</v>
      </c>
      <c r="N534" s="72"/>
      <c r="O534" s="72"/>
      <c r="P534" s="72"/>
      <c r="Q534" s="72"/>
      <c r="R534" s="66">
        <f t="shared" si="802"/>
        <v>0</v>
      </c>
      <c r="S534" s="66"/>
      <c r="T534" s="66"/>
      <c r="U534" s="66"/>
    </row>
    <row r="535" spans="5:21" ht="15.75" thickBot="1" x14ac:dyDescent="0.3">
      <c r="E535" s="8" t="s">
        <v>27</v>
      </c>
      <c r="F535" s="67">
        <f>SUM(F528:F534)</f>
        <v>0</v>
      </c>
      <c r="G535" s="67">
        <f t="shared" ref="G535" si="804">SUM(G528:G534)</f>
        <v>0</v>
      </c>
      <c r="H535" s="67">
        <f t="shared" ref="H535" si="805">SUM(H528:H534)</f>
        <v>0</v>
      </c>
      <c r="I535" s="43">
        <f t="shared" ref="I535" si="806">SUM(I528:I534)</f>
        <v>0</v>
      </c>
      <c r="J535" s="43">
        <f t="shared" ref="J535" si="807">SUM(J528:J534)</f>
        <v>0</v>
      </c>
      <c r="K535" s="43">
        <f t="shared" ref="K535" si="808">SUM(K528:K534)</f>
        <v>0</v>
      </c>
      <c r="L535" s="43">
        <f t="shared" ref="L535" si="809">SUM(L528:L534)</f>
        <v>0</v>
      </c>
      <c r="M535" s="68">
        <f t="shared" ref="M535" si="810">SUM(M528:M534)</f>
        <v>0</v>
      </c>
      <c r="N535" s="43">
        <f t="shared" ref="N535" si="811">SUM(N528:N534)</f>
        <v>0</v>
      </c>
      <c r="O535" s="43">
        <f t="shared" ref="O535" si="812">SUM(O528:O534)</f>
        <v>0</v>
      </c>
      <c r="P535" s="43">
        <f t="shared" ref="P535" si="813">SUM(P528:P534)</f>
        <v>0</v>
      </c>
      <c r="Q535" s="43">
        <f t="shared" ref="Q535" si="814">SUM(Q528:Q534)</f>
        <v>0</v>
      </c>
      <c r="R535" s="69">
        <f t="shared" ref="R535" si="815">SUM(R528:R534)</f>
        <v>0</v>
      </c>
      <c r="S535" s="69">
        <f t="shared" ref="S535" si="816">SUM(S528:S534)</f>
        <v>0</v>
      </c>
      <c r="T535" s="69">
        <f t="shared" ref="T535" si="817">SUM(T528:T534)</f>
        <v>0</v>
      </c>
      <c r="U535" s="69">
        <f t="shared" ref="U535" si="818">SUM(U528:U534)</f>
        <v>0</v>
      </c>
    </row>
    <row r="536" spans="5:21" ht="15.75" thickTop="1" x14ac:dyDescent="0.25"/>
    <row r="539" spans="5:21" x14ac:dyDescent="0.25">
      <c r="E539" s="4" t="s">
        <v>52</v>
      </c>
    </row>
    <row r="540" spans="5:21" x14ac:dyDescent="0.25">
      <c r="E540" s="6" t="s">
        <v>25</v>
      </c>
    </row>
    <row r="542" spans="5:21" x14ac:dyDescent="0.25">
      <c r="F542" s="12">
        <f>Inputs!$C$7</f>
        <v>2023</v>
      </c>
      <c r="G542" s="12">
        <f>Inputs!$C$8</f>
        <v>2024</v>
      </c>
      <c r="H542" s="12">
        <f>Inputs!$C$9</f>
        <v>2025</v>
      </c>
      <c r="I542" s="13" t="s">
        <v>1</v>
      </c>
      <c r="J542" s="13" t="s">
        <v>2</v>
      </c>
      <c r="K542" s="13" t="s">
        <v>3</v>
      </c>
      <c r="L542" s="13" t="s">
        <v>4</v>
      </c>
      <c r="M542" s="13">
        <f>Inputs!$C$10</f>
        <v>2026</v>
      </c>
      <c r="N542" s="14" t="s">
        <v>1</v>
      </c>
      <c r="O542" s="14" t="s">
        <v>2</v>
      </c>
      <c r="P542" s="14" t="s">
        <v>3</v>
      </c>
      <c r="Q542" s="14" t="s">
        <v>4</v>
      </c>
      <c r="R542" s="15">
        <f>Inputs!$C$11</f>
        <v>2027</v>
      </c>
      <c r="S542" s="16">
        <f>Inputs!$C$12</f>
        <v>2028</v>
      </c>
      <c r="T542" s="16">
        <f>Inputs!$C$13</f>
        <v>2029</v>
      </c>
      <c r="U542" s="16">
        <f>Inputs!$C$14</f>
        <v>2030</v>
      </c>
    </row>
    <row r="543" spans="5:21" x14ac:dyDescent="0.25">
      <c r="F543" s="71" t="s">
        <v>63</v>
      </c>
      <c r="G543" s="71" t="s">
        <v>63</v>
      </c>
      <c r="H543" s="71" t="s">
        <v>63</v>
      </c>
      <c r="I543" s="71" t="s">
        <v>63</v>
      </c>
      <c r="J543" s="71" t="s">
        <v>63</v>
      </c>
      <c r="K543" s="71" t="s">
        <v>63</v>
      </c>
      <c r="L543" s="71" t="s">
        <v>63</v>
      </c>
      <c r="M543" s="71" t="s">
        <v>63</v>
      </c>
      <c r="N543" s="71" t="s">
        <v>63</v>
      </c>
      <c r="O543" s="71" t="s">
        <v>63</v>
      </c>
      <c r="P543" s="71" t="s">
        <v>63</v>
      </c>
      <c r="Q543" s="71" t="s">
        <v>63</v>
      </c>
      <c r="R543" s="71" t="s">
        <v>63</v>
      </c>
      <c r="S543" s="71" t="s">
        <v>63</v>
      </c>
      <c r="T543" s="71" t="s">
        <v>63</v>
      </c>
      <c r="U543" s="71" t="s">
        <v>63</v>
      </c>
    </row>
    <row r="544" spans="5:21" x14ac:dyDescent="0.25">
      <c r="E544" s="78" t="s">
        <v>67</v>
      </c>
      <c r="F544" s="65"/>
      <c r="G544" s="65"/>
      <c r="H544" s="65"/>
      <c r="I544" s="72"/>
      <c r="J544" s="72"/>
      <c r="K544" s="72"/>
      <c r="L544" s="72"/>
      <c r="M544" s="65">
        <f>SUM(I544:L544)</f>
        <v>0</v>
      </c>
      <c r="N544" s="72"/>
      <c r="O544" s="72"/>
      <c r="P544" s="72"/>
      <c r="Q544" s="72"/>
      <c r="R544" s="66">
        <f t="shared" ref="R544:R550" si="819">SUM(N544:Q544)</f>
        <v>0</v>
      </c>
      <c r="S544" s="66"/>
      <c r="T544" s="66"/>
      <c r="U544" s="66"/>
    </row>
    <row r="545" spans="5:21" x14ac:dyDescent="0.25">
      <c r="E545" s="78" t="s">
        <v>68</v>
      </c>
      <c r="F545" s="65"/>
      <c r="G545" s="65"/>
      <c r="H545" s="65"/>
      <c r="I545" s="72"/>
      <c r="J545" s="72"/>
      <c r="K545" s="72"/>
      <c r="L545" s="72"/>
      <c r="M545" s="65">
        <f t="shared" ref="M545:M550" si="820">SUM(I545:L545)</f>
        <v>0</v>
      </c>
      <c r="N545" s="72"/>
      <c r="O545" s="72"/>
      <c r="P545" s="72"/>
      <c r="Q545" s="72"/>
      <c r="R545" s="66">
        <f t="shared" si="819"/>
        <v>0</v>
      </c>
      <c r="S545" s="66"/>
      <c r="T545" s="66"/>
      <c r="U545" s="66"/>
    </row>
    <row r="546" spans="5:21" x14ac:dyDescent="0.25">
      <c r="E546" s="78" t="s">
        <v>69</v>
      </c>
      <c r="F546" s="65"/>
      <c r="G546" s="65"/>
      <c r="H546" s="65"/>
      <c r="I546" s="72"/>
      <c r="J546" s="72"/>
      <c r="K546" s="72"/>
      <c r="L546" s="72"/>
      <c r="M546" s="65">
        <f t="shared" si="820"/>
        <v>0</v>
      </c>
      <c r="N546" s="72"/>
      <c r="O546" s="72"/>
      <c r="P546" s="72"/>
      <c r="Q546" s="72"/>
      <c r="R546" s="66">
        <f t="shared" si="819"/>
        <v>0</v>
      </c>
      <c r="S546" s="66"/>
      <c r="T546" s="66"/>
      <c r="U546" s="66"/>
    </row>
    <row r="547" spans="5:21" x14ac:dyDescent="0.25">
      <c r="E547" s="78" t="s">
        <v>70</v>
      </c>
      <c r="F547" s="65"/>
      <c r="G547" s="65"/>
      <c r="H547" s="65"/>
      <c r="I547" s="72"/>
      <c r="J547" s="72"/>
      <c r="K547" s="72"/>
      <c r="L547" s="72"/>
      <c r="M547" s="65">
        <f t="shared" si="820"/>
        <v>0</v>
      </c>
      <c r="N547" s="72"/>
      <c r="O547" s="72"/>
      <c r="P547" s="72"/>
      <c r="Q547" s="72"/>
      <c r="R547" s="66">
        <f t="shared" si="819"/>
        <v>0</v>
      </c>
      <c r="S547" s="66"/>
      <c r="T547" s="66"/>
      <c r="U547" s="66"/>
    </row>
    <row r="548" spans="5:21" x14ac:dyDescent="0.25">
      <c r="E548" s="78" t="s">
        <v>71</v>
      </c>
      <c r="F548" s="65"/>
      <c r="G548" s="65"/>
      <c r="H548" s="65"/>
      <c r="I548" s="72"/>
      <c r="J548" s="72"/>
      <c r="K548" s="72"/>
      <c r="L548" s="72"/>
      <c r="M548" s="65">
        <f t="shared" si="820"/>
        <v>0</v>
      </c>
      <c r="N548" s="72"/>
      <c r="O548" s="72"/>
      <c r="P548" s="72"/>
      <c r="Q548" s="72"/>
      <c r="R548" s="66">
        <f t="shared" si="819"/>
        <v>0</v>
      </c>
      <c r="S548" s="66"/>
      <c r="T548" s="66"/>
      <c r="U548" s="66"/>
    </row>
    <row r="549" spans="5:21" x14ac:dyDescent="0.25">
      <c r="E549" s="78" t="s">
        <v>72</v>
      </c>
      <c r="F549" s="65"/>
      <c r="G549" s="65"/>
      <c r="H549" s="65"/>
      <c r="I549" s="72"/>
      <c r="J549" s="72"/>
      <c r="K549" s="72"/>
      <c r="L549" s="72"/>
      <c r="M549" s="65">
        <f t="shared" si="820"/>
        <v>0</v>
      </c>
      <c r="N549" s="72"/>
      <c r="O549" s="72"/>
      <c r="P549" s="72"/>
      <c r="Q549" s="72"/>
      <c r="R549" s="66">
        <f t="shared" si="819"/>
        <v>0</v>
      </c>
      <c r="S549" s="66"/>
      <c r="T549" s="66"/>
      <c r="U549" s="66"/>
    </row>
    <row r="550" spans="5:21" x14ac:dyDescent="0.25">
      <c r="E550" s="78" t="s">
        <v>73</v>
      </c>
      <c r="F550" s="65"/>
      <c r="G550" s="65"/>
      <c r="H550" s="65"/>
      <c r="I550" s="72"/>
      <c r="J550" s="72"/>
      <c r="K550" s="72"/>
      <c r="L550" s="72"/>
      <c r="M550" s="65">
        <f t="shared" si="820"/>
        <v>0</v>
      </c>
      <c r="N550" s="72"/>
      <c r="O550" s="72"/>
      <c r="P550" s="72"/>
      <c r="Q550" s="72"/>
      <c r="R550" s="66">
        <f t="shared" si="819"/>
        <v>0</v>
      </c>
      <c r="S550" s="66"/>
      <c r="T550" s="66"/>
      <c r="U550" s="66"/>
    </row>
    <row r="551" spans="5:21" ht="15.75" thickBot="1" x14ac:dyDescent="0.3">
      <c r="E551" s="8" t="s">
        <v>27</v>
      </c>
      <c r="F551" s="67">
        <f>SUM(F544:F550)</f>
        <v>0</v>
      </c>
      <c r="G551" s="67">
        <f t="shared" ref="G551" si="821">SUM(G544:G550)</f>
        <v>0</v>
      </c>
      <c r="H551" s="67">
        <f t="shared" ref="H551" si="822">SUM(H544:H550)</f>
        <v>0</v>
      </c>
      <c r="I551" s="43">
        <f t="shared" ref="I551" si="823">SUM(I544:I550)</f>
        <v>0</v>
      </c>
      <c r="J551" s="43">
        <f t="shared" ref="J551" si="824">SUM(J544:J550)</f>
        <v>0</v>
      </c>
      <c r="K551" s="43">
        <f t="shared" ref="K551" si="825">SUM(K544:K550)</f>
        <v>0</v>
      </c>
      <c r="L551" s="43">
        <f t="shared" ref="L551" si="826">SUM(L544:L550)</f>
        <v>0</v>
      </c>
      <c r="M551" s="68">
        <f t="shared" ref="M551" si="827">SUM(M544:M550)</f>
        <v>0</v>
      </c>
      <c r="N551" s="43">
        <f t="shared" ref="N551" si="828">SUM(N544:N550)</f>
        <v>0</v>
      </c>
      <c r="O551" s="43">
        <f t="shared" ref="O551" si="829">SUM(O544:O550)</f>
        <v>0</v>
      </c>
      <c r="P551" s="43">
        <f t="shared" ref="P551" si="830">SUM(P544:P550)</f>
        <v>0</v>
      </c>
      <c r="Q551" s="43">
        <f t="shared" ref="Q551" si="831">SUM(Q544:Q550)</f>
        <v>0</v>
      </c>
      <c r="R551" s="69">
        <f t="shared" ref="R551" si="832">SUM(R544:R550)</f>
        <v>0</v>
      </c>
      <c r="S551" s="69">
        <f t="shared" ref="S551" si="833">SUM(S544:S550)</f>
        <v>0</v>
      </c>
      <c r="T551" s="69">
        <f t="shared" ref="T551" si="834">SUM(T544:T550)</f>
        <v>0</v>
      </c>
      <c r="U551" s="69">
        <f t="shared" ref="U551" si="835">SUM(U544:U550)</f>
        <v>0</v>
      </c>
    </row>
    <row r="552" spans="5:21" ht="15.75" thickTop="1" x14ac:dyDescent="0.25"/>
    <row r="555" spans="5:21" x14ac:dyDescent="0.25">
      <c r="E555" s="4" t="s">
        <v>53</v>
      </c>
    </row>
    <row r="556" spans="5:21" x14ac:dyDescent="0.25">
      <c r="E556" s="6" t="s">
        <v>25</v>
      </c>
    </row>
    <row r="558" spans="5:21" x14ac:dyDescent="0.25">
      <c r="F558" s="12">
        <f>Inputs!$C$7</f>
        <v>2023</v>
      </c>
      <c r="G558" s="12">
        <f>Inputs!$C$8</f>
        <v>2024</v>
      </c>
      <c r="H558" s="12">
        <f>Inputs!$C$9</f>
        <v>2025</v>
      </c>
      <c r="I558" s="13" t="s">
        <v>1</v>
      </c>
      <c r="J558" s="13" t="s">
        <v>2</v>
      </c>
      <c r="K558" s="13" t="s">
        <v>3</v>
      </c>
      <c r="L558" s="13" t="s">
        <v>4</v>
      </c>
      <c r="M558" s="13">
        <f>Inputs!$C$10</f>
        <v>2026</v>
      </c>
      <c r="N558" s="14" t="s">
        <v>1</v>
      </c>
      <c r="O558" s="14" t="s">
        <v>2</v>
      </c>
      <c r="P558" s="14" t="s">
        <v>3</v>
      </c>
      <c r="Q558" s="14" t="s">
        <v>4</v>
      </c>
      <c r="R558" s="15">
        <f>Inputs!$C$11</f>
        <v>2027</v>
      </c>
      <c r="S558" s="16">
        <f>Inputs!$C$12</f>
        <v>2028</v>
      </c>
      <c r="T558" s="16">
        <f>Inputs!$C$13</f>
        <v>2029</v>
      </c>
      <c r="U558" s="16">
        <f>Inputs!$C$14</f>
        <v>2030</v>
      </c>
    </row>
    <row r="559" spans="5:21" x14ac:dyDescent="0.25">
      <c r="F559" s="71" t="s">
        <v>63</v>
      </c>
      <c r="G559" s="71" t="s">
        <v>63</v>
      </c>
      <c r="H559" s="71" t="s">
        <v>63</v>
      </c>
      <c r="I559" s="71" t="s">
        <v>63</v>
      </c>
      <c r="J559" s="71" t="s">
        <v>63</v>
      </c>
      <c r="K559" s="71" t="s">
        <v>63</v>
      </c>
      <c r="L559" s="71" t="s">
        <v>63</v>
      </c>
      <c r="M559" s="71" t="s">
        <v>63</v>
      </c>
      <c r="N559" s="71" t="s">
        <v>63</v>
      </c>
      <c r="O559" s="71" t="s">
        <v>63</v>
      </c>
      <c r="P559" s="71" t="s">
        <v>63</v>
      </c>
      <c r="Q559" s="71" t="s">
        <v>63</v>
      </c>
      <c r="R559" s="71" t="s">
        <v>63</v>
      </c>
      <c r="S559" s="71" t="s">
        <v>63</v>
      </c>
      <c r="T559" s="71" t="s">
        <v>63</v>
      </c>
      <c r="U559" s="71" t="s">
        <v>63</v>
      </c>
    </row>
    <row r="560" spans="5:21" x14ac:dyDescent="0.25">
      <c r="E560" s="78" t="s">
        <v>67</v>
      </c>
      <c r="F560" s="65"/>
      <c r="G560" s="65"/>
      <c r="H560" s="65"/>
      <c r="I560" s="72"/>
      <c r="J560" s="72"/>
      <c r="K560" s="72"/>
      <c r="L560" s="72"/>
      <c r="M560" s="65">
        <f>SUM(I560:L560)</f>
        <v>0</v>
      </c>
      <c r="N560" s="72"/>
      <c r="O560" s="72"/>
      <c r="P560" s="72"/>
      <c r="Q560" s="72"/>
      <c r="R560" s="66">
        <f t="shared" ref="R560:R566" si="836">SUM(N560:Q560)</f>
        <v>0</v>
      </c>
      <c r="S560" s="66"/>
      <c r="T560" s="66"/>
      <c r="U560" s="66"/>
    </row>
    <row r="561" spans="5:21" x14ac:dyDescent="0.25">
      <c r="E561" s="78" t="s">
        <v>68</v>
      </c>
      <c r="F561" s="65"/>
      <c r="G561" s="65"/>
      <c r="H561" s="65"/>
      <c r="I561" s="72"/>
      <c r="J561" s="72"/>
      <c r="K561" s="72"/>
      <c r="L561" s="72"/>
      <c r="M561" s="65">
        <f t="shared" ref="M561:M566" si="837">SUM(I561:L561)</f>
        <v>0</v>
      </c>
      <c r="N561" s="72"/>
      <c r="O561" s="72"/>
      <c r="P561" s="72"/>
      <c r="Q561" s="72"/>
      <c r="R561" s="66">
        <f t="shared" si="836"/>
        <v>0</v>
      </c>
      <c r="S561" s="66"/>
      <c r="T561" s="66"/>
      <c r="U561" s="66"/>
    </row>
    <row r="562" spans="5:21" x14ac:dyDescent="0.25">
      <c r="E562" s="78" t="s">
        <v>69</v>
      </c>
      <c r="F562" s="65"/>
      <c r="G562" s="65"/>
      <c r="H562" s="65"/>
      <c r="I562" s="72"/>
      <c r="J562" s="72"/>
      <c r="K562" s="72"/>
      <c r="L562" s="72"/>
      <c r="M562" s="65">
        <f t="shared" si="837"/>
        <v>0</v>
      </c>
      <c r="N562" s="72"/>
      <c r="O562" s="72"/>
      <c r="P562" s="72"/>
      <c r="Q562" s="72"/>
      <c r="R562" s="66">
        <f t="shared" si="836"/>
        <v>0</v>
      </c>
      <c r="S562" s="66"/>
      <c r="T562" s="66"/>
      <c r="U562" s="66"/>
    </row>
    <row r="563" spans="5:21" x14ac:dyDescent="0.25">
      <c r="E563" s="78" t="s">
        <v>70</v>
      </c>
      <c r="F563" s="65"/>
      <c r="G563" s="65"/>
      <c r="H563" s="65"/>
      <c r="I563" s="72"/>
      <c r="J563" s="72"/>
      <c r="K563" s="72"/>
      <c r="L563" s="72"/>
      <c r="M563" s="65">
        <f t="shared" si="837"/>
        <v>0</v>
      </c>
      <c r="N563" s="72"/>
      <c r="O563" s="72"/>
      <c r="P563" s="72"/>
      <c r="Q563" s="72"/>
      <c r="R563" s="66">
        <f t="shared" si="836"/>
        <v>0</v>
      </c>
      <c r="S563" s="66"/>
      <c r="T563" s="66"/>
      <c r="U563" s="66"/>
    </row>
    <row r="564" spans="5:21" x14ac:dyDescent="0.25">
      <c r="E564" s="78" t="s">
        <v>71</v>
      </c>
      <c r="F564" s="65"/>
      <c r="G564" s="65"/>
      <c r="H564" s="65"/>
      <c r="I564" s="72"/>
      <c r="J564" s="72"/>
      <c r="K564" s="72"/>
      <c r="L564" s="72"/>
      <c r="M564" s="65">
        <f t="shared" si="837"/>
        <v>0</v>
      </c>
      <c r="N564" s="72"/>
      <c r="O564" s="72"/>
      <c r="P564" s="72"/>
      <c r="Q564" s="72"/>
      <c r="R564" s="66">
        <f t="shared" si="836"/>
        <v>0</v>
      </c>
      <c r="S564" s="66"/>
      <c r="T564" s="66"/>
      <c r="U564" s="66"/>
    </row>
    <row r="565" spans="5:21" x14ac:dyDescent="0.25">
      <c r="E565" s="78" t="s">
        <v>72</v>
      </c>
      <c r="F565" s="65"/>
      <c r="G565" s="65"/>
      <c r="H565" s="65"/>
      <c r="I565" s="72"/>
      <c r="J565" s="72"/>
      <c r="K565" s="72"/>
      <c r="L565" s="72"/>
      <c r="M565" s="65">
        <f t="shared" si="837"/>
        <v>0</v>
      </c>
      <c r="N565" s="72"/>
      <c r="O565" s="72"/>
      <c r="P565" s="72"/>
      <c r="Q565" s="72"/>
      <c r="R565" s="66">
        <f t="shared" si="836"/>
        <v>0</v>
      </c>
      <c r="S565" s="66"/>
      <c r="T565" s="66"/>
      <c r="U565" s="66"/>
    </row>
    <row r="566" spans="5:21" x14ac:dyDescent="0.25">
      <c r="E566" s="78" t="s">
        <v>73</v>
      </c>
      <c r="F566" s="65"/>
      <c r="G566" s="65"/>
      <c r="H566" s="65"/>
      <c r="I566" s="72"/>
      <c r="J566" s="72"/>
      <c r="K566" s="72"/>
      <c r="L566" s="72"/>
      <c r="M566" s="65">
        <f t="shared" si="837"/>
        <v>0</v>
      </c>
      <c r="N566" s="72"/>
      <c r="O566" s="72"/>
      <c r="P566" s="72"/>
      <c r="Q566" s="72"/>
      <c r="R566" s="66">
        <f t="shared" si="836"/>
        <v>0</v>
      </c>
      <c r="S566" s="66"/>
      <c r="T566" s="66"/>
      <c r="U566" s="66"/>
    </row>
    <row r="567" spans="5:21" ht="15.75" thickBot="1" x14ac:dyDescent="0.3">
      <c r="E567" s="8" t="s">
        <v>27</v>
      </c>
      <c r="F567" s="67">
        <f>SUM(F560:F566)</f>
        <v>0</v>
      </c>
      <c r="G567" s="67">
        <f t="shared" ref="G567" si="838">SUM(G560:G566)</f>
        <v>0</v>
      </c>
      <c r="H567" s="67">
        <f t="shared" ref="H567" si="839">SUM(H560:H566)</f>
        <v>0</v>
      </c>
      <c r="I567" s="43">
        <f t="shared" ref="I567" si="840">SUM(I560:I566)</f>
        <v>0</v>
      </c>
      <c r="J567" s="43">
        <f t="shared" ref="J567" si="841">SUM(J560:J566)</f>
        <v>0</v>
      </c>
      <c r="K567" s="43">
        <f t="shared" ref="K567" si="842">SUM(K560:K566)</f>
        <v>0</v>
      </c>
      <c r="L567" s="43">
        <f t="shared" ref="L567" si="843">SUM(L560:L566)</f>
        <v>0</v>
      </c>
      <c r="M567" s="68">
        <f t="shared" ref="M567" si="844">SUM(M560:M566)</f>
        <v>0</v>
      </c>
      <c r="N567" s="43">
        <f t="shared" ref="N567" si="845">SUM(N560:N566)</f>
        <v>0</v>
      </c>
      <c r="O567" s="43">
        <f t="shared" ref="O567" si="846">SUM(O560:O566)</f>
        <v>0</v>
      </c>
      <c r="P567" s="43">
        <f t="shared" ref="P567" si="847">SUM(P560:P566)</f>
        <v>0</v>
      </c>
      <c r="Q567" s="43">
        <f t="shared" ref="Q567" si="848">SUM(Q560:Q566)</f>
        <v>0</v>
      </c>
      <c r="R567" s="69">
        <f t="shared" ref="R567" si="849">SUM(R560:R566)</f>
        <v>0</v>
      </c>
      <c r="S567" s="69">
        <f t="shared" ref="S567" si="850">SUM(S560:S566)</f>
        <v>0</v>
      </c>
      <c r="T567" s="69">
        <f t="shared" ref="T567" si="851">SUM(T560:T566)</f>
        <v>0</v>
      </c>
      <c r="U567" s="69">
        <f t="shared" ref="U567" si="852">SUM(U560:U566)</f>
        <v>0</v>
      </c>
    </row>
    <row r="568" spans="5:21" ht="15.75" thickTop="1" x14ac:dyDescent="0.25"/>
    <row r="571" spans="5:21" x14ac:dyDescent="0.25">
      <c r="E571" s="4" t="s">
        <v>24</v>
      </c>
    </row>
    <row r="572" spans="5:21" x14ac:dyDescent="0.25">
      <c r="E572" s="6" t="s">
        <v>25</v>
      </c>
    </row>
    <row r="574" spans="5:21" x14ac:dyDescent="0.25">
      <c r="F574" s="12">
        <f>Inputs!$C$7</f>
        <v>2023</v>
      </c>
      <c r="G574" s="12">
        <f>Inputs!$C$8</f>
        <v>2024</v>
      </c>
      <c r="H574" s="12">
        <f>Inputs!$C$9</f>
        <v>2025</v>
      </c>
      <c r="I574" s="13" t="s">
        <v>1</v>
      </c>
      <c r="J574" s="13" t="s">
        <v>2</v>
      </c>
      <c r="K574" s="13" t="s">
        <v>3</v>
      </c>
      <c r="L574" s="13" t="s">
        <v>4</v>
      </c>
      <c r="M574" s="13">
        <f>Inputs!$C$10</f>
        <v>2026</v>
      </c>
      <c r="N574" s="14" t="s">
        <v>1</v>
      </c>
      <c r="O574" s="14" t="s">
        <v>2</v>
      </c>
      <c r="P574" s="14" t="s">
        <v>3</v>
      </c>
      <c r="Q574" s="14" t="s">
        <v>4</v>
      </c>
      <c r="R574" s="15">
        <f>Inputs!$C$11</f>
        <v>2027</v>
      </c>
      <c r="S574" s="16">
        <f>Inputs!$C$12</f>
        <v>2028</v>
      </c>
      <c r="T574" s="16">
        <f>Inputs!$C$13</f>
        <v>2029</v>
      </c>
      <c r="U574" s="16">
        <f>Inputs!$C$14</f>
        <v>2030</v>
      </c>
    </row>
    <row r="575" spans="5:21" x14ac:dyDescent="0.25">
      <c r="F575" s="71" t="s">
        <v>63</v>
      </c>
      <c r="G575" s="71" t="s">
        <v>63</v>
      </c>
      <c r="H575" s="71" t="s">
        <v>63</v>
      </c>
      <c r="I575" s="71" t="s">
        <v>63</v>
      </c>
      <c r="J575" s="71" t="s">
        <v>63</v>
      </c>
      <c r="K575" s="71" t="s">
        <v>63</v>
      </c>
      <c r="L575" s="71" t="s">
        <v>63</v>
      </c>
      <c r="M575" s="71" t="s">
        <v>63</v>
      </c>
      <c r="N575" s="71" t="s">
        <v>63</v>
      </c>
      <c r="O575" s="71" t="s">
        <v>63</v>
      </c>
      <c r="P575" s="71" t="s">
        <v>63</v>
      </c>
      <c r="Q575" s="71" t="s">
        <v>63</v>
      </c>
      <c r="R575" s="71" t="s">
        <v>63</v>
      </c>
      <c r="S575" s="71" t="s">
        <v>63</v>
      </c>
      <c r="T575" s="71" t="s">
        <v>63</v>
      </c>
      <c r="U575" s="71" t="s">
        <v>63</v>
      </c>
    </row>
    <row r="576" spans="5:21" x14ac:dyDescent="0.25">
      <c r="E576" s="78" t="s">
        <v>67</v>
      </c>
      <c r="F576" s="65"/>
      <c r="G576" s="65"/>
      <c r="H576" s="65"/>
      <c r="I576" s="72"/>
      <c r="J576" s="72"/>
      <c r="K576" s="72"/>
      <c r="L576" s="72"/>
      <c r="M576" s="65">
        <f>SUM(I576:L576)</f>
        <v>0</v>
      </c>
      <c r="N576" s="72"/>
      <c r="O576" s="72"/>
      <c r="P576" s="72"/>
      <c r="Q576" s="72"/>
      <c r="R576" s="66">
        <f t="shared" ref="R576:R582" si="853">SUM(N576:Q576)</f>
        <v>0</v>
      </c>
      <c r="S576" s="66"/>
      <c r="T576" s="66"/>
      <c r="U576" s="66"/>
    </row>
    <row r="577" spans="5:21" x14ac:dyDescent="0.25">
      <c r="E577" s="78" t="s">
        <v>68</v>
      </c>
      <c r="F577" s="65"/>
      <c r="G577" s="65"/>
      <c r="H577" s="65"/>
      <c r="I577" s="72"/>
      <c r="J577" s="72"/>
      <c r="K577" s="72"/>
      <c r="L577" s="72"/>
      <c r="M577" s="65">
        <f t="shared" ref="M577:M582" si="854">SUM(I577:L577)</f>
        <v>0</v>
      </c>
      <c r="N577" s="72"/>
      <c r="O577" s="72"/>
      <c r="P577" s="72"/>
      <c r="Q577" s="72"/>
      <c r="R577" s="66">
        <f t="shared" si="853"/>
        <v>0</v>
      </c>
      <c r="S577" s="66"/>
      <c r="T577" s="66"/>
      <c r="U577" s="66"/>
    </row>
    <row r="578" spans="5:21" x14ac:dyDescent="0.25">
      <c r="E578" s="78" t="s">
        <v>69</v>
      </c>
      <c r="F578" s="65"/>
      <c r="G578" s="65"/>
      <c r="H578" s="65"/>
      <c r="I578" s="72"/>
      <c r="J578" s="72"/>
      <c r="K578" s="72"/>
      <c r="L578" s="72"/>
      <c r="M578" s="65">
        <f t="shared" si="854"/>
        <v>0</v>
      </c>
      <c r="N578" s="72"/>
      <c r="O578" s="72"/>
      <c r="P578" s="72"/>
      <c r="Q578" s="72"/>
      <c r="R578" s="66">
        <f t="shared" si="853"/>
        <v>0</v>
      </c>
      <c r="S578" s="66"/>
      <c r="T578" s="66"/>
      <c r="U578" s="66"/>
    </row>
    <row r="579" spans="5:21" x14ac:dyDescent="0.25">
      <c r="E579" s="78" t="s">
        <v>70</v>
      </c>
      <c r="F579" s="65"/>
      <c r="G579" s="65"/>
      <c r="H579" s="65"/>
      <c r="I579" s="72"/>
      <c r="J579" s="72"/>
      <c r="K579" s="72"/>
      <c r="L579" s="72"/>
      <c r="M579" s="65">
        <f t="shared" si="854"/>
        <v>0</v>
      </c>
      <c r="N579" s="72"/>
      <c r="O579" s="72"/>
      <c r="P579" s="72"/>
      <c r="Q579" s="72"/>
      <c r="R579" s="66">
        <f t="shared" si="853"/>
        <v>0</v>
      </c>
      <c r="S579" s="66"/>
      <c r="T579" s="66"/>
      <c r="U579" s="66"/>
    </row>
    <row r="580" spans="5:21" x14ac:dyDescent="0.25">
      <c r="E580" s="78" t="s">
        <v>71</v>
      </c>
      <c r="F580" s="65"/>
      <c r="G580" s="65"/>
      <c r="H580" s="65"/>
      <c r="I580" s="72"/>
      <c r="J580" s="72"/>
      <c r="K580" s="72"/>
      <c r="L580" s="72"/>
      <c r="M580" s="65">
        <f t="shared" si="854"/>
        <v>0</v>
      </c>
      <c r="N580" s="72"/>
      <c r="O580" s="72"/>
      <c r="P580" s="72"/>
      <c r="Q580" s="72"/>
      <c r="R580" s="66">
        <f t="shared" si="853"/>
        <v>0</v>
      </c>
      <c r="S580" s="66"/>
      <c r="T580" s="66"/>
      <c r="U580" s="66"/>
    </row>
    <row r="581" spans="5:21" x14ac:dyDescent="0.25">
      <c r="E581" s="78" t="s">
        <v>72</v>
      </c>
      <c r="F581" s="65"/>
      <c r="G581" s="65"/>
      <c r="H581" s="65"/>
      <c r="I581" s="72"/>
      <c r="J581" s="72"/>
      <c r="K581" s="72"/>
      <c r="L581" s="72"/>
      <c r="M581" s="65">
        <f t="shared" si="854"/>
        <v>0</v>
      </c>
      <c r="N581" s="72"/>
      <c r="O581" s="72"/>
      <c r="P581" s="72"/>
      <c r="Q581" s="72"/>
      <c r="R581" s="66">
        <f t="shared" si="853"/>
        <v>0</v>
      </c>
      <c r="S581" s="66"/>
      <c r="T581" s="66"/>
      <c r="U581" s="66"/>
    </row>
    <row r="582" spans="5:21" x14ac:dyDescent="0.25">
      <c r="E582" s="78" t="s">
        <v>73</v>
      </c>
      <c r="F582" s="65"/>
      <c r="G582" s="65"/>
      <c r="H582" s="65"/>
      <c r="I582" s="72"/>
      <c r="J582" s="72"/>
      <c r="K582" s="72"/>
      <c r="L582" s="72"/>
      <c r="M582" s="65">
        <f t="shared" si="854"/>
        <v>0</v>
      </c>
      <c r="N582" s="72"/>
      <c r="O582" s="72"/>
      <c r="P582" s="72"/>
      <c r="Q582" s="72"/>
      <c r="R582" s="66">
        <f t="shared" si="853"/>
        <v>0</v>
      </c>
      <c r="S582" s="66"/>
      <c r="T582" s="66"/>
      <c r="U582" s="66"/>
    </row>
    <row r="583" spans="5:21" ht="15.75" thickBot="1" x14ac:dyDescent="0.3">
      <c r="E583" s="8" t="s">
        <v>27</v>
      </c>
      <c r="F583" s="67">
        <f>SUM(F576:F582)</f>
        <v>0</v>
      </c>
      <c r="G583" s="67">
        <f t="shared" ref="G583" si="855">SUM(G576:G582)</f>
        <v>0</v>
      </c>
      <c r="H583" s="67">
        <f t="shared" ref="H583" si="856">SUM(H576:H582)</f>
        <v>0</v>
      </c>
      <c r="I583" s="43">
        <f t="shared" ref="I583" si="857">SUM(I576:I582)</f>
        <v>0</v>
      </c>
      <c r="J583" s="43">
        <f t="shared" ref="J583" si="858">SUM(J576:J582)</f>
        <v>0</v>
      </c>
      <c r="K583" s="43">
        <f t="shared" ref="K583" si="859">SUM(K576:K582)</f>
        <v>0</v>
      </c>
      <c r="L583" s="43">
        <f t="shared" ref="L583" si="860">SUM(L576:L582)</f>
        <v>0</v>
      </c>
      <c r="M583" s="68">
        <f t="shared" ref="M583" si="861">SUM(M576:M582)</f>
        <v>0</v>
      </c>
      <c r="N583" s="43">
        <f t="shared" ref="N583" si="862">SUM(N576:N582)</f>
        <v>0</v>
      </c>
      <c r="O583" s="43">
        <f t="shared" ref="O583" si="863">SUM(O576:O582)</f>
        <v>0</v>
      </c>
      <c r="P583" s="43">
        <f t="shared" ref="P583" si="864">SUM(P576:P582)</f>
        <v>0</v>
      </c>
      <c r="Q583" s="43">
        <f t="shared" ref="Q583" si="865">SUM(Q576:Q582)</f>
        <v>0</v>
      </c>
      <c r="R583" s="69">
        <f t="shared" ref="R583" si="866">SUM(R576:R582)</f>
        <v>0</v>
      </c>
      <c r="S583" s="69">
        <f t="shared" ref="S583" si="867">SUM(S576:S582)</f>
        <v>0</v>
      </c>
      <c r="T583" s="69">
        <f t="shared" ref="T583" si="868">SUM(T576:T582)</f>
        <v>0</v>
      </c>
      <c r="U583" s="69">
        <f t="shared" ref="U583" si="869">SUM(U576:U582)</f>
        <v>0</v>
      </c>
    </row>
    <row r="584" spans="5:21" ht="15.75" thickTop="1" x14ac:dyDescent="0.25">
      <c r="F584" s="24"/>
      <c r="G584" s="25"/>
      <c r="H584" s="25"/>
      <c r="I584" s="25"/>
      <c r="J584" s="25"/>
      <c r="K584" s="25"/>
      <c r="L584" s="25"/>
      <c r="M584" s="25"/>
      <c r="N584" s="25"/>
      <c r="O584" s="25"/>
      <c r="P584" s="25"/>
      <c r="Q584" s="25"/>
      <c r="R584" s="25"/>
      <c r="S584" s="25"/>
      <c r="T584" s="25"/>
      <c r="U584" s="25"/>
    </row>
    <row r="587" spans="5:21" x14ac:dyDescent="0.25">
      <c r="E587" s="4" t="s">
        <v>26</v>
      </c>
    </row>
    <row r="588" spans="5:21" x14ac:dyDescent="0.25">
      <c r="E588" s="6" t="s">
        <v>25</v>
      </c>
    </row>
    <row r="590" spans="5:21" x14ac:dyDescent="0.25">
      <c r="F590" s="12">
        <f>Inputs!$C$7</f>
        <v>2023</v>
      </c>
      <c r="G590" s="12">
        <f>Inputs!$C$8</f>
        <v>2024</v>
      </c>
      <c r="H590" s="12">
        <f>Inputs!$C$9</f>
        <v>2025</v>
      </c>
      <c r="I590" s="13" t="s">
        <v>1</v>
      </c>
      <c r="J590" s="13" t="s">
        <v>2</v>
      </c>
      <c r="K590" s="13" t="s">
        <v>3</v>
      </c>
      <c r="L590" s="13" t="s">
        <v>4</v>
      </c>
      <c r="M590" s="13">
        <f>Inputs!$C$10</f>
        <v>2026</v>
      </c>
      <c r="N590" s="14" t="s">
        <v>1</v>
      </c>
      <c r="O590" s="14" t="s">
        <v>2</v>
      </c>
      <c r="P590" s="14" t="s">
        <v>3</v>
      </c>
      <c r="Q590" s="14" t="s">
        <v>4</v>
      </c>
      <c r="R590" s="15">
        <f>Inputs!$C$11</f>
        <v>2027</v>
      </c>
      <c r="S590" s="16">
        <f>Inputs!$C$12</f>
        <v>2028</v>
      </c>
      <c r="T590" s="16">
        <f>Inputs!$C$13</f>
        <v>2029</v>
      </c>
      <c r="U590" s="16">
        <f>Inputs!$C$14</f>
        <v>2030</v>
      </c>
    </row>
    <row r="591" spans="5:21" x14ac:dyDescent="0.25">
      <c r="F591" s="71" t="s">
        <v>64</v>
      </c>
      <c r="G591" s="71" t="s">
        <v>64</v>
      </c>
      <c r="H591" s="71" t="s">
        <v>64</v>
      </c>
      <c r="I591" s="71" t="s">
        <v>64</v>
      </c>
      <c r="J591" s="71" t="s">
        <v>64</v>
      </c>
      <c r="K591" s="71" t="s">
        <v>64</v>
      </c>
      <c r="L591" s="71" t="s">
        <v>64</v>
      </c>
      <c r="M591" s="71" t="s">
        <v>64</v>
      </c>
      <c r="N591" s="71" t="s">
        <v>64</v>
      </c>
      <c r="O591" s="71" t="s">
        <v>64</v>
      </c>
      <c r="P591" s="71" t="s">
        <v>64</v>
      </c>
      <c r="Q591" s="71" t="s">
        <v>64</v>
      </c>
      <c r="R591" s="71" t="s">
        <v>64</v>
      </c>
      <c r="S591" s="71" t="s">
        <v>64</v>
      </c>
      <c r="T591" s="71" t="s">
        <v>64</v>
      </c>
      <c r="U591" s="71" t="s">
        <v>64</v>
      </c>
    </row>
    <row r="592" spans="5:21" x14ac:dyDescent="0.25">
      <c r="E592" s="78" t="s">
        <v>67</v>
      </c>
      <c r="F592" s="73">
        <f t="shared" ref="F592:U592" si="870">IFERROR(F576/F512,0)</f>
        <v>0</v>
      </c>
      <c r="G592" s="73">
        <f t="shared" si="870"/>
        <v>0</v>
      </c>
      <c r="H592" s="73">
        <f t="shared" si="870"/>
        <v>0</v>
      </c>
      <c r="I592" s="77">
        <f t="shared" si="870"/>
        <v>0</v>
      </c>
      <c r="J592" s="77">
        <f t="shared" si="870"/>
        <v>0</v>
      </c>
      <c r="K592" s="77">
        <f t="shared" si="870"/>
        <v>0</v>
      </c>
      <c r="L592" s="77">
        <f t="shared" si="870"/>
        <v>0</v>
      </c>
      <c r="M592" s="73">
        <f t="shared" si="870"/>
        <v>0</v>
      </c>
      <c r="N592" s="77">
        <f t="shared" si="870"/>
        <v>0</v>
      </c>
      <c r="O592" s="77">
        <f t="shared" si="870"/>
        <v>0</v>
      </c>
      <c r="P592" s="77">
        <f t="shared" si="870"/>
        <v>0</v>
      </c>
      <c r="Q592" s="77">
        <f t="shared" si="870"/>
        <v>0</v>
      </c>
      <c r="R592" s="74">
        <f t="shared" si="870"/>
        <v>0</v>
      </c>
      <c r="S592" s="74">
        <f t="shared" si="870"/>
        <v>0</v>
      </c>
      <c r="T592" s="74">
        <f t="shared" si="870"/>
        <v>0</v>
      </c>
      <c r="U592" s="74">
        <f t="shared" si="870"/>
        <v>0</v>
      </c>
    </row>
    <row r="593" spans="5:21" x14ac:dyDescent="0.25">
      <c r="E593" s="78" t="s">
        <v>68</v>
      </c>
      <c r="F593" s="73">
        <f t="shared" ref="F593:U593" si="871">IFERROR(F577/F513,0)</f>
        <v>0</v>
      </c>
      <c r="G593" s="73">
        <f t="shared" si="871"/>
        <v>0</v>
      </c>
      <c r="H593" s="73">
        <f t="shared" si="871"/>
        <v>0</v>
      </c>
      <c r="I593" s="77">
        <f t="shared" si="871"/>
        <v>0</v>
      </c>
      <c r="J593" s="77">
        <f t="shared" si="871"/>
        <v>0</v>
      </c>
      <c r="K593" s="77">
        <f t="shared" si="871"/>
        <v>0</v>
      </c>
      <c r="L593" s="77">
        <f t="shared" si="871"/>
        <v>0</v>
      </c>
      <c r="M593" s="73">
        <f t="shared" si="871"/>
        <v>0</v>
      </c>
      <c r="N593" s="77">
        <f t="shared" si="871"/>
        <v>0</v>
      </c>
      <c r="O593" s="77">
        <f t="shared" si="871"/>
        <v>0</v>
      </c>
      <c r="P593" s="77">
        <f t="shared" si="871"/>
        <v>0</v>
      </c>
      <c r="Q593" s="77">
        <f t="shared" si="871"/>
        <v>0</v>
      </c>
      <c r="R593" s="74">
        <f t="shared" si="871"/>
        <v>0</v>
      </c>
      <c r="S593" s="74">
        <f t="shared" si="871"/>
        <v>0</v>
      </c>
      <c r="T593" s="74">
        <f t="shared" si="871"/>
        <v>0</v>
      </c>
      <c r="U593" s="74">
        <f t="shared" si="871"/>
        <v>0</v>
      </c>
    </row>
    <row r="594" spans="5:21" x14ac:dyDescent="0.25">
      <c r="E594" s="78" t="s">
        <v>69</v>
      </c>
      <c r="F594" s="73">
        <f t="shared" ref="F594:U594" si="872">IFERROR(F578/F514,0)</f>
        <v>0</v>
      </c>
      <c r="G594" s="73">
        <f t="shared" si="872"/>
        <v>0</v>
      </c>
      <c r="H594" s="73">
        <f t="shared" si="872"/>
        <v>0</v>
      </c>
      <c r="I594" s="77">
        <f t="shared" si="872"/>
        <v>0</v>
      </c>
      <c r="J594" s="77">
        <f t="shared" si="872"/>
        <v>0</v>
      </c>
      <c r="K594" s="77">
        <f t="shared" si="872"/>
        <v>0</v>
      </c>
      <c r="L594" s="77">
        <f t="shared" si="872"/>
        <v>0</v>
      </c>
      <c r="M594" s="73">
        <f t="shared" si="872"/>
        <v>0</v>
      </c>
      <c r="N594" s="77">
        <f t="shared" si="872"/>
        <v>0</v>
      </c>
      <c r="O594" s="77">
        <f t="shared" si="872"/>
        <v>0</v>
      </c>
      <c r="P594" s="77">
        <f t="shared" si="872"/>
        <v>0</v>
      </c>
      <c r="Q594" s="77">
        <f t="shared" si="872"/>
        <v>0</v>
      </c>
      <c r="R594" s="74">
        <f t="shared" si="872"/>
        <v>0</v>
      </c>
      <c r="S594" s="74">
        <f t="shared" si="872"/>
        <v>0</v>
      </c>
      <c r="T594" s="74">
        <f t="shared" si="872"/>
        <v>0</v>
      </c>
      <c r="U594" s="74">
        <f t="shared" si="872"/>
        <v>0</v>
      </c>
    </row>
    <row r="595" spans="5:21" x14ac:dyDescent="0.25">
      <c r="E595" s="78" t="s">
        <v>70</v>
      </c>
      <c r="F595" s="73">
        <f t="shared" ref="F595:U595" si="873">IFERROR(F579/F515,0)</f>
        <v>0</v>
      </c>
      <c r="G595" s="73">
        <f t="shared" si="873"/>
        <v>0</v>
      </c>
      <c r="H595" s="73">
        <f t="shared" si="873"/>
        <v>0</v>
      </c>
      <c r="I595" s="77">
        <f t="shared" si="873"/>
        <v>0</v>
      </c>
      <c r="J595" s="77">
        <f t="shared" si="873"/>
        <v>0</v>
      </c>
      <c r="K595" s="77">
        <f t="shared" si="873"/>
        <v>0</v>
      </c>
      <c r="L595" s="77">
        <f t="shared" si="873"/>
        <v>0</v>
      </c>
      <c r="M595" s="73">
        <f t="shared" si="873"/>
        <v>0</v>
      </c>
      <c r="N595" s="77">
        <f t="shared" si="873"/>
        <v>0</v>
      </c>
      <c r="O595" s="77">
        <f t="shared" si="873"/>
        <v>0</v>
      </c>
      <c r="P595" s="77">
        <f t="shared" si="873"/>
        <v>0</v>
      </c>
      <c r="Q595" s="77">
        <f t="shared" si="873"/>
        <v>0</v>
      </c>
      <c r="R595" s="74">
        <f t="shared" si="873"/>
        <v>0</v>
      </c>
      <c r="S595" s="74">
        <f t="shared" si="873"/>
        <v>0</v>
      </c>
      <c r="T595" s="74">
        <f t="shared" si="873"/>
        <v>0</v>
      </c>
      <c r="U595" s="74">
        <f t="shared" si="873"/>
        <v>0</v>
      </c>
    </row>
    <row r="596" spans="5:21" x14ac:dyDescent="0.25">
      <c r="E596" s="78" t="s">
        <v>71</v>
      </c>
      <c r="F596" s="73">
        <f t="shared" ref="F596:U596" si="874">IFERROR(F580/F516,0)</f>
        <v>0</v>
      </c>
      <c r="G596" s="73">
        <f t="shared" si="874"/>
        <v>0</v>
      </c>
      <c r="H596" s="73">
        <f t="shared" si="874"/>
        <v>0</v>
      </c>
      <c r="I596" s="77">
        <f t="shared" si="874"/>
        <v>0</v>
      </c>
      <c r="J596" s="77">
        <f t="shared" si="874"/>
        <v>0</v>
      </c>
      <c r="K596" s="77">
        <f t="shared" si="874"/>
        <v>0</v>
      </c>
      <c r="L596" s="77">
        <f t="shared" si="874"/>
        <v>0</v>
      </c>
      <c r="M596" s="73">
        <f t="shared" si="874"/>
        <v>0</v>
      </c>
      <c r="N596" s="77">
        <f t="shared" si="874"/>
        <v>0</v>
      </c>
      <c r="O596" s="77">
        <f t="shared" si="874"/>
        <v>0</v>
      </c>
      <c r="P596" s="77">
        <f t="shared" si="874"/>
        <v>0</v>
      </c>
      <c r="Q596" s="77">
        <f t="shared" si="874"/>
        <v>0</v>
      </c>
      <c r="R596" s="74">
        <f t="shared" si="874"/>
        <v>0</v>
      </c>
      <c r="S596" s="74">
        <f t="shared" si="874"/>
        <v>0</v>
      </c>
      <c r="T596" s="74">
        <f t="shared" si="874"/>
        <v>0</v>
      </c>
      <c r="U596" s="74">
        <f t="shared" si="874"/>
        <v>0</v>
      </c>
    </row>
    <row r="597" spans="5:21" x14ac:dyDescent="0.25">
      <c r="E597" s="78" t="s">
        <v>72</v>
      </c>
      <c r="F597" s="73">
        <f t="shared" ref="F597:U597" si="875">IFERROR(F581/F517,0)</f>
        <v>0</v>
      </c>
      <c r="G597" s="73">
        <f t="shared" si="875"/>
        <v>0</v>
      </c>
      <c r="H597" s="73">
        <f t="shared" si="875"/>
        <v>0</v>
      </c>
      <c r="I597" s="77">
        <f t="shared" si="875"/>
        <v>0</v>
      </c>
      <c r="J597" s="77">
        <f t="shared" si="875"/>
        <v>0</v>
      </c>
      <c r="K597" s="77">
        <f t="shared" si="875"/>
        <v>0</v>
      </c>
      <c r="L597" s="77">
        <f t="shared" si="875"/>
        <v>0</v>
      </c>
      <c r="M597" s="73">
        <f t="shared" si="875"/>
        <v>0</v>
      </c>
      <c r="N597" s="77">
        <f t="shared" si="875"/>
        <v>0</v>
      </c>
      <c r="O597" s="77">
        <f t="shared" si="875"/>
        <v>0</v>
      </c>
      <c r="P597" s="77">
        <f t="shared" si="875"/>
        <v>0</v>
      </c>
      <c r="Q597" s="77">
        <f t="shared" si="875"/>
        <v>0</v>
      </c>
      <c r="R597" s="74">
        <f t="shared" si="875"/>
        <v>0</v>
      </c>
      <c r="S597" s="74">
        <f t="shared" si="875"/>
        <v>0</v>
      </c>
      <c r="T597" s="74">
        <f t="shared" si="875"/>
        <v>0</v>
      </c>
      <c r="U597" s="74">
        <f t="shared" si="875"/>
        <v>0</v>
      </c>
    </row>
    <row r="598" spans="5:21" x14ac:dyDescent="0.25">
      <c r="E598" s="78" t="s">
        <v>73</v>
      </c>
      <c r="F598" s="73">
        <f t="shared" ref="F598:U598" si="876">IFERROR(F582/F518,0)</f>
        <v>0</v>
      </c>
      <c r="G598" s="73">
        <f t="shared" si="876"/>
        <v>0</v>
      </c>
      <c r="H598" s="73">
        <f t="shared" si="876"/>
        <v>0</v>
      </c>
      <c r="I598" s="77">
        <f t="shared" si="876"/>
        <v>0</v>
      </c>
      <c r="J598" s="77">
        <f t="shared" si="876"/>
        <v>0</v>
      </c>
      <c r="K598" s="77">
        <f t="shared" si="876"/>
        <v>0</v>
      </c>
      <c r="L598" s="77">
        <f t="shared" si="876"/>
        <v>0</v>
      </c>
      <c r="M598" s="73">
        <f t="shared" si="876"/>
        <v>0</v>
      </c>
      <c r="N598" s="77">
        <f t="shared" si="876"/>
        <v>0</v>
      </c>
      <c r="O598" s="77">
        <f t="shared" si="876"/>
        <v>0</v>
      </c>
      <c r="P598" s="77">
        <f t="shared" si="876"/>
        <v>0</v>
      </c>
      <c r="Q598" s="77">
        <f t="shared" si="876"/>
        <v>0</v>
      </c>
      <c r="R598" s="74">
        <f t="shared" si="876"/>
        <v>0</v>
      </c>
      <c r="S598" s="74">
        <f t="shared" si="876"/>
        <v>0</v>
      </c>
      <c r="T598" s="74">
        <f t="shared" si="876"/>
        <v>0</v>
      </c>
      <c r="U598" s="74">
        <f t="shared" si="876"/>
        <v>0</v>
      </c>
    </row>
    <row r="599" spans="5:21" ht="15.75" thickBot="1" x14ac:dyDescent="0.3">
      <c r="E599" s="8" t="s">
        <v>27</v>
      </c>
      <c r="F599" s="75">
        <f t="shared" ref="F599:U599" si="877">IFERROR(F583/F519,0)</f>
        <v>0</v>
      </c>
      <c r="G599" s="75">
        <f t="shared" si="877"/>
        <v>0</v>
      </c>
      <c r="H599" s="75">
        <f t="shared" si="877"/>
        <v>0</v>
      </c>
      <c r="I599" s="31">
        <f t="shared" si="877"/>
        <v>0</v>
      </c>
      <c r="J599" s="31">
        <f t="shared" si="877"/>
        <v>0</v>
      </c>
      <c r="K599" s="31">
        <f t="shared" si="877"/>
        <v>0</v>
      </c>
      <c r="L599" s="31">
        <f t="shared" si="877"/>
        <v>0</v>
      </c>
      <c r="M599" s="75">
        <f t="shared" si="877"/>
        <v>0</v>
      </c>
      <c r="N599" s="31">
        <f t="shared" si="877"/>
        <v>0</v>
      </c>
      <c r="O599" s="31">
        <f t="shared" si="877"/>
        <v>0</v>
      </c>
      <c r="P599" s="31">
        <f t="shared" si="877"/>
        <v>0</v>
      </c>
      <c r="Q599" s="31">
        <f t="shared" si="877"/>
        <v>0</v>
      </c>
      <c r="R599" s="76">
        <f t="shared" si="877"/>
        <v>0</v>
      </c>
      <c r="S599" s="76">
        <f t="shared" si="877"/>
        <v>0</v>
      </c>
      <c r="T599" s="76">
        <f t="shared" si="877"/>
        <v>0</v>
      </c>
      <c r="U599" s="76">
        <f t="shared" si="877"/>
        <v>0</v>
      </c>
    </row>
    <row r="600" spans="5:21" ht="15.75" thickTop="1" x14ac:dyDescent="0.25"/>
  </sheetData>
  <conditionalFormatting sqref="F92:U99">
    <cfRule type="cellIs" dxfId="5" priority="6" operator="lessThan">
      <formula>0</formula>
    </cfRule>
  </conditionalFormatting>
  <conditionalFormatting sqref="F192:U199">
    <cfRule type="cellIs" dxfId="4" priority="4" operator="lessThan">
      <formula>0</formula>
    </cfRule>
  </conditionalFormatting>
  <conditionalFormatting sqref="F292:U299">
    <cfRule type="cellIs" dxfId="3" priority="3" operator="lessThan">
      <formula>0</formula>
    </cfRule>
  </conditionalFormatting>
  <conditionalFormatting sqref="F392:U399">
    <cfRule type="cellIs" dxfId="2" priority="2" operator="lessThan">
      <formula>0</formula>
    </cfRule>
  </conditionalFormatting>
  <conditionalFormatting sqref="F492:U499">
    <cfRule type="cellIs" dxfId="1" priority="1" operator="lessThan">
      <formula>0</formula>
    </cfRule>
  </conditionalFormatting>
  <conditionalFormatting sqref="F592:U599">
    <cfRule type="cellIs" dxfId="0" priority="5" operator="less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AB976-DF82-49D7-B48A-728FAA6D66AE}">
  <sheetPr>
    <tabColor theme="9" tint="0.79998168889431442"/>
  </sheetPr>
  <dimension ref="B3:AK228"/>
  <sheetViews>
    <sheetView showGridLines="0" zoomScale="80" zoomScaleNormal="80" workbookViewId="0"/>
  </sheetViews>
  <sheetFormatPr defaultRowHeight="15" outlineLevelRow="1" outlineLevelCol="1" x14ac:dyDescent="0.25"/>
  <cols>
    <col min="1" max="1" width="3.7109375" customWidth="1"/>
    <col min="2" max="2" width="5.85546875" bestFit="1" customWidth="1"/>
    <col min="3" max="3" width="4.5703125" bestFit="1" customWidth="1"/>
    <col min="4" max="4" width="3.7109375" customWidth="1"/>
    <col min="5" max="5" width="16.5703125" customWidth="1"/>
    <col min="6" max="6" width="9.7109375" bestFit="1" customWidth="1"/>
    <col min="7" max="7" width="10.7109375" bestFit="1" customWidth="1"/>
    <col min="8" max="8" width="13.7109375" customWidth="1"/>
    <col min="9" max="10" width="9.7109375" customWidth="1" outlineLevel="1"/>
    <col min="11" max="11" width="9.5703125" customWidth="1" outlineLevel="1"/>
    <col min="12" max="12" width="9.42578125" customWidth="1" outlineLevel="1"/>
    <col min="13" max="13" width="9.7109375" bestFit="1" customWidth="1"/>
    <col min="14" max="14" width="9.5703125" customWidth="1" outlineLevel="1"/>
    <col min="15" max="15" width="9.140625" customWidth="1" outlineLevel="1"/>
    <col min="16" max="17" width="9.5703125" customWidth="1" outlineLevel="1"/>
    <col min="18" max="22" width="9.5703125" bestFit="1" customWidth="1"/>
    <col min="23" max="23" width="19.5703125" customWidth="1"/>
  </cols>
  <sheetData>
    <row r="3" spans="2:36" ht="18.75" x14ac:dyDescent="0.3">
      <c r="B3" s="4" t="s">
        <v>34</v>
      </c>
      <c r="C3" s="4" t="s">
        <v>387</v>
      </c>
      <c r="E3" s="53" t="str">
        <f>"Scenario 1: "&amp;Inputs!B22</f>
        <v>Scenario 1: Scenario 1</v>
      </c>
      <c r="F3" s="49"/>
      <c r="G3" s="49"/>
      <c r="H3" s="49"/>
      <c r="I3" s="49"/>
      <c r="J3" s="49"/>
      <c r="K3" s="49"/>
      <c r="L3" s="49"/>
      <c r="M3" s="49"/>
      <c r="N3" s="49"/>
      <c r="O3" s="49"/>
      <c r="P3" s="49"/>
      <c r="Q3" s="49"/>
      <c r="R3" s="49"/>
      <c r="S3" s="49"/>
      <c r="T3" s="49"/>
      <c r="U3" s="49"/>
    </row>
    <row r="4" spans="2:36" hidden="1" outlineLevel="1" x14ac:dyDescent="0.25">
      <c r="E4" s="52" t="str">
        <f>Inputs!C22</f>
        <v>Scenario 1 Description</v>
      </c>
    </row>
    <row r="5" spans="2:36" hidden="1" outlineLevel="1" x14ac:dyDescent="0.25"/>
    <row r="6" spans="2:36" hidden="1" outlineLevel="1" x14ac:dyDescent="0.25"/>
    <row r="7" spans="2:36" hidden="1" outlineLevel="1" x14ac:dyDescent="0.25">
      <c r="E7" s="4" t="s">
        <v>8</v>
      </c>
      <c r="W7" s="4" t="str">
        <f>E7</f>
        <v>Variances</v>
      </c>
    </row>
    <row r="8" spans="2:36" hidden="1" outlineLevel="1" x14ac:dyDescent="0.25">
      <c r="E8" t="s">
        <v>25</v>
      </c>
      <c r="W8" s="61" t="s">
        <v>62</v>
      </c>
    </row>
    <row r="9" spans="2:36" hidden="1" outlineLevel="1" x14ac:dyDescent="0.25"/>
    <row r="10" spans="2:36" hidden="1" outlineLevel="1" x14ac:dyDescent="0.25">
      <c r="F10" s="12">
        <f>Inputs!$C$7</f>
        <v>2023</v>
      </c>
      <c r="G10" s="12">
        <f>Inputs!$C$8</f>
        <v>2024</v>
      </c>
      <c r="H10" s="12">
        <f>Inputs!$C$9</f>
        <v>2025</v>
      </c>
      <c r="I10" s="13" t="s">
        <v>1</v>
      </c>
      <c r="J10" s="13" t="s">
        <v>2</v>
      </c>
      <c r="K10" s="13" t="s">
        <v>3</v>
      </c>
      <c r="L10" s="13" t="s">
        <v>4</v>
      </c>
      <c r="M10" s="13">
        <f>Inputs!$C$10</f>
        <v>2026</v>
      </c>
      <c r="N10" s="14" t="s">
        <v>1</v>
      </c>
      <c r="O10" s="14" t="s">
        <v>2</v>
      </c>
      <c r="P10" s="14" t="s">
        <v>3</v>
      </c>
      <c r="Q10" s="14" t="s">
        <v>4</v>
      </c>
      <c r="R10" s="15">
        <f>Inputs!$C$11</f>
        <v>2027</v>
      </c>
      <c r="S10" s="16">
        <f>Inputs!$C$12</f>
        <v>2028</v>
      </c>
      <c r="T10" s="16">
        <f>Inputs!$C$13</f>
        <v>2029</v>
      </c>
      <c r="U10" s="16">
        <f>Inputs!$C$14</f>
        <v>2030</v>
      </c>
      <c r="X10" s="13" t="s">
        <v>1</v>
      </c>
      <c r="Y10" s="13" t="s">
        <v>2</v>
      </c>
      <c r="Z10" s="13" t="s">
        <v>3</v>
      </c>
      <c r="AA10" s="13" t="s">
        <v>4</v>
      </c>
      <c r="AB10" s="13">
        <f>Inputs!$C$10</f>
        <v>2026</v>
      </c>
      <c r="AC10" s="14" t="s">
        <v>1</v>
      </c>
      <c r="AD10" s="14" t="s">
        <v>2</v>
      </c>
      <c r="AE10" s="14" t="s">
        <v>3</v>
      </c>
      <c r="AF10" s="14" t="s">
        <v>4</v>
      </c>
      <c r="AG10" s="15">
        <f>Inputs!$C$11</f>
        <v>2027</v>
      </c>
      <c r="AH10" s="16">
        <f>Inputs!$C$12</f>
        <v>2028</v>
      </c>
      <c r="AI10" s="16">
        <f>Inputs!$C$13</f>
        <v>2029</v>
      </c>
      <c r="AJ10" s="16">
        <f>Inputs!$C$14</f>
        <v>2030</v>
      </c>
    </row>
    <row r="11" spans="2:36" hidden="1" outlineLevel="1" x14ac:dyDescent="0.25">
      <c r="F11" s="71" t="s">
        <v>63</v>
      </c>
      <c r="G11" s="71" t="s">
        <v>63</v>
      </c>
      <c r="H11" s="71" t="s">
        <v>63</v>
      </c>
      <c r="I11" s="71" t="s">
        <v>63</v>
      </c>
      <c r="J11" s="71" t="s">
        <v>63</v>
      </c>
      <c r="K11" s="71" t="s">
        <v>63</v>
      </c>
      <c r="L11" s="71" t="s">
        <v>63</v>
      </c>
      <c r="M11" s="71" t="s">
        <v>63</v>
      </c>
      <c r="N11" s="71" t="s">
        <v>63</v>
      </c>
      <c r="O11" s="71" t="s">
        <v>63</v>
      </c>
      <c r="P11" s="71" t="s">
        <v>63</v>
      </c>
      <c r="Q11" s="71" t="s">
        <v>63</v>
      </c>
      <c r="R11" s="71" t="s">
        <v>63</v>
      </c>
      <c r="S11" s="71" t="s">
        <v>63</v>
      </c>
      <c r="T11" s="71" t="s">
        <v>63</v>
      </c>
      <c r="U11" s="71" t="s">
        <v>63</v>
      </c>
      <c r="X11" s="63" t="s">
        <v>30</v>
      </c>
      <c r="Y11" s="63" t="s">
        <v>30</v>
      </c>
      <c r="Z11" s="63" t="s">
        <v>30</v>
      </c>
      <c r="AA11" s="63" t="s">
        <v>30</v>
      </c>
      <c r="AB11" s="62"/>
      <c r="AC11" s="63" t="s">
        <v>30</v>
      </c>
      <c r="AD11" s="63" t="s">
        <v>30</v>
      </c>
      <c r="AE11" s="63" t="s">
        <v>30</v>
      </c>
      <c r="AF11" s="63" t="s">
        <v>30</v>
      </c>
      <c r="AG11" s="62"/>
      <c r="AH11" s="63" t="s">
        <v>30</v>
      </c>
      <c r="AI11" s="63" t="s">
        <v>30</v>
      </c>
      <c r="AJ11" s="63" t="s">
        <v>30</v>
      </c>
    </row>
    <row r="12" spans="2:36" hidden="1" outlineLevel="1" x14ac:dyDescent="0.25">
      <c r="B12" s="229" t="s">
        <v>195</v>
      </c>
      <c r="C12" s="229" t="s">
        <v>195</v>
      </c>
      <c r="E12" s="78" t="s">
        <v>8</v>
      </c>
      <c r="F12" s="21">
        <f>F202</f>
        <v>0</v>
      </c>
      <c r="G12" s="21">
        <f t="shared" ref="G12:H12" si="0">G202</f>
        <v>0</v>
      </c>
      <c r="H12" s="21">
        <f t="shared" si="0"/>
        <v>0</v>
      </c>
      <c r="I12" s="10">
        <f>IF(X12="",I202,X12)</f>
        <v>0</v>
      </c>
      <c r="J12" s="10">
        <f t="shared" ref="J12:L12" si="1">IF(Y12="",J202,Y12)</f>
        <v>0</v>
      </c>
      <c r="K12" s="10">
        <f t="shared" si="1"/>
        <v>0</v>
      </c>
      <c r="L12" s="10">
        <f t="shared" si="1"/>
        <v>0</v>
      </c>
      <c r="M12" s="17">
        <f>SUM(I12:L12)</f>
        <v>0</v>
      </c>
      <c r="N12" s="10">
        <f t="shared" ref="N12:Q12" si="2">IF(AC12="",N202,AC12)</f>
        <v>0</v>
      </c>
      <c r="O12" s="10">
        <f t="shared" si="2"/>
        <v>0</v>
      </c>
      <c r="P12" s="10">
        <f t="shared" si="2"/>
        <v>0</v>
      </c>
      <c r="Q12" s="10">
        <f t="shared" si="2"/>
        <v>0</v>
      </c>
      <c r="R12" s="22">
        <f t="shared" ref="R12:R19" si="3">SUM(N12:Q12)</f>
        <v>0</v>
      </c>
      <c r="S12" s="23">
        <f t="shared" ref="S12:U12" si="4">IF(AH12="",S202,AH12)</f>
        <v>0</v>
      </c>
      <c r="T12" s="23">
        <f t="shared" si="4"/>
        <v>0</v>
      </c>
      <c r="U12" s="23">
        <f t="shared" si="4"/>
        <v>0</v>
      </c>
      <c r="W12" s="79" t="str">
        <f>E12</f>
        <v>Variances</v>
      </c>
      <c r="X12" s="64"/>
      <c r="Y12" s="64"/>
      <c r="Z12" s="64"/>
      <c r="AA12" s="64"/>
      <c r="AB12" s="60"/>
      <c r="AC12" s="64"/>
      <c r="AD12" s="64"/>
      <c r="AE12" s="64"/>
      <c r="AF12" s="64"/>
      <c r="AG12" s="60"/>
      <c r="AH12" s="64"/>
      <c r="AI12" s="64"/>
      <c r="AJ12" s="64"/>
    </row>
    <row r="13" spans="2:36" hidden="1" outlineLevel="1" x14ac:dyDescent="0.25">
      <c r="B13" s="229" t="s">
        <v>195</v>
      </c>
      <c r="C13" s="229" t="s">
        <v>195</v>
      </c>
      <c r="E13" s="78" t="s">
        <v>75</v>
      </c>
      <c r="F13" s="21">
        <f t="shared" ref="F13:H13" si="5">F203</f>
        <v>0</v>
      </c>
      <c r="G13" s="21">
        <f t="shared" si="5"/>
        <v>0</v>
      </c>
      <c r="H13" s="21">
        <f t="shared" si="5"/>
        <v>0</v>
      </c>
      <c r="I13" s="10">
        <f t="shared" ref="I13:L13" si="6">IF(X13="",I203,X13)</f>
        <v>0</v>
      </c>
      <c r="J13" s="10">
        <f t="shared" si="6"/>
        <v>0</v>
      </c>
      <c r="K13" s="10">
        <f t="shared" si="6"/>
        <v>0</v>
      </c>
      <c r="L13" s="10">
        <f t="shared" si="6"/>
        <v>0</v>
      </c>
      <c r="M13" s="17">
        <f t="shared" ref="M13:M19" si="7">SUM(I13:L13)</f>
        <v>0</v>
      </c>
      <c r="N13" s="10">
        <f t="shared" ref="N13:Q13" si="8">IF(AC13="",N203,AC13)</f>
        <v>0</v>
      </c>
      <c r="O13" s="10">
        <f t="shared" si="8"/>
        <v>0</v>
      </c>
      <c r="P13" s="10">
        <f t="shared" si="8"/>
        <v>0</v>
      </c>
      <c r="Q13" s="10">
        <f t="shared" si="8"/>
        <v>0</v>
      </c>
      <c r="R13" s="22">
        <f t="shared" si="3"/>
        <v>0</v>
      </c>
      <c r="S13" s="23">
        <f t="shared" ref="S13:U13" si="9">IF(AH13="",S203,AH13)</f>
        <v>0</v>
      </c>
      <c r="T13" s="23">
        <f t="shared" si="9"/>
        <v>0</v>
      </c>
      <c r="U13" s="23">
        <f t="shared" si="9"/>
        <v>0</v>
      </c>
      <c r="W13" s="79" t="str">
        <f t="shared" ref="W13:W19" si="10">E13</f>
        <v>Exchange Gain/Loss</v>
      </c>
      <c r="X13" s="64"/>
      <c r="Y13" s="64"/>
      <c r="Z13" s="64"/>
      <c r="AA13" s="64"/>
      <c r="AB13" s="60"/>
      <c r="AC13" s="64"/>
      <c r="AD13" s="64"/>
      <c r="AE13" s="64"/>
      <c r="AF13" s="64"/>
      <c r="AG13" s="60"/>
      <c r="AH13" s="64"/>
      <c r="AI13" s="64"/>
      <c r="AJ13" s="64"/>
    </row>
    <row r="14" spans="2:36" hidden="1" outlineLevel="1" x14ac:dyDescent="0.25">
      <c r="B14" s="229" t="s">
        <v>195</v>
      </c>
      <c r="C14" s="229" t="s">
        <v>195</v>
      </c>
      <c r="E14" s="78" t="s">
        <v>77</v>
      </c>
      <c r="F14" s="21">
        <f t="shared" ref="F14:H14" si="11">F204</f>
        <v>0</v>
      </c>
      <c r="G14" s="21">
        <f t="shared" si="11"/>
        <v>0</v>
      </c>
      <c r="H14" s="21">
        <f t="shared" si="11"/>
        <v>0</v>
      </c>
      <c r="I14" s="10">
        <f t="shared" ref="I14:L14" si="12">IF(X14="",I204,X14)</f>
        <v>0</v>
      </c>
      <c r="J14" s="10">
        <f t="shared" si="12"/>
        <v>0</v>
      </c>
      <c r="K14" s="10">
        <f t="shared" si="12"/>
        <v>0</v>
      </c>
      <c r="L14" s="10">
        <f t="shared" si="12"/>
        <v>0</v>
      </c>
      <c r="M14" s="17">
        <f t="shared" si="7"/>
        <v>0</v>
      </c>
      <c r="N14" s="10">
        <f t="shared" ref="N14:Q14" si="13">IF(AC14="",N204,AC14)</f>
        <v>0</v>
      </c>
      <c r="O14" s="10">
        <f t="shared" si="13"/>
        <v>0</v>
      </c>
      <c r="P14" s="10">
        <f t="shared" si="13"/>
        <v>0</v>
      </c>
      <c r="Q14" s="10">
        <f t="shared" si="13"/>
        <v>0</v>
      </c>
      <c r="R14" s="22">
        <f t="shared" si="3"/>
        <v>0</v>
      </c>
      <c r="S14" s="23">
        <f t="shared" ref="S14:U14" si="14">IF(AH14="",S204,AH14)</f>
        <v>0</v>
      </c>
      <c r="T14" s="23">
        <f t="shared" si="14"/>
        <v>0</v>
      </c>
      <c r="U14" s="23">
        <f t="shared" si="14"/>
        <v>0</v>
      </c>
      <c r="W14" s="79" t="str">
        <f t="shared" si="10"/>
        <v>blank</v>
      </c>
      <c r="X14" s="64"/>
      <c r="Y14" s="64"/>
      <c r="Z14" s="64"/>
      <c r="AA14" s="64"/>
      <c r="AB14" s="60"/>
      <c r="AC14" s="64"/>
      <c r="AD14" s="64"/>
      <c r="AE14" s="64"/>
      <c r="AF14" s="64"/>
      <c r="AG14" s="60"/>
      <c r="AH14" s="64"/>
      <c r="AI14" s="64"/>
      <c r="AJ14" s="64"/>
    </row>
    <row r="15" spans="2:36" hidden="1" outlineLevel="1" x14ac:dyDescent="0.25">
      <c r="B15" s="229" t="s">
        <v>195</v>
      </c>
      <c r="C15" s="229" t="s">
        <v>195</v>
      </c>
      <c r="E15" s="78" t="s">
        <v>77</v>
      </c>
      <c r="F15" s="21">
        <f t="shared" ref="F15:H15" si="15">F205</f>
        <v>0</v>
      </c>
      <c r="G15" s="21">
        <f t="shared" si="15"/>
        <v>0</v>
      </c>
      <c r="H15" s="21">
        <f t="shared" si="15"/>
        <v>0</v>
      </c>
      <c r="I15" s="10">
        <f t="shared" ref="I15:L15" si="16">IF(X15="",I205,X15)</f>
        <v>0</v>
      </c>
      <c r="J15" s="10">
        <f t="shared" si="16"/>
        <v>0</v>
      </c>
      <c r="K15" s="10">
        <f t="shared" si="16"/>
        <v>0</v>
      </c>
      <c r="L15" s="10">
        <f t="shared" si="16"/>
        <v>0</v>
      </c>
      <c r="M15" s="17">
        <f t="shared" si="7"/>
        <v>0</v>
      </c>
      <c r="N15" s="10">
        <f t="shared" ref="N15:Q15" si="17">IF(AC15="",N205,AC15)</f>
        <v>0</v>
      </c>
      <c r="O15" s="10">
        <f t="shared" si="17"/>
        <v>0</v>
      </c>
      <c r="P15" s="10">
        <f t="shared" si="17"/>
        <v>0</v>
      </c>
      <c r="Q15" s="10">
        <f t="shared" si="17"/>
        <v>0</v>
      </c>
      <c r="R15" s="22">
        <f t="shared" si="3"/>
        <v>0</v>
      </c>
      <c r="S15" s="23">
        <f t="shared" ref="S15:U15" si="18">IF(AH15="",S205,AH15)</f>
        <v>0</v>
      </c>
      <c r="T15" s="23">
        <f t="shared" si="18"/>
        <v>0</v>
      </c>
      <c r="U15" s="23">
        <f t="shared" si="18"/>
        <v>0</v>
      </c>
      <c r="W15" s="79" t="str">
        <f t="shared" si="10"/>
        <v>blank</v>
      </c>
      <c r="X15" s="64"/>
      <c r="Y15" s="64"/>
      <c r="Z15" s="64"/>
      <c r="AA15" s="64"/>
      <c r="AB15" s="60"/>
      <c r="AC15" s="64"/>
      <c r="AD15" s="64"/>
      <c r="AE15" s="64"/>
      <c r="AF15" s="64"/>
      <c r="AG15" s="60"/>
      <c r="AH15" s="64"/>
      <c r="AI15" s="64"/>
      <c r="AJ15" s="64"/>
    </row>
    <row r="16" spans="2:36" hidden="1" outlineLevel="1" x14ac:dyDescent="0.25">
      <c r="B16" s="229" t="s">
        <v>195</v>
      </c>
      <c r="C16" s="229" t="s">
        <v>195</v>
      </c>
      <c r="E16" s="78" t="s">
        <v>77</v>
      </c>
      <c r="F16" s="21">
        <f t="shared" ref="F16:H16" si="19">F206</f>
        <v>0</v>
      </c>
      <c r="G16" s="21">
        <f t="shared" si="19"/>
        <v>0</v>
      </c>
      <c r="H16" s="21">
        <f t="shared" si="19"/>
        <v>0</v>
      </c>
      <c r="I16" s="10">
        <f t="shared" ref="I16:L16" si="20">IF(X16="",I206,X16)</f>
        <v>0</v>
      </c>
      <c r="J16" s="10">
        <f t="shared" si="20"/>
        <v>0</v>
      </c>
      <c r="K16" s="10">
        <f t="shared" si="20"/>
        <v>0</v>
      </c>
      <c r="L16" s="10">
        <f t="shared" si="20"/>
        <v>0</v>
      </c>
      <c r="M16" s="17">
        <f t="shared" si="7"/>
        <v>0</v>
      </c>
      <c r="N16" s="10">
        <f t="shared" ref="N16:Q16" si="21">IF(AC16="",N206,AC16)</f>
        <v>0</v>
      </c>
      <c r="O16" s="10">
        <f t="shared" si="21"/>
        <v>0</v>
      </c>
      <c r="P16" s="10">
        <f t="shared" si="21"/>
        <v>0</v>
      </c>
      <c r="Q16" s="10">
        <f t="shared" si="21"/>
        <v>0</v>
      </c>
      <c r="R16" s="22">
        <f t="shared" si="3"/>
        <v>0</v>
      </c>
      <c r="S16" s="23">
        <f t="shared" ref="S16:U16" si="22">IF(AH16="",S206,AH16)</f>
        <v>0</v>
      </c>
      <c r="T16" s="23">
        <f t="shared" si="22"/>
        <v>0</v>
      </c>
      <c r="U16" s="23">
        <f t="shared" si="22"/>
        <v>0</v>
      </c>
      <c r="W16" s="79" t="str">
        <f t="shared" si="10"/>
        <v>blank</v>
      </c>
      <c r="X16" s="64"/>
      <c r="Y16" s="64"/>
      <c r="Z16" s="64"/>
      <c r="AA16" s="64"/>
      <c r="AB16" s="60"/>
      <c r="AC16" s="64"/>
      <c r="AD16" s="64"/>
      <c r="AE16" s="64"/>
      <c r="AF16" s="64"/>
      <c r="AG16" s="60"/>
      <c r="AH16" s="64"/>
      <c r="AI16" s="64"/>
      <c r="AJ16" s="64"/>
    </row>
    <row r="17" spans="2:36" hidden="1" outlineLevel="1" x14ac:dyDescent="0.25">
      <c r="B17" s="229" t="s">
        <v>195</v>
      </c>
      <c r="C17" s="229" t="s">
        <v>195</v>
      </c>
      <c r="E17" s="78" t="s">
        <v>77</v>
      </c>
      <c r="F17" s="21">
        <f t="shared" ref="F17:H17" si="23">F207</f>
        <v>0</v>
      </c>
      <c r="G17" s="21">
        <f t="shared" si="23"/>
        <v>0</v>
      </c>
      <c r="H17" s="21">
        <f t="shared" si="23"/>
        <v>0</v>
      </c>
      <c r="I17" s="10">
        <f t="shared" ref="I17:L17" si="24">IF(X17="",I207,X17)</f>
        <v>0</v>
      </c>
      <c r="J17" s="10">
        <f t="shared" si="24"/>
        <v>0</v>
      </c>
      <c r="K17" s="10">
        <f t="shared" si="24"/>
        <v>0</v>
      </c>
      <c r="L17" s="10">
        <f t="shared" si="24"/>
        <v>0</v>
      </c>
      <c r="M17" s="17">
        <f t="shared" si="7"/>
        <v>0</v>
      </c>
      <c r="N17" s="10">
        <f t="shared" ref="N17:Q17" si="25">IF(AC17="",N207,AC17)</f>
        <v>0</v>
      </c>
      <c r="O17" s="10">
        <f t="shared" si="25"/>
        <v>0</v>
      </c>
      <c r="P17" s="10">
        <f t="shared" si="25"/>
        <v>0</v>
      </c>
      <c r="Q17" s="10">
        <f t="shared" si="25"/>
        <v>0</v>
      </c>
      <c r="R17" s="22">
        <f t="shared" si="3"/>
        <v>0</v>
      </c>
      <c r="S17" s="23">
        <f t="shared" ref="S17:U17" si="26">IF(AH17="",S207,AH17)</f>
        <v>0</v>
      </c>
      <c r="T17" s="23">
        <f t="shared" si="26"/>
        <v>0</v>
      </c>
      <c r="U17" s="23">
        <f t="shared" si="26"/>
        <v>0</v>
      </c>
      <c r="W17" s="79" t="str">
        <f t="shared" si="10"/>
        <v>blank</v>
      </c>
      <c r="X17" s="64"/>
      <c r="Y17" s="64"/>
      <c r="Z17" s="64"/>
      <c r="AA17" s="64"/>
      <c r="AB17" s="60"/>
      <c r="AC17" s="64"/>
      <c r="AD17" s="64"/>
      <c r="AE17" s="64"/>
      <c r="AF17" s="64"/>
      <c r="AG17" s="60"/>
      <c r="AH17" s="64"/>
      <c r="AI17" s="64"/>
      <c r="AJ17" s="64"/>
    </row>
    <row r="18" spans="2:36" hidden="1" outlineLevel="1" x14ac:dyDescent="0.25">
      <c r="B18" s="229" t="s">
        <v>195</v>
      </c>
      <c r="C18" s="229" t="s">
        <v>195</v>
      </c>
      <c r="E18" s="78" t="s">
        <v>77</v>
      </c>
      <c r="F18" s="21">
        <f t="shared" ref="F18:H18" si="27">F208</f>
        <v>0</v>
      </c>
      <c r="G18" s="21">
        <f t="shared" si="27"/>
        <v>0</v>
      </c>
      <c r="H18" s="21">
        <f t="shared" si="27"/>
        <v>0</v>
      </c>
      <c r="I18" s="10">
        <f t="shared" ref="I18:L18" si="28">IF(X18="",I208,X18)</f>
        <v>0</v>
      </c>
      <c r="J18" s="10">
        <f t="shared" si="28"/>
        <v>0</v>
      </c>
      <c r="K18" s="10">
        <f t="shared" si="28"/>
        <v>0</v>
      </c>
      <c r="L18" s="10">
        <f t="shared" si="28"/>
        <v>0</v>
      </c>
      <c r="M18" s="17">
        <f t="shared" si="7"/>
        <v>0</v>
      </c>
      <c r="N18" s="10">
        <f t="shared" ref="N18:Q18" si="29">IF(AC18="",N208,AC18)</f>
        <v>0</v>
      </c>
      <c r="O18" s="10">
        <f t="shared" si="29"/>
        <v>0</v>
      </c>
      <c r="P18" s="10">
        <f t="shared" si="29"/>
        <v>0</v>
      </c>
      <c r="Q18" s="10">
        <f t="shared" si="29"/>
        <v>0</v>
      </c>
      <c r="R18" s="22">
        <f t="shared" si="3"/>
        <v>0</v>
      </c>
      <c r="S18" s="23">
        <f t="shared" ref="S18:U18" si="30">IF(AH18="",S208,AH18)</f>
        <v>0</v>
      </c>
      <c r="T18" s="23">
        <f t="shared" si="30"/>
        <v>0</v>
      </c>
      <c r="U18" s="23">
        <f t="shared" si="30"/>
        <v>0</v>
      </c>
      <c r="W18" s="79" t="str">
        <f t="shared" si="10"/>
        <v>blank</v>
      </c>
      <c r="X18" s="64"/>
      <c r="Y18" s="64"/>
      <c r="Z18" s="64"/>
      <c r="AA18" s="64"/>
      <c r="AB18" s="60"/>
      <c r="AC18" s="64"/>
      <c r="AD18" s="64"/>
      <c r="AE18" s="64"/>
      <c r="AF18" s="64"/>
      <c r="AG18" s="60"/>
      <c r="AH18" s="64"/>
      <c r="AI18" s="64"/>
      <c r="AJ18" s="64"/>
    </row>
    <row r="19" spans="2:36" hidden="1" outlineLevel="1" x14ac:dyDescent="0.25">
      <c r="B19" s="229" t="s">
        <v>195</v>
      </c>
      <c r="C19" s="229" t="s">
        <v>195</v>
      </c>
      <c r="E19" s="78" t="s">
        <v>77</v>
      </c>
      <c r="F19" s="21">
        <f t="shared" ref="F19:H19" si="31">F209</f>
        <v>0</v>
      </c>
      <c r="G19" s="21">
        <f t="shared" si="31"/>
        <v>0</v>
      </c>
      <c r="H19" s="21">
        <f t="shared" si="31"/>
        <v>0</v>
      </c>
      <c r="I19" s="10">
        <f t="shared" ref="I19:L19" si="32">IF(X19="",I209,X19)</f>
        <v>0</v>
      </c>
      <c r="J19" s="10">
        <f t="shared" si="32"/>
        <v>0</v>
      </c>
      <c r="K19" s="10">
        <f t="shared" si="32"/>
        <v>0</v>
      </c>
      <c r="L19" s="10">
        <f t="shared" si="32"/>
        <v>0</v>
      </c>
      <c r="M19" s="17">
        <f t="shared" si="7"/>
        <v>0</v>
      </c>
      <c r="N19" s="10">
        <f t="shared" ref="N19:Q19" si="33">IF(AC19="",N209,AC19)</f>
        <v>0</v>
      </c>
      <c r="O19" s="10">
        <f t="shared" si="33"/>
        <v>0</v>
      </c>
      <c r="P19" s="10">
        <f t="shared" si="33"/>
        <v>0</v>
      </c>
      <c r="Q19" s="10">
        <f t="shared" si="33"/>
        <v>0</v>
      </c>
      <c r="R19" s="22">
        <f t="shared" si="3"/>
        <v>0</v>
      </c>
      <c r="S19" s="23">
        <f t="shared" ref="S19:U19" si="34">IF(AH19="",S209,AH19)</f>
        <v>0</v>
      </c>
      <c r="T19" s="23">
        <f t="shared" si="34"/>
        <v>0</v>
      </c>
      <c r="U19" s="23">
        <f t="shared" si="34"/>
        <v>0</v>
      </c>
      <c r="W19" s="79" t="str">
        <f t="shared" si="10"/>
        <v>blank</v>
      </c>
      <c r="X19" s="64"/>
      <c r="Y19" s="64"/>
      <c r="Z19" s="64"/>
      <c r="AA19" s="64"/>
      <c r="AB19" s="60"/>
      <c r="AC19" s="64"/>
      <c r="AD19" s="64"/>
      <c r="AE19" s="64"/>
      <c r="AF19" s="64"/>
      <c r="AG19" s="60"/>
      <c r="AH19" s="64"/>
      <c r="AI19" s="64"/>
      <c r="AJ19" s="64"/>
    </row>
    <row r="20" spans="2:36" ht="15.75" hidden="1" outlineLevel="1" thickBot="1" x14ac:dyDescent="0.3">
      <c r="E20" s="8" t="s">
        <v>27</v>
      </c>
      <c r="F20" s="9">
        <f>SUM(F12:F19)</f>
        <v>0</v>
      </c>
      <c r="G20" s="9">
        <f t="shared" ref="G20:U20" si="35">SUM(G12:G19)</f>
        <v>0</v>
      </c>
      <c r="H20" s="9">
        <f t="shared" si="35"/>
        <v>0</v>
      </c>
      <c r="I20" s="11">
        <f t="shared" si="35"/>
        <v>0</v>
      </c>
      <c r="J20" s="11">
        <f t="shared" si="35"/>
        <v>0</v>
      </c>
      <c r="K20" s="11">
        <f t="shared" si="35"/>
        <v>0</v>
      </c>
      <c r="L20" s="11">
        <f t="shared" si="35"/>
        <v>0</v>
      </c>
      <c r="M20" s="18">
        <f t="shared" si="35"/>
        <v>0</v>
      </c>
      <c r="N20" s="11">
        <f t="shared" si="35"/>
        <v>0</v>
      </c>
      <c r="O20" s="11">
        <f t="shared" si="35"/>
        <v>0</v>
      </c>
      <c r="P20" s="11">
        <f t="shared" si="35"/>
        <v>0</v>
      </c>
      <c r="Q20" s="11">
        <f t="shared" si="35"/>
        <v>0</v>
      </c>
      <c r="R20" s="19">
        <f t="shared" si="35"/>
        <v>0</v>
      </c>
      <c r="S20" s="20">
        <f t="shared" si="35"/>
        <v>0</v>
      </c>
      <c r="T20" s="20">
        <f t="shared" si="35"/>
        <v>0</v>
      </c>
      <c r="U20" s="20">
        <f t="shared" si="35"/>
        <v>0</v>
      </c>
    </row>
    <row r="21" spans="2:36" s="60" customFormat="1" ht="15.75" hidden="1" outlineLevel="1" thickTop="1" x14ac:dyDescent="0.25">
      <c r="E21" s="80"/>
      <c r="F21" s="81"/>
      <c r="G21" s="81"/>
      <c r="H21" s="81"/>
      <c r="I21" s="82"/>
      <c r="J21" s="82"/>
      <c r="K21" s="82"/>
      <c r="L21" s="82"/>
      <c r="M21" s="81"/>
      <c r="N21" s="82"/>
      <c r="O21" s="82"/>
      <c r="P21" s="82"/>
      <c r="Q21" s="82"/>
      <c r="R21" s="83"/>
      <c r="S21" s="83"/>
      <c r="T21" s="83"/>
      <c r="U21" s="83"/>
    </row>
    <row r="22" spans="2:36" s="60" customFormat="1" hidden="1" outlineLevel="1" x14ac:dyDescent="0.25">
      <c r="E22" s="80"/>
      <c r="F22" s="81"/>
      <c r="G22" s="81"/>
      <c r="H22" s="81"/>
      <c r="I22" s="82"/>
      <c r="J22" s="82"/>
      <c r="K22" s="82"/>
      <c r="L22" s="82"/>
      <c r="M22" s="81"/>
      <c r="N22" s="82"/>
      <c r="O22" s="82"/>
      <c r="P22" s="82"/>
      <c r="Q22" s="82"/>
      <c r="R22" s="83"/>
      <c r="S22" s="83"/>
      <c r="T22" s="83"/>
      <c r="U22" s="83"/>
    </row>
    <row r="23" spans="2:36" s="60" customFormat="1" hidden="1" outlineLevel="1" x14ac:dyDescent="0.25">
      <c r="E23" s="80"/>
      <c r="F23" s="81"/>
      <c r="G23" s="81"/>
      <c r="H23" s="81"/>
      <c r="I23" s="82"/>
      <c r="J23" s="82"/>
      <c r="K23" s="82"/>
      <c r="L23" s="82"/>
      <c r="M23" s="81"/>
      <c r="N23" s="82"/>
      <c r="O23" s="82"/>
      <c r="P23" s="82"/>
      <c r="Q23" s="82"/>
      <c r="R23" s="83"/>
      <c r="S23" s="83"/>
      <c r="T23" s="83"/>
      <c r="U23" s="83"/>
    </row>
    <row r="24" spans="2:36" s="60" customFormat="1" hidden="1" outlineLevel="1" x14ac:dyDescent="0.25">
      <c r="E24" s="48" t="s">
        <v>76</v>
      </c>
      <c r="F24" s="81"/>
      <c r="G24" s="81"/>
      <c r="H24" s="81"/>
      <c r="I24" s="82"/>
      <c r="J24" s="82"/>
      <c r="K24" s="82"/>
      <c r="L24" s="82"/>
      <c r="M24" s="81"/>
      <c r="N24" s="82"/>
      <c r="O24" s="82"/>
      <c r="P24" s="82"/>
      <c r="Q24" s="82"/>
      <c r="R24" s="83"/>
      <c r="S24" s="83"/>
      <c r="T24" s="83"/>
      <c r="U24" s="83"/>
      <c r="W24" s="4" t="str">
        <f>E24</f>
        <v>Overhead COGS</v>
      </c>
      <c r="X24"/>
      <c r="Y24"/>
      <c r="Z24"/>
      <c r="AA24"/>
      <c r="AB24"/>
      <c r="AC24"/>
      <c r="AD24"/>
      <c r="AE24"/>
      <c r="AF24"/>
      <c r="AG24"/>
      <c r="AH24"/>
      <c r="AI24"/>
      <c r="AJ24"/>
    </row>
    <row r="25" spans="2:36" s="60" customFormat="1" hidden="1" outlineLevel="1" x14ac:dyDescent="0.25">
      <c r="E25" t="s">
        <v>25</v>
      </c>
      <c r="F25" s="81"/>
      <c r="G25" s="81"/>
      <c r="H25" s="81"/>
      <c r="I25" s="82"/>
      <c r="J25" s="82"/>
      <c r="K25" s="82"/>
      <c r="L25" s="82"/>
      <c r="M25" s="81"/>
      <c r="N25" s="82"/>
      <c r="O25" s="82"/>
      <c r="P25" s="82"/>
      <c r="Q25" s="82"/>
      <c r="R25" s="83"/>
      <c r="S25" s="83"/>
      <c r="T25" s="83"/>
      <c r="U25" s="83"/>
      <c r="W25" s="61" t="s">
        <v>62</v>
      </c>
      <c r="X25"/>
      <c r="Y25"/>
      <c r="Z25"/>
      <c r="AA25"/>
      <c r="AB25"/>
      <c r="AC25"/>
      <c r="AD25"/>
      <c r="AE25"/>
      <c r="AF25"/>
      <c r="AG25"/>
      <c r="AH25"/>
      <c r="AI25"/>
      <c r="AJ25"/>
    </row>
    <row r="26" spans="2:36" s="60" customFormat="1" hidden="1" outlineLevel="1" x14ac:dyDescent="0.25">
      <c r="E26" s="80"/>
      <c r="F26" s="81"/>
      <c r="G26" s="81"/>
      <c r="H26" s="81"/>
      <c r="I26" s="82"/>
      <c r="J26" s="82"/>
      <c r="K26" s="82"/>
      <c r="L26" s="82"/>
      <c r="M26" s="81"/>
      <c r="N26" s="82"/>
      <c r="O26" s="82"/>
      <c r="P26" s="82"/>
      <c r="Q26" s="82"/>
      <c r="R26" s="83"/>
      <c r="S26" s="83"/>
      <c r="T26" s="83"/>
      <c r="U26" s="83"/>
      <c r="W26"/>
      <c r="X26"/>
      <c r="Y26"/>
      <c r="Z26"/>
      <c r="AA26"/>
      <c r="AB26"/>
      <c r="AC26"/>
      <c r="AD26"/>
      <c r="AE26"/>
      <c r="AF26"/>
      <c r="AG26"/>
      <c r="AH26"/>
      <c r="AI26"/>
      <c r="AJ26"/>
    </row>
    <row r="27" spans="2:36" s="60" customFormat="1" hidden="1" outlineLevel="1" x14ac:dyDescent="0.25">
      <c r="E27" s="80"/>
      <c r="F27" s="12">
        <f>Inputs!$C$7</f>
        <v>2023</v>
      </c>
      <c r="G27" s="12">
        <f>Inputs!$C$8</f>
        <v>2024</v>
      </c>
      <c r="H27" s="12">
        <f>Inputs!$C$9</f>
        <v>2025</v>
      </c>
      <c r="I27" s="13" t="s">
        <v>1</v>
      </c>
      <c r="J27" s="13" t="s">
        <v>2</v>
      </c>
      <c r="K27" s="13" t="s">
        <v>3</v>
      </c>
      <c r="L27" s="13" t="s">
        <v>4</v>
      </c>
      <c r="M27" s="13">
        <f>Inputs!$C$10</f>
        <v>2026</v>
      </c>
      <c r="N27" s="14" t="s">
        <v>1</v>
      </c>
      <c r="O27" s="14" t="s">
        <v>2</v>
      </c>
      <c r="P27" s="14" t="s">
        <v>3</v>
      </c>
      <c r="Q27" s="14" t="s">
        <v>4</v>
      </c>
      <c r="R27" s="15">
        <f>Inputs!$C$11</f>
        <v>2027</v>
      </c>
      <c r="S27" s="16">
        <f>Inputs!$C$12</f>
        <v>2028</v>
      </c>
      <c r="T27" s="16">
        <f>Inputs!$C$13</f>
        <v>2029</v>
      </c>
      <c r="U27" s="16">
        <f>Inputs!$C$14</f>
        <v>2030</v>
      </c>
      <c r="W27"/>
      <c r="X27" s="13" t="s">
        <v>1</v>
      </c>
      <c r="Y27" s="13" t="s">
        <v>2</v>
      </c>
      <c r="Z27" s="13" t="s">
        <v>3</v>
      </c>
      <c r="AA27" s="13" t="s">
        <v>4</v>
      </c>
      <c r="AB27" s="13">
        <f>Inputs!$C$10</f>
        <v>2026</v>
      </c>
      <c r="AC27" s="14" t="s">
        <v>1</v>
      </c>
      <c r="AD27" s="14" t="s">
        <v>2</v>
      </c>
      <c r="AE27" s="14" t="s">
        <v>3</v>
      </c>
      <c r="AF27" s="14" t="s">
        <v>4</v>
      </c>
      <c r="AG27" s="15">
        <f>Inputs!$C$11</f>
        <v>2027</v>
      </c>
      <c r="AH27" s="16">
        <f>Inputs!$C$12</f>
        <v>2028</v>
      </c>
      <c r="AI27" s="16">
        <f>Inputs!$C$13</f>
        <v>2029</v>
      </c>
      <c r="AJ27" s="16">
        <f>Inputs!$C$14</f>
        <v>2030</v>
      </c>
    </row>
    <row r="28" spans="2:36" s="60" customFormat="1" hidden="1" outlineLevel="1" x14ac:dyDescent="0.25">
      <c r="E28" s="80"/>
      <c r="F28" s="71" t="s">
        <v>63</v>
      </c>
      <c r="G28" s="71" t="s">
        <v>63</v>
      </c>
      <c r="H28" s="71" t="s">
        <v>63</v>
      </c>
      <c r="I28" s="71" t="s">
        <v>63</v>
      </c>
      <c r="J28" s="71" t="s">
        <v>63</v>
      </c>
      <c r="K28" s="71" t="s">
        <v>63</v>
      </c>
      <c r="L28" s="71" t="s">
        <v>63</v>
      </c>
      <c r="M28" s="71" t="s">
        <v>63</v>
      </c>
      <c r="N28" s="71" t="s">
        <v>63</v>
      </c>
      <c r="O28" s="71" t="s">
        <v>63</v>
      </c>
      <c r="P28" s="71" t="s">
        <v>63</v>
      </c>
      <c r="Q28" s="71" t="s">
        <v>63</v>
      </c>
      <c r="R28" s="71" t="s">
        <v>63</v>
      </c>
      <c r="S28" s="71" t="s">
        <v>63</v>
      </c>
      <c r="T28" s="71" t="s">
        <v>63</v>
      </c>
      <c r="U28" s="71" t="s">
        <v>63</v>
      </c>
      <c r="W28"/>
      <c r="X28" s="63" t="s">
        <v>30</v>
      </c>
      <c r="Y28" s="63" t="s">
        <v>30</v>
      </c>
      <c r="Z28" s="63" t="s">
        <v>30</v>
      </c>
      <c r="AA28" s="63" t="s">
        <v>30</v>
      </c>
      <c r="AB28" s="62"/>
      <c r="AC28" s="63" t="s">
        <v>30</v>
      </c>
      <c r="AD28" s="63" t="s">
        <v>30</v>
      </c>
      <c r="AE28" s="63" t="s">
        <v>30</v>
      </c>
      <c r="AF28" s="63" t="s">
        <v>30</v>
      </c>
      <c r="AG28" s="62"/>
      <c r="AH28" s="63" t="s">
        <v>30</v>
      </c>
      <c r="AI28" s="63" t="s">
        <v>30</v>
      </c>
      <c r="AJ28" s="63" t="s">
        <v>30</v>
      </c>
    </row>
    <row r="29" spans="2:36" hidden="1" outlineLevel="1" x14ac:dyDescent="0.25">
      <c r="B29" s="229" t="s">
        <v>195</v>
      </c>
      <c r="C29" s="229" t="s">
        <v>195</v>
      </c>
      <c r="E29" s="78" t="s">
        <v>35</v>
      </c>
      <c r="F29" s="21">
        <f>F219</f>
        <v>0</v>
      </c>
      <c r="G29" s="21">
        <f t="shared" ref="G29:H29" si="36">G219</f>
        <v>0</v>
      </c>
      <c r="H29" s="21">
        <f t="shared" si="36"/>
        <v>0</v>
      </c>
      <c r="I29" s="10">
        <f>IF(X29="",I219,X29)</f>
        <v>0</v>
      </c>
      <c r="J29" s="10">
        <f t="shared" ref="J29:L29" si="37">IF(Y29="",J219,Y29)</f>
        <v>0</v>
      </c>
      <c r="K29" s="10">
        <f t="shared" si="37"/>
        <v>0</v>
      </c>
      <c r="L29" s="10">
        <f t="shared" si="37"/>
        <v>0</v>
      </c>
      <c r="M29" s="17">
        <f>SUM(I29:L29)</f>
        <v>0</v>
      </c>
      <c r="N29" s="10">
        <f t="shared" ref="N29:Q29" si="38">IF(AC29="",N219,AC29)</f>
        <v>0</v>
      </c>
      <c r="O29" s="10">
        <f t="shared" si="38"/>
        <v>0</v>
      </c>
      <c r="P29" s="10">
        <f t="shared" si="38"/>
        <v>0</v>
      </c>
      <c r="Q29" s="10">
        <f t="shared" si="38"/>
        <v>0</v>
      </c>
      <c r="R29" s="22">
        <f>SUM(N29:Q29)</f>
        <v>0</v>
      </c>
      <c r="S29" s="23">
        <f t="shared" ref="S29:U29" si="39">IF(AH29="",S219,AH29)</f>
        <v>0</v>
      </c>
      <c r="T29" s="23">
        <f t="shared" si="39"/>
        <v>0</v>
      </c>
      <c r="U29" s="23">
        <f t="shared" si="39"/>
        <v>0</v>
      </c>
      <c r="W29" s="79" t="str">
        <f>E29</f>
        <v>Fixed Mfg</v>
      </c>
      <c r="X29" s="64"/>
      <c r="Y29" s="64"/>
      <c r="Z29" s="64"/>
      <c r="AA29" s="64"/>
      <c r="AB29" s="60"/>
      <c r="AC29" s="64"/>
      <c r="AD29" s="64"/>
      <c r="AE29" s="64"/>
      <c r="AF29" s="64"/>
      <c r="AG29" s="60"/>
      <c r="AH29" s="64"/>
      <c r="AI29" s="64"/>
      <c r="AJ29" s="64"/>
    </row>
    <row r="30" spans="2:36" hidden="1" outlineLevel="1" x14ac:dyDescent="0.25">
      <c r="B30" s="229" t="s">
        <v>195</v>
      </c>
      <c r="C30" s="229" t="s">
        <v>195</v>
      </c>
      <c r="E30" s="78" t="s">
        <v>77</v>
      </c>
      <c r="F30" s="21">
        <f t="shared" ref="F30:H30" si="40">F220</f>
        <v>0</v>
      </c>
      <c r="G30" s="21">
        <f t="shared" si="40"/>
        <v>0</v>
      </c>
      <c r="H30" s="21">
        <f t="shared" si="40"/>
        <v>0</v>
      </c>
      <c r="I30" s="10">
        <f t="shared" ref="I30:L30" si="41">IF(X30="",I220,X30)</f>
        <v>0</v>
      </c>
      <c r="J30" s="10">
        <f t="shared" si="41"/>
        <v>0</v>
      </c>
      <c r="K30" s="10">
        <f t="shared" si="41"/>
        <v>0</v>
      </c>
      <c r="L30" s="10">
        <f t="shared" si="41"/>
        <v>0</v>
      </c>
      <c r="M30" s="17">
        <f t="shared" ref="M30:M36" si="42">SUM(I30:L30)</f>
        <v>0</v>
      </c>
      <c r="N30" s="10">
        <f t="shared" ref="N30:Q30" si="43">IF(AC30="",N220,AC30)</f>
        <v>0</v>
      </c>
      <c r="O30" s="10">
        <f t="shared" si="43"/>
        <v>0</v>
      </c>
      <c r="P30" s="10">
        <f t="shared" si="43"/>
        <v>0</v>
      </c>
      <c r="Q30" s="10">
        <f t="shared" si="43"/>
        <v>0</v>
      </c>
      <c r="R30" s="22">
        <f t="shared" ref="R30:R36" si="44">SUM(N30:Q30)</f>
        <v>0</v>
      </c>
      <c r="S30" s="23">
        <f t="shared" ref="S30:U30" si="45">IF(AH30="",S220,AH30)</f>
        <v>0</v>
      </c>
      <c r="T30" s="23">
        <f t="shared" si="45"/>
        <v>0</v>
      </c>
      <c r="U30" s="23">
        <f t="shared" si="45"/>
        <v>0</v>
      </c>
      <c r="W30" s="79" t="str">
        <f t="shared" ref="W30:W36" si="46">E30</f>
        <v>blank</v>
      </c>
      <c r="X30" s="64"/>
      <c r="Y30" s="64"/>
      <c r="Z30" s="64"/>
      <c r="AA30" s="64"/>
      <c r="AB30" s="60"/>
      <c r="AC30" s="64"/>
      <c r="AD30" s="64"/>
      <c r="AE30" s="64"/>
      <c r="AF30" s="64"/>
      <c r="AG30" s="60"/>
      <c r="AH30" s="64"/>
      <c r="AI30" s="64"/>
      <c r="AJ30" s="64"/>
    </row>
    <row r="31" spans="2:36" hidden="1" outlineLevel="1" x14ac:dyDescent="0.25">
      <c r="B31" s="229" t="s">
        <v>195</v>
      </c>
      <c r="C31" s="229" t="s">
        <v>195</v>
      </c>
      <c r="E31" s="78" t="s">
        <v>77</v>
      </c>
      <c r="F31" s="21">
        <f t="shared" ref="F31:H31" si="47">F221</f>
        <v>0</v>
      </c>
      <c r="G31" s="21">
        <f t="shared" si="47"/>
        <v>0</v>
      </c>
      <c r="H31" s="21">
        <f t="shared" si="47"/>
        <v>0</v>
      </c>
      <c r="I31" s="10">
        <f t="shared" ref="I31:L31" si="48">IF(X31="",I221,X31)</f>
        <v>0</v>
      </c>
      <c r="J31" s="10">
        <f t="shared" si="48"/>
        <v>0</v>
      </c>
      <c r="K31" s="10">
        <f t="shared" si="48"/>
        <v>0</v>
      </c>
      <c r="L31" s="10">
        <f t="shared" si="48"/>
        <v>0</v>
      </c>
      <c r="M31" s="17">
        <f t="shared" si="42"/>
        <v>0</v>
      </c>
      <c r="N31" s="10">
        <f t="shared" ref="N31:Q31" si="49">IF(AC31="",N221,AC31)</f>
        <v>0</v>
      </c>
      <c r="O31" s="10">
        <f t="shared" si="49"/>
        <v>0</v>
      </c>
      <c r="P31" s="10">
        <f t="shared" si="49"/>
        <v>0</v>
      </c>
      <c r="Q31" s="10">
        <f t="shared" si="49"/>
        <v>0</v>
      </c>
      <c r="R31" s="22">
        <f t="shared" si="44"/>
        <v>0</v>
      </c>
      <c r="S31" s="23">
        <f t="shared" ref="S31:U31" si="50">IF(AH31="",S221,AH31)</f>
        <v>0</v>
      </c>
      <c r="T31" s="23">
        <f t="shared" si="50"/>
        <v>0</v>
      </c>
      <c r="U31" s="23">
        <f t="shared" si="50"/>
        <v>0</v>
      </c>
      <c r="W31" s="79" t="str">
        <f t="shared" si="46"/>
        <v>blank</v>
      </c>
      <c r="X31" s="64"/>
      <c r="Y31" s="64"/>
      <c r="Z31" s="64"/>
      <c r="AA31" s="64"/>
      <c r="AB31" s="60"/>
      <c r="AC31" s="64"/>
      <c r="AD31" s="64"/>
      <c r="AE31" s="64"/>
      <c r="AF31" s="64"/>
      <c r="AG31" s="60"/>
      <c r="AH31" s="64"/>
      <c r="AI31" s="64"/>
      <c r="AJ31" s="64"/>
    </row>
    <row r="32" spans="2:36" hidden="1" outlineLevel="1" x14ac:dyDescent="0.25">
      <c r="B32" s="229" t="s">
        <v>195</v>
      </c>
      <c r="C32" s="229" t="s">
        <v>195</v>
      </c>
      <c r="E32" s="78" t="s">
        <v>77</v>
      </c>
      <c r="F32" s="21">
        <f t="shared" ref="F32:H32" si="51">F222</f>
        <v>0</v>
      </c>
      <c r="G32" s="21">
        <f t="shared" si="51"/>
        <v>0</v>
      </c>
      <c r="H32" s="21">
        <f t="shared" si="51"/>
        <v>0</v>
      </c>
      <c r="I32" s="10">
        <f t="shared" ref="I32:L32" si="52">IF(X32="",I222,X32)</f>
        <v>0</v>
      </c>
      <c r="J32" s="10">
        <f t="shared" si="52"/>
        <v>0</v>
      </c>
      <c r="K32" s="10">
        <f t="shared" si="52"/>
        <v>0</v>
      </c>
      <c r="L32" s="10">
        <f t="shared" si="52"/>
        <v>0</v>
      </c>
      <c r="M32" s="17">
        <f t="shared" si="42"/>
        <v>0</v>
      </c>
      <c r="N32" s="10">
        <f t="shared" ref="N32:Q32" si="53">IF(AC32="",N222,AC32)</f>
        <v>0</v>
      </c>
      <c r="O32" s="10">
        <f t="shared" si="53"/>
        <v>0</v>
      </c>
      <c r="P32" s="10">
        <f t="shared" si="53"/>
        <v>0</v>
      </c>
      <c r="Q32" s="10">
        <f t="shared" si="53"/>
        <v>0</v>
      </c>
      <c r="R32" s="22">
        <f t="shared" si="44"/>
        <v>0</v>
      </c>
      <c r="S32" s="23">
        <f t="shared" ref="S32:U32" si="54">IF(AH32="",S222,AH32)</f>
        <v>0</v>
      </c>
      <c r="T32" s="23">
        <f t="shared" si="54"/>
        <v>0</v>
      </c>
      <c r="U32" s="23">
        <f t="shared" si="54"/>
        <v>0</v>
      </c>
      <c r="W32" s="79" t="str">
        <f t="shared" si="46"/>
        <v>blank</v>
      </c>
      <c r="X32" s="64"/>
      <c r="Y32" s="64"/>
      <c r="Z32" s="64"/>
      <c r="AA32" s="64"/>
      <c r="AB32" s="60"/>
      <c r="AC32" s="64"/>
      <c r="AD32" s="64"/>
      <c r="AE32" s="64"/>
      <c r="AF32" s="64"/>
      <c r="AG32" s="60"/>
      <c r="AH32" s="64"/>
      <c r="AI32" s="64"/>
      <c r="AJ32" s="64"/>
    </row>
    <row r="33" spans="2:36" hidden="1" outlineLevel="1" x14ac:dyDescent="0.25">
      <c r="B33" s="229" t="s">
        <v>195</v>
      </c>
      <c r="C33" s="229" t="s">
        <v>195</v>
      </c>
      <c r="E33" s="78" t="s">
        <v>77</v>
      </c>
      <c r="F33" s="21">
        <f t="shared" ref="F33:H33" si="55">F223</f>
        <v>0</v>
      </c>
      <c r="G33" s="21">
        <f t="shared" si="55"/>
        <v>0</v>
      </c>
      <c r="H33" s="21">
        <f t="shared" si="55"/>
        <v>0</v>
      </c>
      <c r="I33" s="10">
        <f t="shared" ref="I33:L33" si="56">IF(X33="",I223,X33)</f>
        <v>0</v>
      </c>
      <c r="J33" s="10">
        <f t="shared" si="56"/>
        <v>0</v>
      </c>
      <c r="K33" s="10">
        <f t="shared" si="56"/>
        <v>0</v>
      </c>
      <c r="L33" s="10">
        <f t="shared" si="56"/>
        <v>0</v>
      </c>
      <c r="M33" s="17">
        <f t="shared" si="42"/>
        <v>0</v>
      </c>
      <c r="N33" s="10">
        <f t="shared" ref="N33:Q33" si="57">IF(AC33="",N223,AC33)</f>
        <v>0</v>
      </c>
      <c r="O33" s="10">
        <f t="shared" si="57"/>
        <v>0</v>
      </c>
      <c r="P33" s="10">
        <f t="shared" si="57"/>
        <v>0</v>
      </c>
      <c r="Q33" s="10">
        <f t="shared" si="57"/>
        <v>0</v>
      </c>
      <c r="R33" s="22">
        <f t="shared" si="44"/>
        <v>0</v>
      </c>
      <c r="S33" s="23">
        <f t="shared" ref="S33:U33" si="58">IF(AH33="",S223,AH33)</f>
        <v>0</v>
      </c>
      <c r="T33" s="23">
        <f t="shared" si="58"/>
        <v>0</v>
      </c>
      <c r="U33" s="23">
        <f t="shared" si="58"/>
        <v>0</v>
      </c>
      <c r="W33" s="79" t="str">
        <f t="shared" si="46"/>
        <v>blank</v>
      </c>
      <c r="X33" s="64"/>
      <c r="Y33" s="64"/>
      <c r="Z33" s="64"/>
      <c r="AA33" s="64"/>
      <c r="AB33" s="60"/>
      <c r="AC33" s="64"/>
      <c r="AD33" s="64"/>
      <c r="AE33" s="64"/>
      <c r="AF33" s="64"/>
      <c r="AG33" s="60"/>
      <c r="AH33" s="64"/>
      <c r="AI33" s="64"/>
      <c r="AJ33" s="64"/>
    </row>
    <row r="34" spans="2:36" hidden="1" outlineLevel="1" x14ac:dyDescent="0.25">
      <c r="B34" s="229" t="s">
        <v>195</v>
      </c>
      <c r="C34" s="229" t="s">
        <v>195</v>
      </c>
      <c r="E34" s="78" t="s">
        <v>77</v>
      </c>
      <c r="F34" s="21">
        <f t="shared" ref="F34:H34" si="59">F224</f>
        <v>0</v>
      </c>
      <c r="G34" s="21">
        <f t="shared" si="59"/>
        <v>0</v>
      </c>
      <c r="H34" s="21">
        <f t="shared" si="59"/>
        <v>0</v>
      </c>
      <c r="I34" s="10">
        <f t="shared" ref="I34:L34" si="60">IF(X34="",I224,X34)</f>
        <v>0</v>
      </c>
      <c r="J34" s="10">
        <f t="shared" si="60"/>
        <v>0</v>
      </c>
      <c r="K34" s="10">
        <f t="shared" si="60"/>
        <v>0</v>
      </c>
      <c r="L34" s="10">
        <f t="shared" si="60"/>
        <v>0</v>
      </c>
      <c r="M34" s="17">
        <f t="shared" si="42"/>
        <v>0</v>
      </c>
      <c r="N34" s="10">
        <f t="shared" ref="N34:Q34" si="61">IF(AC34="",N224,AC34)</f>
        <v>0</v>
      </c>
      <c r="O34" s="10">
        <f t="shared" si="61"/>
        <v>0</v>
      </c>
      <c r="P34" s="10">
        <f t="shared" si="61"/>
        <v>0</v>
      </c>
      <c r="Q34" s="10">
        <f t="shared" si="61"/>
        <v>0</v>
      </c>
      <c r="R34" s="22">
        <f t="shared" si="44"/>
        <v>0</v>
      </c>
      <c r="S34" s="23">
        <f t="shared" ref="S34:U34" si="62">IF(AH34="",S224,AH34)</f>
        <v>0</v>
      </c>
      <c r="T34" s="23">
        <f t="shared" si="62"/>
        <v>0</v>
      </c>
      <c r="U34" s="23">
        <f t="shared" si="62"/>
        <v>0</v>
      </c>
      <c r="W34" s="79" t="str">
        <f t="shared" si="46"/>
        <v>blank</v>
      </c>
      <c r="X34" s="64"/>
      <c r="Y34" s="64"/>
      <c r="Z34" s="64"/>
      <c r="AA34" s="64"/>
      <c r="AB34" s="60"/>
      <c r="AC34" s="64"/>
      <c r="AD34" s="64"/>
      <c r="AE34" s="64"/>
      <c r="AF34" s="64"/>
      <c r="AG34" s="60"/>
      <c r="AH34" s="64"/>
      <c r="AI34" s="64"/>
      <c r="AJ34" s="64"/>
    </row>
    <row r="35" spans="2:36" hidden="1" outlineLevel="1" x14ac:dyDescent="0.25">
      <c r="B35" s="229" t="s">
        <v>195</v>
      </c>
      <c r="C35" s="229" t="s">
        <v>195</v>
      </c>
      <c r="E35" s="78" t="s">
        <v>77</v>
      </c>
      <c r="F35" s="21">
        <f t="shared" ref="F35:H35" si="63">F225</f>
        <v>0</v>
      </c>
      <c r="G35" s="21">
        <f t="shared" si="63"/>
        <v>0</v>
      </c>
      <c r="H35" s="21">
        <f t="shared" si="63"/>
        <v>0</v>
      </c>
      <c r="I35" s="10">
        <f t="shared" ref="I35:L35" si="64">IF(X35="",I225,X35)</f>
        <v>0</v>
      </c>
      <c r="J35" s="10">
        <f t="shared" si="64"/>
        <v>0</v>
      </c>
      <c r="K35" s="10">
        <f t="shared" si="64"/>
        <v>0</v>
      </c>
      <c r="L35" s="10">
        <f t="shared" si="64"/>
        <v>0</v>
      </c>
      <c r="M35" s="17">
        <f t="shared" si="42"/>
        <v>0</v>
      </c>
      <c r="N35" s="10">
        <f t="shared" ref="N35:Q35" si="65">IF(AC35="",N225,AC35)</f>
        <v>0</v>
      </c>
      <c r="O35" s="10">
        <f t="shared" si="65"/>
        <v>0</v>
      </c>
      <c r="P35" s="10">
        <f t="shared" si="65"/>
        <v>0</v>
      </c>
      <c r="Q35" s="10">
        <f t="shared" si="65"/>
        <v>0</v>
      </c>
      <c r="R35" s="22">
        <f t="shared" si="44"/>
        <v>0</v>
      </c>
      <c r="S35" s="23">
        <f t="shared" ref="S35:U35" si="66">IF(AH35="",S225,AH35)</f>
        <v>0</v>
      </c>
      <c r="T35" s="23">
        <f t="shared" si="66"/>
        <v>0</v>
      </c>
      <c r="U35" s="23">
        <f t="shared" si="66"/>
        <v>0</v>
      </c>
      <c r="W35" s="79" t="str">
        <f t="shared" si="46"/>
        <v>blank</v>
      </c>
      <c r="X35" s="64"/>
      <c r="Y35" s="64"/>
      <c r="Z35" s="64"/>
      <c r="AA35" s="64"/>
      <c r="AB35" s="60"/>
      <c r="AC35" s="64"/>
      <c r="AD35" s="64"/>
      <c r="AE35" s="64"/>
      <c r="AF35" s="64"/>
      <c r="AG35" s="60"/>
      <c r="AH35" s="64"/>
      <c r="AI35" s="64"/>
      <c r="AJ35" s="64"/>
    </row>
    <row r="36" spans="2:36" hidden="1" outlineLevel="1" x14ac:dyDescent="0.25">
      <c r="B36" s="229" t="s">
        <v>195</v>
      </c>
      <c r="C36" s="229" t="s">
        <v>195</v>
      </c>
      <c r="E36" s="78" t="s">
        <v>77</v>
      </c>
      <c r="F36" s="21">
        <f t="shared" ref="F36:H36" si="67">F226</f>
        <v>0</v>
      </c>
      <c r="G36" s="21">
        <f t="shared" si="67"/>
        <v>0</v>
      </c>
      <c r="H36" s="21">
        <f t="shared" si="67"/>
        <v>0</v>
      </c>
      <c r="I36" s="10">
        <f t="shared" ref="I36:L36" si="68">IF(X36="",I226,X36)</f>
        <v>0</v>
      </c>
      <c r="J36" s="10">
        <f t="shared" si="68"/>
        <v>0</v>
      </c>
      <c r="K36" s="10">
        <f t="shared" si="68"/>
        <v>0</v>
      </c>
      <c r="L36" s="10">
        <f t="shared" si="68"/>
        <v>0</v>
      </c>
      <c r="M36" s="17">
        <f t="shared" si="42"/>
        <v>0</v>
      </c>
      <c r="N36" s="10">
        <f t="shared" ref="N36:Q36" si="69">IF(AC36="",N226,AC36)</f>
        <v>0</v>
      </c>
      <c r="O36" s="10">
        <f t="shared" si="69"/>
        <v>0</v>
      </c>
      <c r="P36" s="10">
        <f t="shared" si="69"/>
        <v>0</v>
      </c>
      <c r="Q36" s="10">
        <f t="shared" si="69"/>
        <v>0</v>
      </c>
      <c r="R36" s="22">
        <f t="shared" si="44"/>
        <v>0</v>
      </c>
      <c r="S36" s="23">
        <f t="shared" ref="S36:U36" si="70">IF(AH36="",S226,AH36)</f>
        <v>0</v>
      </c>
      <c r="T36" s="23">
        <f t="shared" si="70"/>
        <v>0</v>
      </c>
      <c r="U36" s="23">
        <f t="shared" si="70"/>
        <v>0</v>
      </c>
      <c r="W36" s="79" t="str">
        <f t="shared" si="46"/>
        <v>blank</v>
      </c>
      <c r="X36" s="64"/>
      <c r="Y36" s="64"/>
      <c r="Z36" s="64"/>
      <c r="AA36" s="64"/>
      <c r="AB36" s="60"/>
      <c r="AC36" s="64"/>
      <c r="AD36" s="64"/>
      <c r="AE36" s="64"/>
      <c r="AF36" s="64"/>
      <c r="AG36" s="60"/>
      <c r="AH36" s="64"/>
      <c r="AI36" s="64"/>
      <c r="AJ36" s="64"/>
    </row>
    <row r="37" spans="2:36" ht="15.75" hidden="1" outlineLevel="1" thickBot="1" x14ac:dyDescent="0.3">
      <c r="E37" s="8" t="s">
        <v>27</v>
      </c>
      <c r="F37" s="9">
        <f>SUM(F29:F36)</f>
        <v>0</v>
      </c>
      <c r="G37" s="9">
        <f t="shared" ref="G37" si="71">SUM(G29:G36)</f>
        <v>0</v>
      </c>
      <c r="H37" s="9">
        <f t="shared" ref="H37" si="72">SUM(H29:H36)</f>
        <v>0</v>
      </c>
      <c r="I37" s="11">
        <f t="shared" ref="I37" si="73">SUM(I29:I36)</f>
        <v>0</v>
      </c>
      <c r="J37" s="11">
        <f t="shared" ref="J37" si="74">SUM(J29:J36)</f>
        <v>0</v>
      </c>
      <c r="K37" s="11">
        <f t="shared" ref="K37" si="75">SUM(K29:K36)</f>
        <v>0</v>
      </c>
      <c r="L37" s="11">
        <f t="shared" ref="L37" si="76">SUM(L29:L36)</f>
        <v>0</v>
      </c>
      <c r="M37" s="18">
        <f t="shared" ref="M37" si="77">SUM(M29:M36)</f>
        <v>0</v>
      </c>
      <c r="N37" s="11">
        <f t="shared" ref="N37" si="78">SUM(N29:N36)</f>
        <v>0</v>
      </c>
      <c r="O37" s="11">
        <f t="shared" ref="O37" si="79">SUM(O29:O36)</f>
        <v>0</v>
      </c>
      <c r="P37" s="11">
        <f t="shared" ref="P37" si="80">SUM(P29:P36)</f>
        <v>0</v>
      </c>
      <c r="Q37" s="11">
        <f t="shared" ref="Q37" si="81">SUM(Q29:Q36)</f>
        <v>0</v>
      </c>
      <c r="R37" s="19">
        <f t="shared" ref="R37" si="82">SUM(R29:R36)</f>
        <v>0</v>
      </c>
      <c r="S37" s="20">
        <f t="shared" ref="S37" si="83">SUM(S29:S36)</f>
        <v>0</v>
      </c>
      <c r="T37" s="20">
        <f t="shared" ref="T37" si="84">SUM(T29:T36)</f>
        <v>0</v>
      </c>
      <c r="U37" s="20">
        <f t="shared" ref="U37" si="85">SUM(U29:U36)</f>
        <v>0</v>
      </c>
    </row>
    <row r="38" spans="2:36" ht="15.75" hidden="1" outlineLevel="1" thickTop="1" x14ac:dyDescent="0.25"/>
    <row r="39" spans="2:36" hidden="1" outlineLevel="1" x14ac:dyDescent="0.25"/>
    <row r="40" spans="2:36" hidden="1" outlineLevel="1" x14ac:dyDescent="0.25"/>
    <row r="41" spans="2:36" ht="18.75" collapsed="1" x14ac:dyDescent="0.3">
      <c r="B41" s="4" t="s">
        <v>34</v>
      </c>
      <c r="C41" s="4" t="s">
        <v>387</v>
      </c>
      <c r="E41" s="53" t="str">
        <f>"Scenario 2: "&amp;Inputs!B23</f>
        <v>Scenario 2: Scenario 2</v>
      </c>
      <c r="F41" s="49"/>
      <c r="G41" s="49"/>
      <c r="H41" s="49"/>
      <c r="I41" s="49"/>
      <c r="J41" s="49"/>
      <c r="K41" s="49"/>
      <c r="L41" s="49"/>
      <c r="M41" s="49"/>
      <c r="N41" s="49"/>
      <c r="O41" s="49"/>
      <c r="P41" s="49"/>
      <c r="Q41" s="49"/>
      <c r="R41" s="49"/>
      <c r="S41" s="49"/>
      <c r="T41" s="49"/>
      <c r="U41" s="49"/>
    </row>
    <row r="42" spans="2:36" hidden="1" outlineLevel="1" x14ac:dyDescent="0.25">
      <c r="E42" s="52" t="str">
        <f>Inputs!C23</f>
        <v>Scenario 2 Description</v>
      </c>
    </row>
    <row r="43" spans="2:36" hidden="1" outlineLevel="1" x14ac:dyDescent="0.25"/>
    <row r="44" spans="2:36" hidden="1" outlineLevel="1" x14ac:dyDescent="0.25"/>
    <row r="45" spans="2:36" hidden="1" outlineLevel="1" x14ac:dyDescent="0.25">
      <c r="E45" s="4" t="s">
        <v>8</v>
      </c>
      <c r="W45" s="4" t="s">
        <v>8</v>
      </c>
    </row>
    <row r="46" spans="2:36" hidden="1" outlineLevel="1" x14ac:dyDescent="0.25">
      <c r="E46" t="s">
        <v>25</v>
      </c>
      <c r="W46" s="61" t="s">
        <v>62</v>
      </c>
    </row>
    <row r="47" spans="2:36" hidden="1" outlineLevel="1" x14ac:dyDescent="0.25"/>
    <row r="48" spans="2:36" hidden="1" outlineLevel="1" x14ac:dyDescent="0.25">
      <c r="F48" s="12">
        <f>Inputs!$C$7</f>
        <v>2023</v>
      </c>
      <c r="G48" s="12">
        <f>Inputs!$C$8</f>
        <v>2024</v>
      </c>
      <c r="H48" s="12">
        <f>Inputs!$C$9</f>
        <v>2025</v>
      </c>
      <c r="I48" s="13" t="s">
        <v>1</v>
      </c>
      <c r="J48" s="13" t="s">
        <v>2</v>
      </c>
      <c r="K48" s="13" t="s">
        <v>3</v>
      </c>
      <c r="L48" s="13" t="s">
        <v>4</v>
      </c>
      <c r="M48" s="13">
        <f>Inputs!$C$10</f>
        <v>2026</v>
      </c>
      <c r="N48" s="14" t="s">
        <v>1</v>
      </c>
      <c r="O48" s="14" t="s">
        <v>2</v>
      </c>
      <c r="P48" s="14" t="s">
        <v>3</v>
      </c>
      <c r="Q48" s="14" t="s">
        <v>4</v>
      </c>
      <c r="R48" s="15">
        <f>Inputs!$C$11</f>
        <v>2027</v>
      </c>
      <c r="S48" s="16">
        <f>Inputs!$C$12</f>
        <v>2028</v>
      </c>
      <c r="T48" s="16">
        <f>Inputs!$C$13</f>
        <v>2029</v>
      </c>
      <c r="U48" s="16">
        <f>Inputs!$C$14</f>
        <v>2030</v>
      </c>
      <c r="X48" s="13" t="s">
        <v>1</v>
      </c>
      <c r="Y48" s="13" t="s">
        <v>2</v>
      </c>
      <c r="Z48" s="13" t="s">
        <v>3</v>
      </c>
      <c r="AA48" s="13" t="s">
        <v>4</v>
      </c>
      <c r="AB48" s="13">
        <f>Inputs!$C$10</f>
        <v>2026</v>
      </c>
      <c r="AC48" s="14" t="s">
        <v>1</v>
      </c>
      <c r="AD48" s="14" t="s">
        <v>2</v>
      </c>
      <c r="AE48" s="14" t="s">
        <v>3</v>
      </c>
      <c r="AF48" s="14" t="s">
        <v>4</v>
      </c>
      <c r="AG48" s="15">
        <f>Inputs!$C$11</f>
        <v>2027</v>
      </c>
      <c r="AH48" s="16">
        <f>Inputs!$C$12</f>
        <v>2028</v>
      </c>
      <c r="AI48" s="16">
        <f>Inputs!$C$13</f>
        <v>2029</v>
      </c>
      <c r="AJ48" s="16">
        <f>Inputs!$C$14</f>
        <v>2030</v>
      </c>
    </row>
    <row r="49" spans="2:36" hidden="1" outlineLevel="1" x14ac:dyDescent="0.25">
      <c r="F49" s="71" t="s">
        <v>63</v>
      </c>
      <c r="G49" s="71" t="s">
        <v>63</v>
      </c>
      <c r="H49" s="71" t="s">
        <v>63</v>
      </c>
      <c r="I49" s="71" t="s">
        <v>63</v>
      </c>
      <c r="J49" s="71" t="s">
        <v>63</v>
      </c>
      <c r="K49" s="71" t="s">
        <v>63</v>
      </c>
      <c r="L49" s="71" t="s">
        <v>63</v>
      </c>
      <c r="M49" s="71" t="s">
        <v>63</v>
      </c>
      <c r="N49" s="71" t="s">
        <v>63</v>
      </c>
      <c r="O49" s="71" t="s">
        <v>63</v>
      </c>
      <c r="P49" s="71" t="s">
        <v>63</v>
      </c>
      <c r="Q49" s="71" t="s">
        <v>63</v>
      </c>
      <c r="R49" s="71" t="s">
        <v>63</v>
      </c>
      <c r="S49" s="71" t="s">
        <v>63</v>
      </c>
      <c r="T49" s="71" t="s">
        <v>63</v>
      </c>
      <c r="U49" s="71" t="s">
        <v>63</v>
      </c>
      <c r="X49" s="63" t="s">
        <v>30</v>
      </c>
      <c r="Y49" s="63" t="s">
        <v>30</v>
      </c>
      <c r="Z49" s="63" t="s">
        <v>30</v>
      </c>
      <c r="AA49" s="63" t="s">
        <v>30</v>
      </c>
      <c r="AB49" s="62"/>
      <c r="AC49" s="63" t="s">
        <v>30</v>
      </c>
      <c r="AD49" s="63" t="s">
        <v>30</v>
      </c>
      <c r="AE49" s="63" t="s">
        <v>30</v>
      </c>
      <c r="AF49" s="63" t="s">
        <v>30</v>
      </c>
      <c r="AG49" s="62"/>
      <c r="AH49" s="63" t="s">
        <v>30</v>
      </c>
      <c r="AI49" s="63" t="s">
        <v>30</v>
      </c>
      <c r="AJ49" s="63" t="s">
        <v>30</v>
      </c>
    </row>
    <row r="50" spans="2:36" hidden="1" outlineLevel="1" x14ac:dyDescent="0.25">
      <c r="B50" s="229" t="s">
        <v>195</v>
      </c>
      <c r="C50" s="229" t="s">
        <v>195</v>
      </c>
      <c r="E50" s="78" t="s">
        <v>8</v>
      </c>
      <c r="F50" s="21">
        <f>F202</f>
        <v>0</v>
      </c>
      <c r="G50" s="21">
        <f t="shared" ref="G50:H50" si="86">G202</f>
        <v>0</v>
      </c>
      <c r="H50" s="21">
        <f t="shared" si="86"/>
        <v>0</v>
      </c>
      <c r="I50" s="10">
        <f>IF(X50="",I202,X50)</f>
        <v>0</v>
      </c>
      <c r="J50" s="10">
        <f t="shared" ref="J50:L50" si="87">IF(Y50="",J202,Y50)</f>
        <v>0</v>
      </c>
      <c r="K50" s="10">
        <f t="shared" si="87"/>
        <v>0</v>
      </c>
      <c r="L50" s="10">
        <f t="shared" si="87"/>
        <v>0</v>
      </c>
      <c r="M50" s="17">
        <f>SUM(I50:L50)</f>
        <v>0</v>
      </c>
      <c r="N50" s="10">
        <f t="shared" ref="N50:Q50" si="88">IF(AC50="",N202,AC50)</f>
        <v>0</v>
      </c>
      <c r="O50" s="10">
        <f t="shared" si="88"/>
        <v>0</v>
      </c>
      <c r="P50" s="10">
        <f t="shared" si="88"/>
        <v>0</v>
      </c>
      <c r="Q50" s="10">
        <f t="shared" si="88"/>
        <v>0</v>
      </c>
      <c r="R50" s="22">
        <f t="shared" ref="R50:R57" si="89">SUM(N50:Q50)</f>
        <v>0</v>
      </c>
      <c r="S50" s="23">
        <f t="shared" ref="S50:U50" si="90">IF(AH50="",S202,AH50)</f>
        <v>0</v>
      </c>
      <c r="T50" s="23">
        <f t="shared" si="90"/>
        <v>0</v>
      </c>
      <c r="U50" s="23">
        <f t="shared" si="90"/>
        <v>0</v>
      </c>
      <c r="W50" s="79" t="str">
        <f>E50</f>
        <v>Variances</v>
      </c>
      <c r="X50" s="64"/>
      <c r="Y50" s="64"/>
      <c r="Z50" s="64"/>
      <c r="AA50" s="64"/>
      <c r="AB50" s="60"/>
      <c r="AC50" s="64"/>
      <c r="AD50" s="64"/>
      <c r="AE50" s="64"/>
      <c r="AF50" s="64"/>
      <c r="AG50" s="60"/>
      <c r="AH50" s="64"/>
      <c r="AI50" s="64"/>
      <c r="AJ50" s="64"/>
    </row>
    <row r="51" spans="2:36" hidden="1" outlineLevel="1" x14ac:dyDescent="0.25">
      <c r="B51" s="229" t="s">
        <v>195</v>
      </c>
      <c r="C51" s="229" t="s">
        <v>195</v>
      </c>
      <c r="E51" s="78" t="s">
        <v>75</v>
      </c>
      <c r="F51" s="21">
        <f t="shared" ref="F51:H51" si="91">F203</f>
        <v>0</v>
      </c>
      <c r="G51" s="21">
        <f t="shared" si="91"/>
        <v>0</v>
      </c>
      <c r="H51" s="21">
        <f t="shared" si="91"/>
        <v>0</v>
      </c>
      <c r="I51" s="10">
        <f t="shared" ref="I51:L51" si="92">IF(X51="",I203,X51)</f>
        <v>0</v>
      </c>
      <c r="J51" s="10">
        <f t="shared" si="92"/>
        <v>0</v>
      </c>
      <c r="K51" s="10">
        <f t="shared" si="92"/>
        <v>0</v>
      </c>
      <c r="L51" s="10">
        <f t="shared" si="92"/>
        <v>0</v>
      </c>
      <c r="M51" s="17">
        <f t="shared" ref="M51:M57" si="93">SUM(I51:L51)</f>
        <v>0</v>
      </c>
      <c r="N51" s="10">
        <f t="shared" ref="N51:Q51" si="94">IF(AC51="",N203,AC51)</f>
        <v>0</v>
      </c>
      <c r="O51" s="10">
        <f t="shared" si="94"/>
        <v>0</v>
      </c>
      <c r="P51" s="10">
        <f t="shared" si="94"/>
        <v>0</v>
      </c>
      <c r="Q51" s="10">
        <f t="shared" si="94"/>
        <v>0</v>
      </c>
      <c r="R51" s="22">
        <f t="shared" si="89"/>
        <v>0</v>
      </c>
      <c r="S51" s="23">
        <f t="shared" ref="S51:U51" si="95">IF(AH51="",S203,AH51)</f>
        <v>0</v>
      </c>
      <c r="T51" s="23">
        <f t="shared" si="95"/>
        <v>0</v>
      </c>
      <c r="U51" s="23">
        <f t="shared" si="95"/>
        <v>0</v>
      </c>
      <c r="W51" s="79" t="str">
        <f t="shared" ref="W51:W57" si="96">E51</f>
        <v>Exchange Gain/Loss</v>
      </c>
      <c r="X51" s="64"/>
      <c r="Y51" s="64"/>
      <c r="Z51" s="64"/>
      <c r="AA51" s="64"/>
      <c r="AB51" s="60"/>
      <c r="AC51" s="64"/>
      <c r="AD51" s="64"/>
      <c r="AE51" s="64"/>
      <c r="AF51" s="64"/>
      <c r="AG51" s="60"/>
      <c r="AH51" s="64"/>
      <c r="AI51" s="64"/>
      <c r="AJ51" s="64"/>
    </row>
    <row r="52" spans="2:36" hidden="1" outlineLevel="1" x14ac:dyDescent="0.25">
      <c r="B52" s="229" t="s">
        <v>195</v>
      </c>
      <c r="C52" s="229" t="s">
        <v>195</v>
      </c>
      <c r="E52" s="78" t="s">
        <v>77</v>
      </c>
      <c r="F52" s="21">
        <f t="shared" ref="F52:H52" si="97">F204</f>
        <v>0</v>
      </c>
      <c r="G52" s="21">
        <f t="shared" si="97"/>
        <v>0</v>
      </c>
      <c r="H52" s="21">
        <f t="shared" si="97"/>
        <v>0</v>
      </c>
      <c r="I52" s="10">
        <f t="shared" ref="I52:L52" si="98">IF(X52="",I204,X52)</f>
        <v>0</v>
      </c>
      <c r="J52" s="10">
        <f t="shared" si="98"/>
        <v>0</v>
      </c>
      <c r="K52" s="10">
        <f t="shared" si="98"/>
        <v>0</v>
      </c>
      <c r="L52" s="10">
        <f t="shared" si="98"/>
        <v>0</v>
      </c>
      <c r="M52" s="17">
        <f t="shared" si="93"/>
        <v>0</v>
      </c>
      <c r="N52" s="10">
        <f t="shared" ref="N52:Q52" si="99">IF(AC52="",N204,AC52)</f>
        <v>0</v>
      </c>
      <c r="O52" s="10">
        <f t="shared" si="99"/>
        <v>0</v>
      </c>
      <c r="P52" s="10">
        <f t="shared" si="99"/>
        <v>0</v>
      </c>
      <c r="Q52" s="10">
        <f t="shared" si="99"/>
        <v>0</v>
      </c>
      <c r="R52" s="22">
        <f t="shared" si="89"/>
        <v>0</v>
      </c>
      <c r="S52" s="23">
        <f t="shared" ref="S52:U52" si="100">IF(AH52="",S204,AH52)</f>
        <v>0</v>
      </c>
      <c r="T52" s="23">
        <f t="shared" si="100"/>
        <v>0</v>
      </c>
      <c r="U52" s="23">
        <f t="shared" si="100"/>
        <v>0</v>
      </c>
      <c r="W52" s="79" t="str">
        <f t="shared" si="96"/>
        <v>blank</v>
      </c>
      <c r="X52" s="64"/>
      <c r="Y52" s="64"/>
      <c r="Z52" s="64"/>
      <c r="AA52" s="64"/>
      <c r="AB52" s="60"/>
      <c r="AC52" s="64"/>
      <c r="AD52" s="64"/>
      <c r="AE52" s="64"/>
      <c r="AF52" s="64"/>
      <c r="AG52" s="60"/>
      <c r="AH52" s="64"/>
      <c r="AI52" s="64"/>
      <c r="AJ52" s="64"/>
    </row>
    <row r="53" spans="2:36" hidden="1" outlineLevel="1" x14ac:dyDescent="0.25">
      <c r="B53" s="229" t="s">
        <v>195</v>
      </c>
      <c r="C53" s="229" t="s">
        <v>195</v>
      </c>
      <c r="E53" s="78" t="s">
        <v>77</v>
      </c>
      <c r="F53" s="21">
        <f t="shared" ref="F53:H53" si="101">F205</f>
        <v>0</v>
      </c>
      <c r="G53" s="21">
        <f t="shared" si="101"/>
        <v>0</v>
      </c>
      <c r="H53" s="21">
        <f t="shared" si="101"/>
        <v>0</v>
      </c>
      <c r="I53" s="10">
        <f t="shared" ref="I53:L53" si="102">IF(X53="",I205,X53)</f>
        <v>0</v>
      </c>
      <c r="J53" s="10">
        <f t="shared" si="102"/>
        <v>0</v>
      </c>
      <c r="K53" s="10">
        <f t="shared" si="102"/>
        <v>0</v>
      </c>
      <c r="L53" s="10">
        <f t="shared" si="102"/>
        <v>0</v>
      </c>
      <c r="M53" s="17">
        <f t="shared" si="93"/>
        <v>0</v>
      </c>
      <c r="N53" s="10">
        <f t="shared" ref="N53:Q53" si="103">IF(AC53="",N205,AC53)</f>
        <v>0</v>
      </c>
      <c r="O53" s="10">
        <f t="shared" si="103"/>
        <v>0</v>
      </c>
      <c r="P53" s="10">
        <f t="shared" si="103"/>
        <v>0</v>
      </c>
      <c r="Q53" s="10">
        <f t="shared" si="103"/>
        <v>0</v>
      </c>
      <c r="R53" s="22">
        <f t="shared" si="89"/>
        <v>0</v>
      </c>
      <c r="S53" s="23">
        <f t="shared" ref="S53:U53" si="104">IF(AH53="",S205,AH53)</f>
        <v>0</v>
      </c>
      <c r="T53" s="23">
        <f t="shared" si="104"/>
        <v>0</v>
      </c>
      <c r="U53" s="23">
        <f t="shared" si="104"/>
        <v>0</v>
      </c>
      <c r="W53" s="79" t="str">
        <f t="shared" si="96"/>
        <v>blank</v>
      </c>
      <c r="X53" s="64"/>
      <c r="Y53" s="64"/>
      <c r="Z53" s="64"/>
      <c r="AA53" s="64"/>
      <c r="AB53" s="60"/>
      <c r="AC53" s="64"/>
      <c r="AD53" s="64"/>
      <c r="AE53" s="64"/>
      <c r="AF53" s="64"/>
      <c r="AG53" s="60"/>
      <c r="AH53" s="64"/>
      <c r="AI53" s="64"/>
      <c r="AJ53" s="64"/>
    </row>
    <row r="54" spans="2:36" hidden="1" outlineLevel="1" x14ac:dyDescent="0.25">
      <c r="B54" s="229" t="s">
        <v>195</v>
      </c>
      <c r="C54" s="229" t="s">
        <v>195</v>
      </c>
      <c r="E54" s="78" t="s">
        <v>77</v>
      </c>
      <c r="F54" s="21">
        <f t="shared" ref="F54:H54" si="105">F206</f>
        <v>0</v>
      </c>
      <c r="G54" s="21">
        <f t="shared" si="105"/>
        <v>0</v>
      </c>
      <c r="H54" s="21">
        <f t="shared" si="105"/>
        <v>0</v>
      </c>
      <c r="I54" s="10">
        <f t="shared" ref="I54:L54" si="106">IF(X54="",I206,X54)</f>
        <v>0</v>
      </c>
      <c r="J54" s="10">
        <f t="shared" si="106"/>
        <v>0</v>
      </c>
      <c r="K54" s="10">
        <f t="shared" si="106"/>
        <v>0</v>
      </c>
      <c r="L54" s="10">
        <f t="shared" si="106"/>
        <v>0</v>
      </c>
      <c r="M54" s="17">
        <f t="shared" si="93"/>
        <v>0</v>
      </c>
      <c r="N54" s="10">
        <f t="shared" ref="N54:Q54" si="107">IF(AC54="",N206,AC54)</f>
        <v>0</v>
      </c>
      <c r="O54" s="10">
        <f t="shared" si="107"/>
        <v>0</v>
      </c>
      <c r="P54" s="10">
        <f t="shared" si="107"/>
        <v>0</v>
      </c>
      <c r="Q54" s="10">
        <f t="shared" si="107"/>
        <v>0</v>
      </c>
      <c r="R54" s="22">
        <f t="shared" si="89"/>
        <v>0</v>
      </c>
      <c r="S54" s="23">
        <f t="shared" ref="S54:U54" si="108">IF(AH54="",S206,AH54)</f>
        <v>0</v>
      </c>
      <c r="T54" s="23">
        <f t="shared" si="108"/>
        <v>0</v>
      </c>
      <c r="U54" s="23">
        <f t="shared" si="108"/>
        <v>0</v>
      </c>
      <c r="W54" s="79" t="str">
        <f t="shared" si="96"/>
        <v>blank</v>
      </c>
      <c r="X54" s="64"/>
      <c r="Y54" s="64"/>
      <c r="Z54" s="64"/>
      <c r="AA54" s="64"/>
      <c r="AB54" s="60"/>
      <c r="AC54" s="64"/>
      <c r="AD54" s="64"/>
      <c r="AE54" s="64"/>
      <c r="AF54" s="64"/>
      <c r="AG54" s="60"/>
      <c r="AH54" s="64"/>
      <c r="AI54" s="64"/>
      <c r="AJ54" s="64"/>
    </row>
    <row r="55" spans="2:36" hidden="1" outlineLevel="1" x14ac:dyDescent="0.25">
      <c r="B55" s="229" t="s">
        <v>195</v>
      </c>
      <c r="C55" s="229" t="s">
        <v>195</v>
      </c>
      <c r="E55" s="78" t="s">
        <v>77</v>
      </c>
      <c r="F55" s="21">
        <f t="shared" ref="F55:H55" si="109">F207</f>
        <v>0</v>
      </c>
      <c r="G55" s="21">
        <f t="shared" si="109"/>
        <v>0</v>
      </c>
      <c r="H55" s="21">
        <f t="shared" si="109"/>
        <v>0</v>
      </c>
      <c r="I55" s="10">
        <f t="shared" ref="I55:L55" si="110">IF(X55="",I207,X55)</f>
        <v>0</v>
      </c>
      <c r="J55" s="10">
        <f t="shared" si="110"/>
        <v>0</v>
      </c>
      <c r="K55" s="10">
        <f t="shared" si="110"/>
        <v>0</v>
      </c>
      <c r="L55" s="10">
        <f t="shared" si="110"/>
        <v>0</v>
      </c>
      <c r="M55" s="17">
        <f t="shared" si="93"/>
        <v>0</v>
      </c>
      <c r="N55" s="10">
        <f t="shared" ref="N55:Q55" si="111">IF(AC55="",N207,AC55)</f>
        <v>0</v>
      </c>
      <c r="O55" s="10">
        <f t="shared" si="111"/>
        <v>0</v>
      </c>
      <c r="P55" s="10">
        <f t="shared" si="111"/>
        <v>0</v>
      </c>
      <c r="Q55" s="10">
        <f t="shared" si="111"/>
        <v>0</v>
      </c>
      <c r="R55" s="22">
        <f t="shared" si="89"/>
        <v>0</v>
      </c>
      <c r="S55" s="23">
        <f t="shared" ref="S55:U55" si="112">IF(AH55="",S207,AH55)</f>
        <v>0</v>
      </c>
      <c r="T55" s="23">
        <f t="shared" si="112"/>
        <v>0</v>
      </c>
      <c r="U55" s="23">
        <f t="shared" si="112"/>
        <v>0</v>
      </c>
      <c r="W55" s="79" t="str">
        <f t="shared" si="96"/>
        <v>blank</v>
      </c>
      <c r="X55" s="64"/>
      <c r="Y55" s="64"/>
      <c r="Z55" s="64"/>
      <c r="AA55" s="64"/>
      <c r="AB55" s="60"/>
      <c r="AC55" s="64"/>
      <c r="AD55" s="64"/>
      <c r="AE55" s="64"/>
      <c r="AF55" s="64"/>
      <c r="AG55" s="60"/>
      <c r="AH55" s="64"/>
      <c r="AI55" s="64"/>
      <c r="AJ55" s="64"/>
    </row>
    <row r="56" spans="2:36" hidden="1" outlineLevel="1" x14ac:dyDescent="0.25">
      <c r="B56" s="229" t="s">
        <v>195</v>
      </c>
      <c r="C56" s="229" t="s">
        <v>195</v>
      </c>
      <c r="E56" s="78" t="s">
        <v>77</v>
      </c>
      <c r="F56" s="21">
        <f t="shared" ref="F56:H56" si="113">F208</f>
        <v>0</v>
      </c>
      <c r="G56" s="21">
        <f t="shared" si="113"/>
        <v>0</v>
      </c>
      <c r="H56" s="21">
        <f t="shared" si="113"/>
        <v>0</v>
      </c>
      <c r="I56" s="10">
        <f t="shared" ref="I56:L56" si="114">IF(X56="",I208,X56)</f>
        <v>0</v>
      </c>
      <c r="J56" s="10">
        <f t="shared" si="114"/>
        <v>0</v>
      </c>
      <c r="K56" s="10">
        <f t="shared" si="114"/>
        <v>0</v>
      </c>
      <c r="L56" s="10">
        <f t="shared" si="114"/>
        <v>0</v>
      </c>
      <c r="M56" s="17">
        <f t="shared" si="93"/>
        <v>0</v>
      </c>
      <c r="N56" s="10">
        <f t="shared" ref="N56:Q56" si="115">IF(AC56="",N208,AC56)</f>
        <v>0</v>
      </c>
      <c r="O56" s="10">
        <f t="shared" si="115"/>
        <v>0</v>
      </c>
      <c r="P56" s="10">
        <f t="shared" si="115"/>
        <v>0</v>
      </c>
      <c r="Q56" s="10">
        <f t="shared" si="115"/>
        <v>0</v>
      </c>
      <c r="R56" s="22">
        <f t="shared" si="89"/>
        <v>0</v>
      </c>
      <c r="S56" s="23">
        <f t="shared" ref="S56:U56" si="116">IF(AH56="",S208,AH56)</f>
        <v>0</v>
      </c>
      <c r="T56" s="23">
        <f t="shared" si="116"/>
        <v>0</v>
      </c>
      <c r="U56" s="23">
        <f t="shared" si="116"/>
        <v>0</v>
      </c>
      <c r="W56" s="79" t="str">
        <f t="shared" si="96"/>
        <v>blank</v>
      </c>
      <c r="X56" s="64"/>
      <c r="Y56" s="64"/>
      <c r="Z56" s="64"/>
      <c r="AA56" s="64"/>
      <c r="AB56" s="60"/>
      <c r="AC56" s="64"/>
      <c r="AD56" s="64"/>
      <c r="AE56" s="64"/>
      <c r="AF56" s="64"/>
      <c r="AG56" s="60"/>
      <c r="AH56" s="64"/>
      <c r="AI56" s="64"/>
      <c r="AJ56" s="64"/>
    </row>
    <row r="57" spans="2:36" hidden="1" outlineLevel="1" x14ac:dyDescent="0.25">
      <c r="B57" s="229" t="s">
        <v>195</v>
      </c>
      <c r="C57" s="229" t="s">
        <v>195</v>
      </c>
      <c r="E57" s="78" t="s">
        <v>77</v>
      </c>
      <c r="F57" s="21">
        <f t="shared" ref="F57:H57" si="117">F209</f>
        <v>0</v>
      </c>
      <c r="G57" s="21">
        <f t="shared" si="117"/>
        <v>0</v>
      </c>
      <c r="H57" s="21">
        <f t="shared" si="117"/>
        <v>0</v>
      </c>
      <c r="I57" s="10">
        <f t="shared" ref="I57:L57" si="118">IF(X57="",I209,X57)</f>
        <v>0</v>
      </c>
      <c r="J57" s="10">
        <f t="shared" si="118"/>
        <v>0</v>
      </c>
      <c r="K57" s="10">
        <f t="shared" si="118"/>
        <v>0</v>
      </c>
      <c r="L57" s="10">
        <f t="shared" si="118"/>
        <v>0</v>
      </c>
      <c r="M57" s="17">
        <f t="shared" si="93"/>
        <v>0</v>
      </c>
      <c r="N57" s="10">
        <f t="shared" ref="N57:Q57" si="119">IF(AC57="",N209,AC57)</f>
        <v>0</v>
      </c>
      <c r="O57" s="10">
        <f t="shared" si="119"/>
        <v>0</v>
      </c>
      <c r="P57" s="10">
        <f t="shared" si="119"/>
        <v>0</v>
      </c>
      <c r="Q57" s="10">
        <f t="shared" si="119"/>
        <v>0</v>
      </c>
      <c r="R57" s="22">
        <f t="shared" si="89"/>
        <v>0</v>
      </c>
      <c r="S57" s="23">
        <f t="shared" ref="S57:U57" si="120">IF(AH57="",S209,AH57)</f>
        <v>0</v>
      </c>
      <c r="T57" s="23">
        <f t="shared" si="120"/>
        <v>0</v>
      </c>
      <c r="U57" s="23">
        <f t="shared" si="120"/>
        <v>0</v>
      </c>
      <c r="W57" s="79" t="str">
        <f t="shared" si="96"/>
        <v>blank</v>
      </c>
      <c r="X57" s="64"/>
      <c r="Y57" s="64"/>
      <c r="Z57" s="64"/>
      <c r="AA57" s="64"/>
      <c r="AB57" s="60"/>
      <c r="AC57" s="64"/>
      <c r="AD57" s="64"/>
      <c r="AE57" s="64"/>
      <c r="AF57" s="64"/>
      <c r="AG57" s="60"/>
      <c r="AH57" s="64"/>
      <c r="AI57" s="64"/>
      <c r="AJ57" s="64"/>
    </row>
    <row r="58" spans="2:36" ht="15.75" hidden="1" outlineLevel="1" thickBot="1" x14ac:dyDescent="0.3">
      <c r="E58" s="8" t="s">
        <v>27</v>
      </c>
      <c r="F58" s="9">
        <f>SUM(F50:F57)</f>
        <v>0</v>
      </c>
      <c r="G58" s="9">
        <f t="shared" ref="G58" si="121">SUM(G50:G57)</f>
        <v>0</v>
      </c>
      <c r="H58" s="9">
        <f t="shared" ref="H58" si="122">SUM(H50:H57)</f>
        <v>0</v>
      </c>
      <c r="I58" s="11">
        <f t="shared" ref="I58" si="123">SUM(I50:I57)</f>
        <v>0</v>
      </c>
      <c r="J58" s="11">
        <f t="shared" ref="J58" si="124">SUM(J50:J57)</f>
        <v>0</v>
      </c>
      <c r="K58" s="11">
        <f t="shared" ref="K58" si="125">SUM(K50:K57)</f>
        <v>0</v>
      </c>
      <c r="L58" s="11">
        <f t="shared" ref="L58" si="126">SUM(L50:L57)</f>
        <v>0</v>
      </c>
      <c r="M58" s="18">
        <f t="shared" ref="M58" si="127">SUM(M50:M57)</f>
        <v>0</v>
      </c>
      <c r="N58" s="11">
        <f t="shared" ref="N58" si="128">SUM(N50:N57)</f>
        <v>0</v>
      </c>
      <c r="O58" s="11">
        <f t="shared" ref="O58" si="129">SUM(O50:O57)</f>
        <v>0</v>
      </c>
      <c r="P58" s="11">
        <f t="shared" ref="P58" si="130">SUM(P50:P57)</f>
        <v>0</v>
      </c>
      <c r="Q58" s="11">
        <f t="shared" ref="Q58" si="131">SUM(Q50:Q57)</f>
        <v>0</v>
      </c>
      <c r="R58" s="19">
        <f t="shared" ref="R58" si="132">SUM(R50:R57)</f>
        <v>0</v>
      </c>
      <c r="S58" s="20">
        <f t="shared" ref="S58" si="133">SUM(S50:S57)</f>
        <v>0</v>
      </c>
      <c r="T58" s="20">
        <f t="shared" ref="T58" si="134">SUM(T50:T57)</f>
        <v>0</v>
      </c>
      <c r="U58" s="20">
        <f t="shared" ref="U58" si="135">SUM(U50:U57)</f>
        <v>0</v>
      </c>
    </row>
    <row r="59" spans="2:36" s="60" customFormat="1" ht="15.75" hidden="1" outlineLevel="1" thickTop="1" x14ac:dyDescent="0.25">
      <c r="E59" s="80"/>
      <c r="F59" s="81"/>
      <c r="G59" s="81"/>
      <c r="H59" s="81"/>
      <c r="I59" s="82"/>
      <c r="J59" s="82"/>
      <c r="K59" s="82"/>
      <c r="L59" s="82"/>
      <c r="M59" s="81"/>
      <c r="N59" s="82"/>
      <c r="O59" s="82"/>
      <c r="P59" s="82"/>
      <c r="Q59" s="82"/>
      <c r="R59" s="83"/>
      <c r="S59" s="83"/>
      <c r="T59" s="83"/>
      <c r="U59" s="83"/>
    </row>
    <row r="60" spans="2:36" s="60" customFormat="1" hidden="1" outlineLevel="1" x14ac:dyDescent="0.25">
      <c r="E60" s="80"/>
      <c r="F60" s="81"/>
      <c r="G60" s="81"/>
      <c r="H60" s="81"/>
      <c r="I60" s="82"/>
      <c r="J60" s="82"/>
      <c r="K60" s="82"/>
      <c r="L60" s="82"/>
      <c r="M60" s="81"/>
      <c r="N60" s="82"/>
      <c r="O60" s="82"/>
      <c r="P60" s="82"/>
      <c r="Q60" s="82"/>
      <c r="R60" s="83"/>
      <c r="S60" s="83"/>
      <c r="T60" s="83"/>
      <c r="U60" s="83"/>
    </row>
    <row r="61" spans="2:36" s="60" customFormat="1" hidden="1" outlineLevel="1" x14ac:dyDescent="0.25">
      <c r="E61" s="80"/>
      <c r="F61" s="81"/>
      <c r="G61" s="81"/>
      <c r="H61" s="81"/>
      <c r="I61" s="82"/>
      <c r="J61" s="82"/>
      <c r="K61" s="82"/>
      <c r="L61" s="82"/>
      <c r="M61" s="81"/>
      <c r="N61" s="82"/>
      <c r="O61" s="82"/>
      <c r="P61" s="82"/>
      <c r="Q61" s="82"/>
      <c r="R61" s="83"/>
      <c r="S61" s="83"/>
      <c r="T61" s="83"/>
      <c r="U61" s="83"/>
    </row>
    <row r="62" spans="2:36" s="60" customFormat="1" hidden="1" outlineLevel="1" x14ac:dyDescent="0.25">
      <c r="E62" s="48" t="s">
        <v>76</v>
      </c>
      <c r="F62" s="81"/>
      <c r="G62" s="81"/>
      <c r="H62" s="81"/>
      <c r="I62" s="82"/>
      <c r="J62" s="82"/>
      <c r="K62" s="82"/>
      <c r="L62" s="82"/>
      <c r="M62" s="81"/>
      <c r="N62" s="82"/>
      <c r="O62" s="82"/>
      <c r="P62" s="82"/>
      <c r="Q62" s="82"/>
      <c r="R62" s="83"/>
      <c r="S62" s="83"/>
      <c r="T62" s="83"/>
      <c r="U62" s="83"/>
      <c r="W62" s="4" t="s">
        <v>76</v>
      </c>
      <c r="X62"/>
      <c r="Y62"/>
      <c r="Z62"/>
      <c r="AA62"/>
      <c r="AB62"/>
      <c r="AC62"/>
      <c r="AD62"/>
      <c r="AE62"/>
      <c r="AF62"/>
      <c r="AG62"/>
      <c r="AH62"/>
      <c r="AI62"/>
      <c r="AJ62"/>
    </row>
    <row r="63" spans="2:36" s="60" customFormat="1" hidden="1" outlineLevel="1" x14ac:dyDescent="0.25">
      <c r="E63" t="s">
        <v>25</v>
      </c>
      <c r="F63" s="81"/>
      <c r="G63" s="81"/>
      <c r="H63" s="81"/>
      <c r="I63" s="82"/>
      <c r="J63" s="82"/>
      <c r="K63" s="82"/>
      <c r="L63" s="82"/>
      <c r="M63" s="81"/>
      <c r="N63" s="82"/>
      <c r="O63" s="82"/>
      <c r="P63" s="82"/>
      <c r="Q63" s="82"/>
      <c r="R63" s="83"/>
      <c r="S63" s="83"/>
      <c r="T63" s="83"/>
      <c r="U63" s="83"/>
      <c r="W63" s="61" t="s">
        <v>62</v>
      </c>
      <c r="X63"/>
      <c r="Y63"/>
      <c r="Z63"/>
      <c r="AA63"/>
      <c r="AB63"/>
      <c r="AC63"/>
      <c r="AD63"/>
      <c r="AE63"/>
      <c r="AF63"/>
      <c r="AG63"/>
      <c r="AH63"/>
      <c r="AI63"/>
      <c r="AJ63"/>
    </row>
    <row r="64" spans="2:36" s="60" customFormat="1" hidden="1" outlineLevel="1" x14ac:dyDescent="0.25">
      <c r="E64" s="80"/>
      <c r="F64" s="81"/>
      <c r="G64" s="81"/>
      <c r="H64" s="81"/>
      <c r="I64" s="82"/>
      <c r="J64" s="82"/>
      <c r="K64" s="82"/>
      <c r="L64" s="82"/>
      <c r="M64" s="81"/>
      <c r="N64" s="82"/>
      <c r="O64" s="82"/>
      <c r="P64" s="82"/>
      <c r="Q64" s="82"/>
      <c r="R64" s="83"/>
      <c r="S64" s="83"/>
      <c r="T64" s="83"/>
      <c r="U64" s="83"/>
      <c r="W64"/>
      <c r="X64"/>
      <c r="Y64"/>
      <c r="Z64"/>
      <c r="AA64"/>
      <c r="AB64"/>
      <c r="AC64"/>
      <c r="AD64"/>
      <c r="AE64"/>
      <c r="AF64"/>
      <c r="AG64"/>
      <c r="AH64"/>
      <c r="AI64"/>
      <c r="AJ64"/>
    </row>
    <row r="65" spans="2:36" s="60" customFormat="1" hidden="1" outlineLevel="1" x14ac:dyDescent="0.25">
      <c r="E65" s="80"/>
      <c r="F65" s="12">
        <f>Inputs!$C$7</f>
        <v>2023</v>
      </c>
      <c r="G65" s="12">
        <f>Inputs!$C$8</f>
        <v>2024</v>
      </c>
      <c r="H65" s="12">
        <f>Inputs!$C$9</f>
        <v>2025</v>
      </c>
      <c r="I65" s="13" t="s">
        <v>1</v>
      </c>
      <c r="J65" s="13" t="s">
        <v>2</v>
      </c>
      <c r="K65" s="13" t="s">
        <v>3</v>
      </c>
      <c r="L65" s="13" t="s">
        <v>4</v>
      </c>
      <c r="M65" s="13">
        <f>Inputs!$C$10</f>
        <v>2026</v>
      </c>
      <c r="N65" s="14" t="s">
        <v>1</v>
      </c>
      <c r="O65" s="14" t="s">
        <v>2</v>
      </c>
      <c r="P65" s="14" t="s">
        <v>3</v>
      </c>
      <c r="Q65" s="14" t="s">
        <v>4</v>
      </c>
      <c r="R65" s="15">
        <f>Inputs!$C$11</f>
        <v>2027</v>
      </c>
      <c r="S65" s="16">
        <f>Inputs!$C$12</f>
        <v>2028</v>
      </c>
      <c r="T65" s="16">
        <f>Inputs!$C$13</f>
        <v>2029</v>
      </c>
      <c r="U65" s="16">
        <f>Inputs!$C$14</f>
        <v>2030</v>
      </c>
      <c r="W65"/>
      <c r="X65" s="13" t="s">
        <v>1</v>
      </c>
      <c r="Y65" s="13" t="s">
        <v>2</v>
      </c>
      <c r="Z65" s="13" t="s">
        <v>3</v>
      </c>
      <c r="AA65" s="13" t="s">
        <v>4</v>
      </c>
      <c r="AB65" s="13">
        <f>Inputs!$C$10</f>
        <v>2026</v>
      </c>
      <c r="AC65" s="14" t="s">
        <v>1</v>
      </c>
      <c r="AD65" s="14" t="s">
        <v>2</v>
      </c>
      <c r="AE65" s="14" t="s">
        <v>3</v>
      </c>
      <c r="AF65" s="14" t="s">
        <v>4</v>
      </c>
      <c r="AG65" s="15">
        <f>Inputs!$C$11</f>
        <v>2027</v>
      </c>
      <c r="AH65" s="16">
        <f>Inputs!$C$12</f>
        <v>2028</v>
      </c>
      <c r="AI65" s="16">
        <f>Inputs!$C$13</f>
        <v>2029</v>
      </c>
      <c r="AJ65" s="16">
        <f>Inputs!$C$14</f>
        <v>2030</v>
      </c>
    </row>
    <row r="66" spans="2:36" s="60" customFormat="1" hidden="1" outlineLevel="1" x14ac:dyDescent="0.25">
      <c r="E66" s="80"/>
      <c r="F66" s="71" t="s">
        <v>63</v>
      </c>
      <c r="G66" s="71" t="s">
        <v>63</v>
      </c>
      <c r="H66" s="71" t="s">
        <v>63</v>
      </c>
      <c r="I66" s="71" t="s">
        <v>63</v>
      </c>
      <c r="J66" s="71" t="s">
        <v>63</v>
      </c>
      <c r="K66" s="71" t="s">
        <v>63</v>
      </c>
      <c r="L66" s="71" t="s">
        <v>63</v>
      </c>
      <c r="M66" s="71" t="s">
        <v>63</v>
      </c>
      <c r="N66" s="71" t="s">
        <v>63</v>
      </c>
      <c r="O66" s="71" t="s">
        <v>63</v>
      </c>
      <c r="P66" s="71" t="s">
        <v>63</v>
      </c>
      <c r="Q66" s="71" t="s">
        <v>63</v>
      </c>
      <c r="R66" s="71" t="s">
        <v>63</v>
      </c>
      <c r="S66" s="71" t="s">
        <v>63</v>
      </c>
      <c r="T66" s="71" t="s">
        <v>63</v>
      </c>
      <c r="U66" s="71" t="s">
        <v>63</v>
      </c>
      <c r="W66"/>
      <c r="X66" s="63" t="s">
        <v>30</v>
      </c>
      <c r="Y66" s="63" t="s">
        <v>30</v>
      </c>
      <c r="Z66" s="63" t="s">
        <v>30</v>
      </c>
      <c r="AA66" s="63" t="s">
        <v>30</v>
      </c>
      <c r="AB66" s="62"/>
      <c r="AC66" s="63" t="s">
        <v>30</v>
      </c>
      <c r="AD66" s="63" t="s">
        <v>30</v>
      </c>
      <c r="AE66" s="63" t="s">
        <v>30</v>
      </c>
      <c r="AF66" s="63" t="s">
        <v>30</v>
      </c>
      <c r="AG66" s="62"/>
      <c r="AH66" s="63" t="s">
        <v>30</v>
      </c>
      <c r="AI66" s="63" t="s">
        <v>30</v>
      </c>
      <c r="AJ66" s="63" t="s">
        <v>30</v>
      </c>
    </row>
    <row r="67" spans="2:36" hidden="1" outlineLevel="1" x14ac:dyDescent="0.25">
      <c r="B67" s="229" t="s">
        <v>195</v>
      </c>
      <c r="C67" s="229" t="s">
        <v>195</v>
      </c>
      <c r="E67" s="78" t="s">
        <v>35</v>
      </c>
      <c r="F67" s="21">
        <f t="shared" ref="F67:H67" si="136">F219</f>
        <v>0</v>
      </c>
      <c r="G67" s="21">
        <f t="shared" si="136"/>
        <v>0</v>
      </c>
      <c r="H67" s="21">
        <f t="shared" si="136"/>
        <v>0</v>
      </c>
      <c r="I67" s="10">
        <f t="shared" ref="I67:L67" si="137">IF(X67="",I219,X67)</f>
        <v>0</v>
      </c>
      <c r="J67" s="10">
        <f t="shared" si="137"/>
        <v>0</v>
      </c>
      <c r="K67" s="10">
        <f t="shared" si="137"/>
        <v>0</v>
      </c>
      <c r="L67" s="10">
        <f t="shared" si="137"/>
        <v>0</v>
      </c>
      <c r="M67" s="17">
        <f>SUM(I67:L67)</f>
        <v>0</v>
      </c>
      <c r="N67" s="10">
        <f t="shared" ref="N67:N74" si="138">IF(AC67="",N219,AC67)</f>
        <v>0</v>
      </c>
      <c r="O67" s="10">
        <f t="shared" ref="O67:O74" si="139">IF(AD67="",O219,AD67)</f>
        <v>0</v>
      </c>
      <c r="P67" s="10">
        <f t="shared" ref="P67:P74" si="140">IF(AE67="",P219,AE67)</f>
        <v>0</v>
      </c>
      <c r="Q67" s="10">
        <f t="shared" ref="Q67:Q74" si="141">IF(AF67="",Q219,AF67)</f>
        <v>0</v>
      </c>
      <c r="R67" s="22">
        <f>SUM(N67:Q67)</f>
        <v>0</v>
      </c>
      <c r="S67" s="23">
        <f t="shared" ref="S67:S74" si="142">IF(AH67="",S219,AH67)</f>
        <v>0</v>
      </c>
      <c r="T67" s="23">
        <f t="shared" ref="T67:T74" si="143">IF(AI67="",T219,AI67)</f>
        <v>0</v>
      </c>
      <c r="U67" s="23">
        <f t="shared" ref="U67:U74" si="144">IF(AJ67="",U219,AJ67)</f>
        <v>0</v>
      </c>
      <c r="W67" s="79" t="str">
        <f>E67</f>
        <v>Fixed Mfg</v>
      </c>
      <c r="X67" s="64"/>
      <c r="Y67" s="64"/>
      <c r="Z67" s="64"/>
      <c r="AA67" s="64"/>
      <c r="AB67" s="60"/>
      <c r="AC67" s="64"/>
      <c r="AD67" s="64"/>
      <c r="AE67" s="64"/>
      <c r="AF67" s="64"/>
      <c r="AG67" s="60"/>
      <c r="AH67" s="64"/>
      <c r="AI67" s="64"/>
      <c r="AJ67" s="64"/>
    </row>
    <row r="68" spans="2:36" hidden="1" outlineLevel="1" x14ac:dyDescent="0.25">
      <c r="B68" s="229" t="s">
        <v>195</v>
      </c>
      <c r="C68" s="229" t="s">
        <v>195</v>
      </c>
      <c r="E68" s="78" t="s">
        <v>77</v>
      </c>
      <c r="F68" s="21">
        <f t="shared" ref="F68:H68" si="145">F220</f>
        <v>0</v>
      </c>
      <c r="G68" s="21">
        <f t="shared" si="145"/>
        <v>0</v>
      </c>
      <c r="H68" s="21">
        <f t="shared" si="145"/>
        <v>0</v>
      </c>
      <c r="I68" s="10">
        <f t="shared" ref="I68:L68" si="146">IF(X68="",I220,X68)</f>
        <v>0</v>
      </c>
      <c r="J68" s="10">
        <f t="shared" si="146"/>
        <v>0</v>
      </c>
      <c r="K68" s="10">
        <f t="shared" si="146"/>
        <v>0</v>
      </c>
      <c r="L68" s="10">
        <f t="shared" si="146"/>
        <v>0</v>
      </c>
      <c r="M68" s="17">
        <f t="shared" ref="M68:M74" si="147">SUM(I68:L68)</f>
        <v>0</v>
      </c>
      <c r="N68" s="10">
        <f t="shared" si="138"/>
        <v>0</v>
      </c>
      <c r="O68" s="10">
        <f t="shared" si="139"/>
        <v>0</v>
      </c>
      <c r="P68" s="10">
        <f t="shared" si="140"/>
        <v>0</v>
      </c>
      <c r="Q68" s="10">
        <f t="shared" si="141"/>
        <v>0</v>
      </c>
      <c r="R68" s="22">
        <f t="shared" ref="R68:R74" si="148">SUM(N68:Q68)</f>
        <v>0</v>
      </c>
      <c r="S68" s="23">
        <f t="shared" si="142"/>
        <v>0</v>
      </c>
      <c r="T68" s="23">
        <f t="shared" si="143"/>
        <v>0</v>
      </c>
      <c r="U68" s="23">
        <f t="shared" si="144"/>
        <v>0</v>
      </c>
      <c r="W68" s="79" t="str">
        <f t="shared" ref="W68:W74" si="149">E68</f>
        <v>blank</v>
      </c>
      <c r="X68" s="64"/>
      <c r="Y68" s="64"/>
      <c r="Z68" s="64"/>
      <c r="AA68" s="64"/>
      <c r="AB68" s="60"/>
      <c r="AC68" s="64"/>
      <c r="AD68" s="64"/>
      <c r="AE68" s="64"/>
      <c r="AF68" s="64"/>
      <c r="AG68" s="60"/>
      <c r="AH68" s="64"/>
      <c r="AI68" s="64"/>
      <c r="AJ68" s="64"/>
    </row>
    <row r="69" spans="2:36" hidden="1" outlineLevel="1" x14ac:dyDescent="0.25">
      <c r="B69" s="229" t="s">
        <v>195</v>
      </c>
      <c r="C69" s="229" t="s">
        <v>195</v>
      </c>
      <c r="E69" s="78" t="s">
        <v>77</v>
      </c>
      <c r="F69" s="21">
        <f t="shared" ref="F69:H69" si="150">F221</f>
        <v>0</v>
      </c>
      <c r="G69" s="21">
        <f t="shared" si="150"/>
        <v>0</v>
      </c>
      <c r="H69" s="21">
        <f t="shared" si="150"/>
        <v>0</v>
      </c>
      <c r="I69" s="10">
        <f t="shared" ref="I69:L69" si="151">IF(X69="",I221,X69)</f>
        <v>0</v>
      </c>
      <c r="J69" s="10">
        <f t="shared" si="151"/>
        <v>0</v>
      </c>
      <c r="K69" s="10">
        <f t="shared" si="151"/>
        <v>0</v>
      </c>
      <c r="L69" s="10">
        <f t="shared" si="151"/>
        <v>0</v>
      </c>
      <c r="M69" s="17">
        <f t="shared" si="147"/>
        <v>0</v>
      </c>
      <c r="N69" s="10">
        <f t="shared" si="138"/>
        <v>0</v>
      </c>
      <c r="O69" s="10">
        <f t="shared" si="139"/>
        <v>0</v>
      </c>
      <c r="P69" s="10">
        <f t="shared" si="140"/>
        <v>0</v>
      </c>
      <c r="Q69" s="10">
        <f t="shared" si="141"/>
        <v>0</v>
      </c>
      <c r="R69" s="22">
        <f t="shared" si="148"/>
        <v>0</v>
      </c>
      <c r="S69" s="23">
        <f t="shared" si="142"/>
        <v>0</v>
      </c>
      <c r="T69" s="23">
        <f t="shared" si="143"/>
        <v>0</v>
      </c>
      <c r="U69" s="23">
        <f t="shared" si="144"/>
        <v>0</v>
      </c>
      <c r="W69" s="79" t="str">
        <f t="shared" si="149"/>
        <v>blank</v>
      </c>
      <c r="X69" s="64"/>
      <c r="Y69" s="64"/>
      <c r="Z69" s="64"/>
      <c r="AA69" s="64"/>
      <c r="AB69" s="60"/>
      <c r="AC69" s="64"/>
      <c r="AD69" s="64"/>
      <c r="AE69" s="64"/>
      <c r="AF69" s="64"/>
      <c r="AG69" s="60"/>
      <c r="AH69" s="64"/>
      <c r="AI69" s="64"/>
      <c r="AJ69" s="64"/>
    </row>
    <row r="70" spans="2:36" hidden="1" outlineLevel="1" x14ac:dyDescent="0.25">
      <c r="B70" s="229" t="s">
        <v>195</v>
      </c>
      <c r="C70" s="229" t="s">
        <v>195</v>
      </c>
      <c r="E70" s="78" t="s">
        <v>77</v>
      </c>
      <c r="F70" s="21">
        <f t="shared" ref="F70:H70" si="152">F222</f>
        <v>0</v>
      </c>
      <c r="G70" s="21">
        <f t="shared" si="152"/>
        <v>0</v>
      </c>
      <c r="H70" s="21">
        <f t="shared" si="152"/>
        <v>0</v>
      </c>
      <c r="I70" s="10">
        <f t="shared" ref="I70:L70" si="153">IF(X70="",I222,X70)</f>
        <v>0</v>
      </c>
      <c r="J70" s="10">
        <f t="shared" si="153"/>
        <v>0</v>
      </c>
      <c r="K70" s="10">
        <f t="shared" si="153"/>
        <v>0</v>
      </c>
      <c r="L70" s="10">
        <f t="shared" si="153"/>
        <v>0</v>
      </c>
      <c r="M70" s="17">
        <f t="shared" si="147"/>
        <v>0</v>
      </c>
      <c r="N70" s="10">
        <f t="shared" si="138"/>
        <v>0</v>
      </c>
      <c r="O70" s="10">
        <f t="shared" si="139"/>
        <v>0</v>
      </c>
      <c r="P70" s="10">
        <f t="shared" si="140"/>
        <v>0</v>
      </c>
      <c r="Q70" s="10">
        <f t="shared" si="141"/>
        <v>0</v>
      </c>
      <c r="R70" s="22">
        <f t="shared" si="148"/>
        <v>0</v>
      </c>
      <c r="S70" s="23">
        <f t="shared" si="142"/>
        <v>0</v>
      </c>
      <c r="T70" s="23">
        <f t="shared" si="143"/>
        <v>0</v>
      </c>
      <c r="U70" s="23">
        <f t="shared" si="144"/>
        <v>0</v>
      </c>
      <c r="W70" s="79" t="str">
        <f t="shared" si="149"/>
        <v>blank</v>
      </c>
      <c r="X70" s="64"/>
      <c r="Y70" s="64"/>
      <c r="Z70" s="64"/>
      <c r="AA70" s="64"/>
      <c r="AB70" s="60"/>
      <c r="AC70" s="64"/>
      <c r="AD70" s="64"/>
      <c r="AE70" s="64"/>
      <c r="AF70" s="64"/>
      <c r="AG70" s="60"/>
      <c r="AH70" s="64"/>
      <c r="AI70" s="64"/>
      <c r="AJ70" s="64"/>
    </row>
    <row r="71" spans="2:36" hidden="1" outlineLevel="1" x14ac:dyDescent="0.25">
      <c r="B71" s="229" t="s">
        <v>195</v>
      </c>
      <c r="C71" s="229" t="s">
        <v>195</v>
      </c>
      <c r="E71" s="78" t="s">
        <v>77</v>
      </c>
      <c r="F71" s="21">
        <f t="shared" ref="F71:H71" si="154">F223</f>
        <v>0</v>
      </c>
      <c r="G71" s="21">
        <f t="shared" si="154"/>
        <v>0</v>
      </c>
      <c r="H71" s="21">
        <f t="shared" si="154"/>
        <v>0</v>
      </c>
      <c r="I71" s="10">
        <f t="shared" ref="I71:L71" si="155">IF(X71="",I223,X71)</f>
        <v>0</v>
      </c>
      <c r="J71" s="10">
        <f t="shared" si="155"/>
        <v>0</v>
      </c>
      <c r="K71" s="10">
        <f t="shared" si="155"/>
        <v>0</v>
      </c>
      <c r="L71" s="10">
        <f t="shared" si="155"/>
        <v>0</v>
      </c>
      <c r="M71" s="17">
        <f t="shared" si="147"/>
        <v>0</v>
      </c>
      <c r="N71" s="10">
        <f t="shared" si="138"/>
        <v>0</v>
      </c>
      <c r="O71" s="10">
        <f t="shared" si="139"/>
        <v>0</v>
      </c>
      <c r="P71" s="10">
        <f t="shared" si="140"/>
        <v>0</v>
      </c>
      <c r="Q71" s="10">
        <f t="shared" si="141"/>
        <v>0</v>
      </c>
      <c r="R71" s="22">
        <f t="shared" si="148"/>
        <v>0</v>
      </c>
      <c r="S71" s="23">
        <f t="shared" si="142"/>
        <v>0</v>
      </c>
      <c r="T71" s="23">
        <f t="shared" si="143"/>
        <v>0</v>
      </c>
      <c r="U71" s="23">
        <f t="shared" si="144"/>
        <v>0</v>
      </c>
      <c r="W71" s="79" t="str">
        <f t="shared" si="149"/>
        <v>blank</v>
      </c>
      <c r="X71" s="64"/>
      <c r="Y71" s="64"/>
      <c r="Z71" s="64"/>
      <c r="AA71" s="64"/>
      <c r="AB71" s="60"/>
      <c r="AC71" s="64"/>
      <c r="AD71" s="64"/>
      <c r="AE71" s="64"/>
      <c r="AF71" s="64"/>
      <c r="AG71" s="60"/>
      <c r="AH71" s="64"/>
      <c r="AI71" s="64"/>
      <c r="AJ71" s="64"/>
    </row>
    <row r="72" spans="2:36" hidden="1" outlineLevel="1" x14ac:dyDescent="0.25">
      <c r="B72" s="229" t="s">
        <v>195</v>
      </c>
      <c r="C72" s="229" t="s">
        <v>195</v>
      </c>
      <c r="E72" s="78" t="s">
        <v>77</v>
      </c>
      <c r="F72" s="21">
        <f t="shared" ref="F72:H72" si="156">F224</f>
        <v>0</v>
      </c>
      <c r="G72" s="21">
        <f t="shared" si="156"/>
        <v>0</v>
      </c>
      <c r="H72" s="21">
        <f t="shared" si="156"/>
        <v>0</v>
      </c>
      <c r="I72" s="10">
        <f t="shared" ref="I72:L72" si="157">IF(X72="",I224,X72)</f>
        <v>0</v>
      </c>
      <c r="J72" s="10">
        <f t="shared" si="157"/>
        <v>0</v>
      </c>
      <c r="K72" s="10">
        <f t="shared" si="157"/>
        <v>0</v>
      </c>
      <c r="L72" s="10">
        <f t="shared" si="157"/>
        <v>0</v>
      </c>
      <c r="M72" s="17">
        <f t="shared" si="147"/>
        <v>0</v>
      </c>
      <c r="N72" s="10">
        <f t="shared" si="138"/>
        <v>0</v>
      </c>
      <c r="O72" s="10">
        <f t="shared" si="139"/>
        <v>0</v>
      </c>
      <c r="P72" s="10">
        <f t="shared" si="140"/>
        <v>0</v>
      </c>
      <c r="Q72" s="10">
        <f t="shared" si="141"/>
        <v>0</v>
      </c>
      <c r="R72" s="22">
        <f t="shared" si="148"/>
        <v>0</v>
      </c>
      <c r="S72" s="23">
        <f t="shared" si="142"/>
        <v>0</v>
      </c>
      <c r="T72" s="23">
        <f t="shared" si="143"/>
        <v>0</v>
      </c>
      <c r="U72" s="23">
        <f t="shared" si="144"/>
        <v>0</v>
      </c>
      <c r="W72" s="79" t="str">
        <f t="shared" si="149"/>
        <v>blank</v>
      </c>
      <c r="X72" s="64"/>
      <c r="Y72" s="64"/>
      <c r="Z72" s="64"/>
      <c r="AA72" s="64"/>
      <c r="AB72" s="60"/>
      <c r="AC72" s="64"/>
      <c r="AD72" s="64"/>
      <c r="AE72" s="64"/>
      <c r="AF72" s="64"/>
      <c r="AG72" s="60"/>
      <c r="AH72" s="64"/>
      <c r="AI72" s="64"/>
      <c r="AJ72" s="64"/>
    </row>
    <row r="73" spans="2:36" hidden="1" outlineLevel="1" x14ac:dyDescent="0.25">
      <c r="B73" s="229" t="s">
        <v>195</v>
      </c>
      <c r="C73" s="229" t="s">
        <v>195</v>
      </c>
      <c r="E73" s="78" t="s">
        <v>77</v>
      </c>
      <c r="F73" s="21">
        <f t="shared" ref="F73:H73" si="158">F225</f>
        <v>0</v>
      </c>
      <c r="G73" s="21">
        <f t="shared" si="158"/>
        <v>0</v>
      </c>
      <c r="H73" s="21">
        <f t="shared" si="158"/>
        <v>0</v>
      </c>
      <c r="I73" s="10">
        <f t="shared" ref="I73:L73" si="159">IF(X73="",I225,X73)</f>
        <v>0</v>
      </c>
      <c r="J73" s="10">
        <f t="shared" si="159"/>
        <v>0</v>
      </c>
      <c r="K73" s="10">
        <f t="shared" si="159"/>
        <v>0</v>
      </c>
      <c r="L73" s="10">
        <f t="shared" si="159"/>
        <v>0</v>
      </c>
      <c r="M73" s="17">
        <f t="shared" si="147"/>
        <v>0</v>
      </c>
      <c r="N73" s="10">
        <f t="shared" si="138"/>
        <v>0</v>
      </c>
      <c r="O73" s="10">
        <f t="shared" si="139"/>
        <v>0</v>
      </c>
      <c r="P73" s="10">
        <f t="shared" si="140"/>
        <v>0</v>
      </c>
      <c r="Q73" s="10">
        <f t="shared" si="141"/>
        <v>0</v>
      </c>
      <c r="R73" s="22">
        <f t="shared" si="148"/>
        <v>0</v>
      </c>
      <c r="S73" s="23">
        <f t="shared" si="142"/>
        <v>0</v>
      </c>
      <c r="T73" s="23">
        <f t="shared" si="143"/>
        <v>0</v>
      </c>
      <c r="U73" s="23">
        <f t="shared" si="144"/>
        <v>0</v>
      </c>
      <c r="W73" s="79" t="str">
        <f t="shared" si="149"/>
        <v>blank</v>
      </c>
      <c r="X73" s="64"/>
      <c r="Y73" s="64"/>
      <c r="Z73" s="64"/>
      <c r="AA73" s="64"/>
      <c r="AB73" s="60"/>
      <c r="AC73" s="64"/>
      <c r="AD73" s="64"/>
      <c r="AE73" s="64"/>
      <c r="AF73" s="64"/>
      <c r="AG73" s="60"/>
      <c r="AH73" s="64"/>
      <c r="AI73" s="64"/>
      <c r="AJ73" s="64"/>
    </row>
    <row r="74" spans="2:36" hidden="1" outlineLevel="1" x14ac:dyDescent="0.25">
      <c r="B74" s="229" t="s">
        <v>195</v>
      </c>
      <c r="C74" s="229" t="s">
        <v>195</v>
      </c>
      <c r="E74" s="78" t="s">
        <v>77</v>
      </c>
      <c r="F74" s="21">
        <f t="shared" ref="F74:H74" si="160">F226</f>
        <v>0</v>
      </c>
      <c r="G74" s="21">
        <f t="shared" si="160"/>
        <v>0</v>
      </c>
      <c r="H74" s="21">
        <f t="shared" si="160"/>
        <v>0</v>
      </c>
      <c r="I74" s="10">
        <f t="shared" ref="I74:L74" si="161">IF(X74="",I226,X74)</f>
        <v>0</v>
      </c>
      <c r="J74" s="10">
        <f t="shared" si="161"/>
        <v>0</v>
      </c>
      <c r="K74" s="10">
        <f t="shared" si="161"/>
        <v>0</v>
      </c>
      <c r="L74" s="10">
        <f t="shared" si="161"/>
        <v>0</v>
      </c>
      <c r="M74" s="17">
        <f t="shared" si="147"/>
        <v>0</v>
      </c>
      <c r="N74" s="10">
        <f t="shared" si="138"/>
        <v>0</v>
      </c>
      <c r="O74" s="10">
        <f t="shared" si="139"/>
        <v>0</v>
      </c>
      <c r="P74" s="10">
        <f t="shared" si="140"/>
        <v>0</v>
      </c>
      <c r="Q74" s="10">
        <f t="shared" si="141"/>
        <v>0</v>
      </c>
      <c r="R74" s="22">
        <f t="shared" si="148"/>
        <v>0</v>
      </c>
      <c r="S74" s="23">
        <f t="shared" si="142"/>
        <v>0</v>
      </c>
      <c r="T74" s="23">
        <f t="shared" si="143"/>
        <v>0</v>
      </c>
      <c r="U74" s="23">
        <f t="shared" si="144"/>
        <v>0</v>
      </c>
      <c r="W74" s="79" t="str">
        <f t="shared" si="149"/>
        <v>blank</v>
      </c>
      <c r="X74" s="64"/>
      <c r="Y74" s="64"/>
      <c r="Z74" s="64"/>
      <c r="AA74" s="64"/>
      <c r="AB74" s="60"/>
      <c r="AC74" s="64"/>
      <c r="AD74" s="64"/>
      <c r="AE74" s="64"/>
      <c r="AF74" s="64"/>
      <c r="AG74" s="60"/>
      <c r="AH74" s="64"/>
      <c r="AI74" s="64"/>
      <c r="AJ74" s="64"/>
    </row>
    <row r="75" spans="2:36" ht="15.75" hidden="1" outlineLevel="1" thickBot="1" x14ac:dyDescent="0.3">
      <c r="E75" s="8" t="s">
        <v>27</v>
      </c>
      <c r="F75" s="9">
        <f>SUM(F67:F74)</f>
        <v>0</v>
      </c>
      <c r="G75" s="9">
        <f t="shared" ref="G75" si="162">SUM(G67:G74)</f>
        <v>0</v>
      </c>
      <c r="H75" s="9">
        <f t="shared" ref="H75" si="163">SUM(H67:H74)</f>
        <v>0</v>
      </c>
      <c r="I75" s="11">
        <f t="shared" ref="I75" si="164">SUM(I67:I74)</f>
        <v>0</v>
      </c>
      <c r="J75" s="11">
        <f t="shared" ref="J75" si="165">SUM(J67:J74)</f>
        <v>0</v>
      </c>
      <c r="K75" s="11">
        <f t="shared" ref="K75" si="166">SUM(K67:K74)</f>
        <v>0</v>
      </c>
      <c r="L75" s="11">
        <f t="shared" ref="L75" si="167">SUM(L67:L74)</f>
        <v>0</v>
      </c>
      <c r="M75" s="18">
        <f t="shared" ref="M75" si="168">SUM(M67:M74)</f>
        <v>0</v>
      </c>
      <c r="N75" s="11">
        <f t="shared" ref="N75" si="169">SUM(N67:N74)</f>
        <v>0</v>
      </c>
      <c r="O75" s="11">
        <f t="shared" ref="O75" si="170">SUM(O67:O74)</f>
        <v>0</v>
      </c>
      <c r="P75" s="11">
        <f t="shared" ref="P75" si="171">SUM(P67:P74)</f>
        <v>0</v>
      </c>
      <c r="Q75" s="11">
        <f t="shared" ref="Q75" si="172">SUM(Q67:Q74)</f>
        <v>0</v>
      </c>
      <c r="R75" s="19">
        <f t="shared" ref="R75" si="173">SUM(R67:R74)</f>
        <v>0</v>
      </c>
      <c r="S75" s="20">
        <f t="shared" ref="S75" si="174">SUM(S67:S74)</f>
        <v>0</v>
      </c>
      <c r="T75" s="20">
        <f t="shared" ref="T75" si="175">SUM(T67:T74)</f>
        <v>0</v>
      </c>
      <c r="U75" s="20">
        <f t="shared" ref="U75" si="176">SUM(U67:U74)</f>
        <v>0</v>
      </c>
    </row>
    <row r="76" spans="2:36" ht="15.75" hidden="1" outlineLevel="1" thickTop="1" x14ac:dyDescent="0.25"/>
    <row r="77" spans="2:36" hidden="1" outlineLevel="1" x14ac:dyDescent="0.25"/>
    <row r="78" spans="2:36" hidden="1" outlineLevel="1" x14ac:dyDescent="0.25"/>
    <row r="79" spans="2:36" ht="18.75" collapsed="1" x14ac:dyDescent="0.3">
      <c r="B79" s="4" t="s">
        <v>34</v>
      </c>
      <c r="C79" s="4" t="s">
        <v>387</v>
      </c>
      <c r="E79" s="53" t="str">
        <f>"Scenario 3: "&amp;Inputs!B24</f>
        <v>Scenario 3: Scenario 3</v>
      </c>
      <c r="F79" s="49"/>
      <c r="G79" s="49"/>
      <c r="H79" s="49"/>
      <c r="I79" s="49"/>
      <c r="J79" s="49"/>
      <c r="K79" s="49"/>
      <c r="L79" s="49"/>
      <c r="M79" s="49"/>
      <c r="N79" s="49"/>
      <c r="O79" s="49"/>
      <c r="P79" s="49"/>
      <c r="Q79" s="49"/>
      <c r="R79" s="49"/>
      <c r="S79" s="49"/>
      <c r="T79" s="49"/>
      <c r="U79" s="49"/>
    </row>
    <row r="80" spans="2:36" hidden="1" outlineLevel="1" x14ac:dyDescent="0.25">
      <c r="E80" s="52" t="str">
        <f>Inputs!C24</f>
        <v>Scenario 3 Description</v>
      </c>
    </row>
    <row r="81" spans="2:36" hidden="1" outlineLevel="1" x14ac:dyDescent="0.25"/>
    <row r="82" spans="2:36" hidden="1" outlineLevel="1" x14ac:dyDescent="0.25"/>
    <row r="83" spans="2:36" hidden="1" outlineLevel="1" x14ac:dyDescent="0.25">
      <c r="E83" s="4" t="s">
        <v>8</v>
      </c>
      <c r="W83" s="4" t="s">
        <v>8</v>
      </c>
    </row>
    <row r="84" spans="2:36" hidden="1" outlineLevel="1" x14ac:dyDescent="0.25">
      <c r="E84" t="s">
        <v>25</v>
      </c>
      <c r="W84" s="61" t="s">
        <v>62</v>
      </c>
    </row>
    <row r="85" spans="2:36" hidden="1" outlineLevel="1" x14ac:dyDescent="0.25"/>
    <row r="86" spans="2:36" hidden="1" outlineLevel="1" x14ac:dyDescent="0.25">
      <c r="F86" s="12">
        <f>Inputs!$C$7</f>
        <v>2023</v>
      </c>
      <c r="G86" s="12">
        <f>Inputs!$C$8</f>
        <v>2024</v>
      </c>
      <c r="H86" s="12">
        <f>Inputs!$C$9</f>
        <v>2025</v>
      </c>
      <c r="I86" s="13" t="s">
        <v>1</v>
      </c>
      <c r="J86" s="13" t="s">
        <v>2</v>
      </c>
      <c r="K86" s="13" t="s">
        <v>3</v>
      </c>
      <c r="L86" s="13" t="s">
        <v>4</v>
      </c>
      <c r="M86" s="13">
        <f>Inputs!$C$10</f>
        <v>2026</v>
      </c>
      <c r="N86" s="14" t="s">
        <v>1</v>
      </c>
      <c r="O86" s="14" t="s">
        <v>2</v>
      </c>
      <c r="P86" s="14" t="s">
        <v>3</v>
      </c>
      <c r="Q86" s="14" t="s">
        <v>4</v>
      </c>
      <c r="R86" s="15">
        <f>Inputs!$C$11</f>
        <v>2027</v>
      </c>
      <c r="S86" s="16">
        <f>Inputs!$C$12</f>
        <v>2028</v>
      </c>
      <c r="T86" s="16">
        <f>Inputs!$C$13</f>
        <v>2029</v>
      </c>
      <c r="U86" s="16">
        <f>Inputs!$C$14</f>
        <v>2030</v>
      </c>
      <c r="X86" s="13" t="s">
        <v>1</v>
      </c>
      <c r="Y86" s="13" t="s">
        <v>2</v>
      </c>
      <c r="Z86" s="13" t="s">
        <v>3</v>
      </c>
      <c r="AA86" s="13" t="s">
        <v>4</v>
      </c>
      <c r="AB86" s="13">
        <f>Inputs!$C$10</f>
        <v>2026</v>
      </c>
      <c r="AC86" s="14" t="s">
        <v>1</v>
      </c>
      <c r="AD86" s="14" t="s">
        <v>2</v>
      </c>
      <c r="AE86" s="14" t="s">
        <v>3</v>
      </c>
      <c r="AF86" s="14" t="s">
        <v>4</v>
      </c>
      <c r="AG86" s="15">
        <f>Inputs!$C$11</f>
        <v>2027</v>
      </c>
      <c r="AH86" s="16">
        <f>Inputs!$C$12</f>
        <v>2028</v>
      </c>
      <c r="AI86" s="16">
        <f>Inputs!$C$13</f>
        <v>2029</v>
      </c>
      <c r="AJ86" s="16">
        <f>Inputs!$C$14</f>
        <v>2030</v>
      </c>
    </row>
    <row r="87" spans="2:36" hidden="1" outlineLevel="1" x14ac:dyDescent="0.25">
      <c r="F87" s="71" t="s">
        <v>63</v>
      </c>
      <c r="G87" s="71" t="s">
        <v>63</v>
      </c>
      <c r="H87" s="71" t="s">
        <v>63</v>
      </c>
      <c r="I87" s="71" t="s">
        <v>63</v>
      </c>
      <c r="J87" s="71" t="s">
        <v>63</v>
      </c>
      <c r="K87" s="71" t="s">
        <v>63</v>
      </c>
      <c r="L87" s="71" t="s">
        <v>63</v>
      </c>
      <c r="M87" s="71" t="s">
        <v>63</v>
      </c>
      <c r="N87" s="71" t="s">
        <v>63</v>
      </c>
      <c r="O87" s="71" t="s">
        <v>63</v>
      </c>
      <c r="P87" s="71" t="s">
        <v>63</v>
      </c>
      <c r="Q87" s="71" t="s">
        <v>63</v>
      </c>
      <c r="R87" s="71" t="s">
        <v>63</v>
      </c>
      <c r="S87" s="71" t="s">
        <v>63</v>
      </c>
      <c r="T87" s="71" t="s">
        <v>63</v>
      </c>
      <c r="U87" s="71" t="s">
        <v>63</v>
      </c>
      <c r="X87" s="63" t="s">
        <v>30</v>
      </c>
      <c r="Y87" s="63" t="s">
        <v>30</v>
      </c>
      <c r="Z87" s="63" t="s">
        <v>30</v>
      </c>
      <c r="AA87" s="63" t="s">
        <v>30</v>
      </c>
      <c r="AB87" s="62"/>
      <c r="AC87" s="63" t="s">
        <v>30</v>
      </c>
      <c r="AD87" s="63" t="s">
        <v>30</v>
      </c>
      <c r="AE87" s="63" t="s">
        <v>30</v>
      </c>
      <c r="AF87" s="63" t="s">
        <v>30</v>
      </c>
      <c r="AG87" s="62"/>
      <c r="AH87" s="63" t="s">
        <v>30</v>
      </c>
      <c r="AI87" s="63" t="s">
        <v>30</v>
      </c>
      <c r="AJ87" s="63" t="s">
        <v>30</v>
      </c>
    </row>
    <row r="88" spans="2:36" hidden="1" outlineLevel="1" x14ac:dyDescent="0.25">
      <c r="B88" s="229" t="s">
        <v>195</v>
      </c>
      <c r="C88" s="229" t="s">
        <v>195</v>
      </c>
      <c r="E88" s="78" t="s">
        <v>8</v>
      </c>
      <c r="F88" s="21">
        <f>F202</f>
        <v>0</v>
      </c>
      <c r="G88" s="21">
        <f t="shared" ref="G88:H88" si="177">G202</f>
        <v>0</v>
      </c>
      <c r="H88" s="21">
        <f t="shared" si="177"/>
        <v>0</v>
      </c>
      <c r="I88" s="10">
        <f>IF(X88="",I202,X88)</f>
        <v>0</v>
      </c>
      <c r="J88" s="10">
        <f t="shared" ref="J88:L88" si="178">IF(Y88="",J202,Y88)</f>
        <v>0</v>
      </c>
      <c r="K88" s="10">
        <f t="shared" si="178"/>
        <v>0</v>
      </c>
      <c r="L88" s="10">
        <f t="shared" si="178"/>
        <v>0</v>
      </c>
      <c r="M88" s="17">
        <f>SUM(I88:L88)</f>
        <v>0</v>
      </c>
      <c r="N88" s="10">
        <f t="shared" ref="N88:Q88" si="179">IF(AC88="",N202,AC88)</f>
        <v>0</v>
      </c>
      <c r="O88" s="10">
        <f t="shared" si="179"/>
        <v>0</v>
      </c>
      <c r="P88" s="10">
        <f t="shared" si="179"/>
        <v>0</v>
      </c>
      <c r="Q88" s="10">
        <f t="shared" si="179"/>
        <v>0</v>
      </c>
      <c r="R88" s="22">
        <f t="shared" ref="R88:R95" si="180">SUM(N88:Q88)</f>
        <v>0</v>
      </c>
      <c r="S88" s="23">
        <f t="shared" ref="S88:U88" si="181">IF(AH88="",S202,AH88)</f>
        <v>0</v>
      </c>
      <c r="T88" s="23">
        <f t="shared" si="181"/>
        <v>0</v>
      </c>
      <c r="U88" s="23">
        <f t="shared" si="181"/>
        <v>0</v>
      </c>
      <c r="W88" s="79" t="str">
        <f>E88</f>
        <v>Variances</v>
      </c>
      <c r="X88" s="64"/>
      <c r="Y88" s="64"/>
      <c r="Z88" s="64"/>
      <c r="AA88" s="64"/>
      <c r="AB88" s="60"/>
      <c r="AC88" s="64"/>
      <c r="AD88" s="64"/>
      <c r="AE88" s="64"/>
      <c r="AF88" s="64"/>
      <c r="AG88" s="60"/>
      <c r="AH88" s="64"/>
      <c r="AI88" s="64"/>
      <c r="AJ88" s="64"/>
    </row>
    <row r="89" spans="2:36" hidden="1" outlineLevel="1" x14ac:dyDescent="0.25">
      <c r="B89" s="229" t="s">
        <v>195</v>
      </c>
      <c r="C89" s="229" t="s">
        <v>195</v>
      </c>
      <c r="E89" s="78" t="s">
        <v>75</v>
      </c>
      <c r="F89" s="21">
        <f t="shared" ref="F89:H89" si="182">F203</f>
        <v>0</v>
      </c>
      <c r="G89" s="21">
        <f t="shared" si="182"/>
        <v>0</v>
      </c>
      <c r="H89" s="21">
        <f t="shared" si="182"/>
        <v>0</v>
      </c>
      <c r="I89" s="10">
        <f t="shared" ref="I89:L89" si="183">IF(X89="",I203,X89)</f>
        <v>0</v>
      </c>
      <c r="J89" s="10">
        <f t="shared" si="183"/>
        <v>0</v>
      </c>
      <c r="K89" s="10">
        <f t="shared" si="183"/>
        <v>0</v>
      </c>
      <c r="L89" s="10">
        <f t="shared" si="183"/>
        <v>0</v>
      </c>
      <c r="M89" s="17">
        <f t="shared" ref="M89:M95" si="184">SUM(I89:L89)</f>
        <v>0</v>
      </c>
      <c r="N89" s="10">
        <f t="shared" ref="N89:Q89" si="185">IF(AC89="",N203,AC89)</f>
        <v>0</v>
      </c>
      <c r="O89" s="10">
        <f t="shared" si="185"/>
        <v>0</v>
      </c>
      <c r="P89" s="10">
        <f t="shared" si="185"/>
        <v>0</v>
      </c>
      <c r="Q89" s="10">
        <f t="shared" si="185"/>
        <v>0</v>
      </c>
      <c r="R89" s="22">
        <f t="shared" si="180"/>
        <v>0</v>
      </c>
      <c r="S89" s="23">
        <f t="shared" ref="S89:U89" si="186">IF(AH89="",S203,AH89)</f>
        <v>0</v>
      </c>
      <c r="T89" s="23">
        <f t="shared" si="186"/>
        <v>0</v>
      </c>
      <c r="U89" s="23">
        <f t="shared" si="186"/>
        <v>0</v>
      </c>
      <c r="W89" s="79" t="str">
        <f t="shared" ref="W89:W95" si="187">E89</f>
        <v>Exchange Gain/Loss</v>
      </c>
      <c r="X89" s="64"/>
      <c r="Y89" s="64"/>
      <c r="Z89" s="64"/>
      <c r="AA89" s="64"/>
      <c r="AB89" s="60"/>
      <c r="AC89" s="64"/>
      <c r="AD89" s="64"/>
      <c r="AE89" s="64"/>
      <c r="AF89" s="64"/>
      <c r="AG89" s="60"/>
      <c r="AH89" s="64"/>
      <c r="AI89" s="64"/>
      <c r="AJ89" s="64"/>
    </row>
    <row r="90" spans="2:36" hidden="1" outlineLevel="1" x14ac:dyDescent="0.25">
      <c r="B90" s="229" t="s">
        <v>195</v>
      </c>
      <c r="C90" s="229" t="s">
        <v>195</v>
      </c>
      <c r="E90" s="78" t="s">
        <v>77</v>
      </c>
      <c r="F90" s="21">
        <f t="shared" ref="F90:H90" si="188">F204</f>
        <v>0</v>
      </c>
      <c r="G90" s="21">
        <f t="shared" si="188"/>
        <v>0</v>
      </c>
      <c r="H90" s="21">
        <f t="shared" si="188"/>
        <v>0</v>
      </c>
      <c r="I90" s="10">
        <f t="shared" ref="I90:L90" si="189">IF(X90="",I204,X90)</f>
        <v>0</v>
      </c>
      <c r="J90" s="10">
        <f t="shared" si="189"/>
        <v>0</v>
      </c>
      <c r="K90" s="10">
        <f t="shared" si="189"/>
        <v>0</v>
      </c>
      <c r="L90" s="10">
        <f t="shared" si="189"/>
        <v>0</v>
      </c>
      <c r="M90" s="17">
        <f t="shared" si="184"/>
        <v>0</v>
      </c>
      <c r="N90" s="10">
        <f t="shared" ref="N90:Q90" si="190">IF(AC90="",N204,AC90)</f>
        <v>0</v>
      </c>
      <c r="O90" s="10">
        <f t="shared" si="190"/>
        <v>0</v>
      </c>
      <c r="P90" s="10">
        <f t="shared" si="190"/>
        <v>0</v>
      </c>
      <c r="Q90" s="10">
        <f t="shared" si="190"/>
        <v>0</v>
      </c>
      <c r="R90" s="22">
        <f t="shared" si="180"/>
        <v>0</v>
      </c>
      <c r="S90" s="23">
        <f t="shared" ref="S90:U90" si="191">IF(AH90="",S204,AH90)</f>
        <v>0</v>
      </c>
      <c r="T90" s="23">
        <f t="shared" si="191"/>
        <v>0</v>
      </c>
      <c r="U90" s="23">
        <f t="shared" si="191"/>
        <v>0</v>
      </c>
      <c r="W90" s="79" t="str">
        <f t="shared" si="187"/>
        <v>blank</v>
      </c>
      <c r="X90" s="64"/>
      <c r="Y90" s="64"/>
      <c r="Z90" s="64"/>
      <c r="AA90" s="64"/>
      <c r="AB90" s="60"/>
      <c r="AC90" s="64"/>
      <c r="AD90" s="64"/>
      <c r="AE90" s="64"/>
      <c r="AF90" s="64"/>
      <c r="AG90" s="60"/>
      <c r="AH90" s="64"/>
      <c r="AI90" s="64"/>
      <c r="AJ90" s="64"/>
    </row>
    <row r="91" spans="2:36" hidden="1" outlineLevel="1" x14ac:dyDescent="0.25">
      <c r="B91" s="229" t="s">
        <v>195</v>
      </c>
      <c r="C91" s="229" t="s">
        <v>195</v>
      </c>
      <c r="E91" s="78" t="s">
        <v>77</v>
      </c>
      <c r="F91" s="21">
        <f t="shared" ref="F91:H91" si="192">F205</f>
        <v>0</v>
      </c>
      <c r="G91" s="21">
        <f t="shared" si="192"/>
        <v>0</v>
      </c>
      <c r="H91" s="21">
        <f t="shared" si="192"/>
        <v>0</v>
      </c>
      <c r="I91" s="10">
        <f t="shared" ref="I91:L91" si="193">IF(X91="",I205,X91)</f>
        <v>0</v>
      </c>
      <c r="J91" s="10">
        <f t="shared" si="193"/>
        <v>0</v>
      </c>
      <c r="K91" s="10">
        <f t="shared" si="193"/>
        <v>0</v>
      </c>
      <c r="L91" s="10">
        <f t="shared" si="193"/>
        <v>0</v>
      </c>
      <c r="M91" s="17">
        <f t="shared" si="184"/>
        <v>0</v>
      </c>
      <c r="N91" s="10">
        <f t="shared" ref="N91:Q91" si="194">IF(AC91="",N205,AC91)</f>
        <v>0</v>
      </c>
      <c r="O91" s="10">
        <f t="shared" si="194"/>
        <v>0</v>
      </c>
      <c r="P91" s="10">
        <f t="shared" si="194"/>
        <v>0</v>
      </c>
      <c r="Q91" s="10">
        <f t="shared" si="194"/>
        <v>0</v>
      </c>
      <c r="R91" s="22">
        <f t="shared" si="180"/>
        <v>0</v>
      </c>
      <c r="S91" s="23">
        <f t="shared" ref="S91:U91" si="195">IF(AH91="",S205,AH91)</f>
        <v>0</v>
      </c>
      <c r="T91" s="23">
        <f t="shared" si="195"/>
        <v>0</v>
      </c>
      <c r="U91" s="23">
        <f t="shared" si="195"/>
        <v>0</v>
      </c>
      <c r="W91" s="79" t="str">
        <f t="shared" si="187"/>
        <v>blank</v>
      </c>
      <c r="X91" s="64"/>
      <c r="Y91" s="64"/>
      <c r="Z91" s="64"/>
      <c r="AA91" s="64"/>
      <c r="AB91" s="60"/>
      <c r="AC91" s="64"/>
      <c r="AD91" s="64"/>
      <c r="AE91" s="64"/>
      <c r="AF91" s="64"/>
      <c r="AG91" s="60"/>
      <c r="AH91" s="64"/>
      <c r="AI91" s="64"/>
      <c r="AJ91" s="64"/>
    </row>
    <row r="92" spans="2:36" hidden="1" outlineLevel="1" x14ac:dyDescent="0.25">
      <c r="B92" s="229" t="s">
        <v>195</v>
      </c>
      <c r="C92" s="229" t="s">
        <v>195</v>
      </c>
      <c r="E92" s="78" t="s">
        <v>77</v>
      </c>
      <c r="F92" s="21">
        <f t="shared" ref="F92:H92" si="196">F206</f>
        <v>0</v>
      </c>
      <c r="G92" s="21">
        <f t="shared" si="196"/>
        <v>0</v>
      </c>
      <c r="H92" s="21">
        <f t="shared" si="196"/>
        <v>0</v>
      </c>
      <c r="I92" s="10">
        <f t="shared" ref="I92:L92" si="197">IF(X92="",I206,X92)</f>
        <v>0</v>
      </c>
      <c r="J92" s="10">
        <f t="shared" si="197"/>
        <v>0</v>
      </c>
      <c r="K92" s="10">
        <f t="shared" si="197"/>
        <v>0</v>
      </c>
      <c r="L92" s="10">
        <f t="shared" si="197"/>
        <v>0</v>
      </c>
      <c r="M92" s="17">
        <f t="shared" si="184"/>
        <v>0</v>
      </c>
      <c r="N92" s="10">
        <f t="shared" ref="N92:Q92" si="198">IF(AC92="",N206,AC92)</f>
        <v>0</v>
      </c>
      <c r="O92" s="10">
        <f t="shared" si="198"/>
        <v>0</v>
      </c>
      <c r="P92" s="10">
        <f t="shared" si="198"/>
        <v>0</v>
      </c>
      <c r="Q92" s="10">
        <f t="shared" si="198"/>
        <v>0</v>
      </c>
      <c r="R92" s="22">
        <f t="shared" si="180"/>
        <v>0</v>
      </c>
      <c r="S92" s="23">
        <f t="shared" ref="S92:U92" si="199">IF(AH92="",S206,AH92)</f>
        <v>0</v>
      </c>
      <c r="T92" s="23">
        <f t="shared" si="199"/>
        <v>0</v>
      </c>
      <c r="U92" s="23">
        <f t="shared" si="199"/>
        <v>0</v>
      </c>
      <c r="W92" s="79" t="str">
        <f t="shared" si="187"/>
        <v>blank</v>
      </c>
      <c r="X92" s="64"/>
      <c r="Y92" s="64"/>
      <c r="Z92" s="64"/>
      <c r="AA92" s="64"/>
      <c r="AB92" s="60"/>
      <c r="AC92" s="64"/>
      <c r="AD92" s="64"/>
      <c r="AE92" s="64"/>
      <c r="AF92" s="64"/>
      <c r="AG92" s="60"/>
      <c r="AH92" s="64"/>
      <c r="AI92" s="64"/>
      <c r="AJ92" s="64"/>
    </row>
    <row r="93" spans="2:36" hidden="1" outlineLevel="1" x14ac:dyDescent="0.25">
      <c r="B93" s="229" t="s">
        <v>195</v>
      </c>
      <c r="C93" s="229" t="s">
        <v>195</v>
      </c>
      <c r="E93" s="78" t="s">
        <v>77</v>
      </c>
      <c r="F93" s="21">
        <f t="shared" ref="F93:H93" si="200">F207</f>
        <v>0</v>
      </c>
      <c r="G93" s="21">
        <f t="shared" si="200"/>
        <v>0</v>
      </c>
      <c r="H93" s="21">
        <f t="shared" si="200"/>
        <v>0</v>
      </c>
      <c r="I93" s="10">
        <f t="shared" ref="I93:L93" si="201">IF(X93="",I207,X93)</f>
        <v>0</v>
      </c>
      <c r="J93" s="10">
        <f t="shared" si="201"/>
        <v>0</v>
      </c>
      <c r="K93" s="10">
        <f t="shared" si="201"/>
        <v>0</v>
      </c>
      <c r="L93" s="10">
        <f t="shared" si="201"/>
        <v>0</v>
      </c>
      <c r="M93" s="17">
        <f t="shared" si="184"/>
        <v>0</v>
      </c>
      <c r="N93" s="10">
        <f t="shared" ref="N93:Q93" si="202">IF(AC93="",N207,AC93)</f>
        <v>0</v>
      </c>
      <c r="O93" s="10">
        <f t="shared" si="202"/>
        <v>0</v>
      </c>
      <c r="P93" s="10">
        <f t="shared" si="202"/>
        <v>0</v>
      </c>
      <c r="Q93" s="10">
        <f t="shared" si="202"/>
        <v>0</v>
      </c>
      <c r="R93" s="22">
        <f t="shared" si="180"/>
        <v>0</v>
      </c>
      <c r="S93" s="23">
        <f t="shared" ref="S93:U93" si="203">IF(AH93="",S207,AH93)</f>
        <v>0</v>
      </c>
      <c r="T93" s="23">
        <f t="shared" si="203"/>
        <v>0</v>
      </c>
      <c r="U93" s="23">
        <f t="shared" si="203"/>
        <v>0</v>
      </c>
      <c r="W93" s="79" t="str">
        <f t="shared" si="187"/>
        <v>blank</v>
      </c>
      <c r="X93" s="64"/>
      <c r="Y93" s="64"/>
      <c r="Z93" s="64"/>
      <c r="AA93" s="64"/>
      <c r="AB93" s="60"/>
      <c r="AC93" s="64"/>
      <c r="AD93" s="64"/>
      <c r="AE93" s="64"/>
      <c r="AF93" s="64"/>
      <c r="AG93" s="60"/>
      <c r="AH93" s="64"/>
      <c r="AI93" s="64"/>
      <c r="AJ93" s="64"/>
    </row>
    <row r="94" spans="2:36" hidden="1" outlineLevel="1" x14ac:dyDescent="0.25">
      <c r="B94" s="229" t="s">
        <v>195</v>
      </c>
      <c r="C94" s="229" t="s">
        <v>195</v>
      </c>
      <c r="E94" s="78" t="s">
        <v>77</v>
      </c>
      <c r="F94" s="21">
        <f t="shared" ref="F94:H94" si="204">F208</f>
        <v>0</v>
      </c>
      <c r="G94" s="21">
        <f t="shared" si="204"/>
        <v>0</v>
      </c>
      <c r="H94" s="21">
        <f t="shared" si="204"/>
        <v>0</v>
      </c>
      <c r="I94" s="10">
        <f t="shared" ref="I94:L94" si="205">IF(X94="",I208,X94)</f>
        <v>0</v>
      </c>
      <c r="J94" s="10">
        <f t="shared" si="205"/>
        <v>0</v>
      </c>
      <c r="K94" s="10">
        <f t="shared" si="205"/>
        <v>0</v>
      </c>
      <c r="L94" s="10">
        <f t="shared" si="205"/>
        <v>0</v>
      </c>
      <c r="M94" s="17">
        <f t="shared" si="184"/>
        <v>0</v>
      </c>
      <c r="N94" s="10">
        <f t="shared" ref="N94:Q94" si="206">IF(AC94="",N208,AC94)</f>
        <v>0</v>
      </c>
      <c r="O94" s="10">
        <f t="shared" si="206"/>
        <v>0</v>
      </c>
      <c r="P94" s="10">
        <f t="shared" si="206"/>
        <v>0</v>
      </c>
      <c r="Q94" s="10">
        <f t="shared" si="206"/>
        <v>0</v>
      </c>
      <c r="R94" s="22">
        <f t="shared" si="180"/>
        <v>0</v>
      </c>
      <c r="S94" s="23">
        <f t="shared" ref="S94:U94" si="207">IF(AH94="",S208,AH94)</f>
        <v>0</v>
      </c>
      <c r="T94" s="23">
        <f t="shared" si="207"/>
        <v>0</v>
      </c>
      <c r="U94" s="23">
        <f t="shared" si="207"/>
        <v>0</v>
      </c>
      <c r="W94" s="79" t="str">
        <f t="shared" si="187"/>
        <v>blank</v>
      </c>
      <c r="X94" s="64"/>
      <c r="Y94" s="64"/>
      <c r="Z94" s="64"/>
      <c r="AA94" s="64"/>
      <c r="AB94" s="60"/>
      <c r="AC94" s="64"/>
      <c r="AD94" s="64"/>
      <c r="AE94" s="64"/>
      <c r="AF94" s="64"/>
      <c r="AG94" s="60"/>
      <c r="AH94" s="64"/>
      <c r="AI94" s="64"/>
      <c r="AJ94" s="64"/>
    </row>
    <row r="95" spans="2:36" hidden="1" outlineLevel="1" x14ac:dyDescent="0.25">
      <c r="B95" s="229" t="s">
        <v>195</v>
      </c>
      <c r="C95" s="229" t="s">
        <v>195</v>
      </c>
      <c r="E95" s="78" t="s">
        <v>77</v>
      </c>
      <c r="F95" s="21">
        <f t="shared" ref="F95:H95" si="208">F209</f>
        <v>0</v>
      </c>
      <c r="G95" s="21">
        <f t="shared" si="208"/>
        <v>0</v>
      </c>
      <c r="H95" s="21">
        <f t="shared" si="208"/>
        <v>0</v>
      </c>
      <c r="I95" s="10">
        <f t="shared" ref="I95:L95" si="209">IF(X95="",I209,X95)</f>
        <v>0</v>
      </c>
      <c r="J95" s="10">
        <f t="shared" si="209"/>
        <v>0</v>
      </c>
      <c r="K95" s="10">
        <f t="shared" si="209"/>
        <v>0</v>
      </c>
      <c r="L95" s="10">
        <f t="shared" si="209"/>
        <v>0</v>
      </c>
      <c r="M95" s="17">
        <f t="shared" si="184"/>
        <v>0</v>
      </c>
      <c r="N95" s="10">
        <f t="shared" ref="N95:Q95" si="210">IF(AC95="",N209,AC95)</f>
        <v>0</v>
      </c>
      <c r="O95" s="10">
        <f t="shared" si="210"/>
        <v>0</v>
      </c>
      <c r="P95" s="10">
        <f t="shared" si="210"/>
        <v>0</v>
      </c>
      <c r="Q95" s="10">
        <f t="shared" si="210"/>
        <v>0</v>
      </c>
      <c r="R95" s="22">
        <f t="shared" si="180"/>
        <v>0</v>
      </c>
      <c r="S95" s="23">
        <f t="shared" ref="S95:U95" si="211">IF(AH95="",S209,AH95)</f>
        <v>0</v>
      </c>
      <c r="T95" s="23">
        <f t="shared" si="211"/>
        <v>0</v>
      </c>
      <c r="U95" s="23">
        <f t="shared" si="211"/>
        <v>0</v>
      </c>
      <c r="W95" s="79" t="str">
        <f t="shared" si="187"/>
        <v>blank</v>
      </c>
      <c r="X95" s="64"/>
      <c r="Y95" s="64"/>
      <c r="Z95" s="64"/>
      <c r="AA95" s="64"/>
      <c r="AB95" s="60"/>
      <c r="AC95" s="64"/>
      <c r="AD95" s="64"/>
      <c r="AE95" s="64"/>
      <c r="AF95" s="64"/>
      <c r="AG95" s="60"/>
      <c r="AH95" s="64"/>
      <c r="AI95" s="64"/>
      <c r="AJ95" s="64"/>
    </row>
    <row r="96" spans="2:36" ht="15.75" hidden="1" outlineLevel="1" thickBot="1" x14ac:dyDescent="0.3">
      <c r="E96" s="8" t="s">
        <v>27</v>
      </c>
      <c r="F96" s="9">
        <f>SUM(F88:F95)</f>
        <v>0</v>
      </c>
      <c r="G96" s="9">
        <f t="shared" ref="G96" si="212">SUM(G88:G95)</f>
        <v>0</v>
      </c>
      <c r="H96" s="9">
        <f t="shared" ref="H96" si="213">SUM(H88:H95)</f>
        <v>0</v>
      </c>
      <c r="I96" s="11">
        <f t="shared" ref="I96" si="214">SUM(I88:I95)</f>
        <v>0</v>
      </c>
      <c r="J96" s="11">
        <f t="shared" ref="J96" si="215">SUM(J88:J95)</f>
        <v>0</v>
      </c>
      <c r="K96" s="11">
        <f t="shared" ref="K96" si="216">SUM(K88:K95)</f>
        <v>0</v>
      </c>
      <c r="L96" s="11">
        <f t="shared" ref="L96" si="217">SUM(L88:L95)</f>
        <v>0</v>
      </c>
      <c r="M96" s="18">
        <f t="shared" ref="M96" si="218">SUM(M88:M95)</f>
        <v>0</v>
      </c>
      <c r="N96" s="11">
        <f t="shared" ref="N96" si="219">SUM(N88:N95)</f>
        <v>0</v>
      </c>
      <c r="O96" s="11">
        <f t="shared" ref="O96" si="220">SUM(O88:O95)</f>
        <v>0</v>
      </c>
      <c r="P96" s="11">
        <f t="shared" ref="P96" si="221">SUM(P88:P95)</f>
        <v>0</v>
      </c>
      <c r="Q96" s="11">
        <f t="shared" ref="Q96" si="222">SUM(Q88:Q95)</f>
        <v>0</v>
      </c>
      <c r="R96" s="19">
        <f t="shared" ref="R96" si="223">SUM(R88:R95)</f>
        <v>0</v>
      </c>
      <c r="S96" s="20">
        <f t="shared" ref="S96" si="224">SUM(S88:S95)</f>
        <v>0</v>
      </c>
      <c r="T96" s="20">
        <f t="shared" ref="T96" si="225">SUM(T88:T95)</f>
        <v>0</v>
      </c>
      <c r="U96" s="20">
        <f t="shared" ref="U96" si="226">SUM(U88:U95)</f>
        <v>0</v>
      </c>
    </row>
    <row r="97" spans="2:36" s="60" customFormat="1" ht="15.75" hidden="1" outlineLevel="1" thickTop="1" x14ac:dyDescent="0.25">
      <c r="E97" s="80"/>
      <c r="F97" s="81"/>
      <c r="G97" s="81"/>
      <c r="H97" s="81"/>
      <c r="I97" s="82"/>
      <c r="J97" s="82"/>
      <c r="K97" s="82"/>
      <c r="L97" s="82"/>
      <c r="M97" s="81"/>
      <c r="N97" s="82"/>
      <c r="O97" s="82"/>
      <c r="P97" s="82"/>
      <c r="Q97" s="82"/>
      <c r="R97" s="83"/>
      <c r="S97" s="83"/>
      <c r="T97" s="83"/>
      <c r="U97" s="83"/>
    </row>
    <row r="98" spans="2:36" s="60" customFormat="1" hidden="1" outlineLevel="1" x14ac:dyDescent="0.25">
      <c r="E98" s="80"/>
      <c r="F98" s="81"/>
      <c r="G98" s="81"/>
      <c r="H98" s="81"/>
      <c r="I98" s="82"/>
      <c r="J98" s="82"/>
      <c r="K98" s="82"/>
      <c r="L98" s="82"/>
      <c r="M98" s="81"/>
      <c r="N98" s="82"/>
      <c r="O98" s="82"/>
      <c r="P98" s="82"/>
      <c r="Q98" s="82"/>
      <c r="R98" s="83"/>
      <c r="S98" s="83"/>
      <c r="T98" s="83"/>
      <c r="U98" s="83"/>
    </row>
    <row r="99" spans="2:36" s="60" customFormat="1" hidden="1" outlineLevel="1" x14ac:dyDescent="0.25">
      <c r="E99" s="80"/>
      <c r="F99" s="81"/>
      <c r="G99" s="81"/>
      <c r="H99" s="81"/>
      <c r="I99" s="82"/>
      <c r="J99" s="82"/>
      <c r="K99" s="82"/>
      <c r="L99" s="82"/>
      <c r="M99" s="81"/>
      <c r="N99" s="82"/>
      <c r="O99" s="82"/>
      <c r="P99" s="82"/>
      <c r="Q99" s="82"/>
      <c r="R99" s="83"/>
      <c r="S99" s="83"/>
      <c r="T99" s="83"/>
      <c r="U99" s="83"/>
    </row>
    <row r="100" spans="2:36" s="60" customFormat="1" hidden="1" outlineLevel="1" x14ac:dyDescent="0.25">
      <c r="E100" s="48" t="s">
        <v>76</v>
      </c>
      <c r="F100" s="81"/>
      <c r="G100" s="81"/>
      <c r="H100" s="81"/>
      <c r="I100" s="82"/>
      <c r="J100" s="82"/>
      <c r="K100" s="82"/>
      <c r="L100" s="82"/>
      <c r="M100" s="81"/>
      <c r="N100" s="82"/>
      <c r="O100" s="82"/>
      <c r="P100" s="82"/>
      <c r="Q100" s="82"/>
      <c r="R100" s="83"/>
      <c r="S100" s="83"/>
      <c r="T100" s="83"/>
      <c r="U100" s="83"/>
      <c r="W100" s="4" t="s">
        <v>76</v>
      </c>
      <c r="X100"/>
      <c r="Y100"/>
      <c r="Z100"/>
      <c r="AA100"/>
      <c r="AB100"/>
      <c r="AC100"/>
      <c r="AD100"/>
      <c r="AE100"/>
      <c r="AF100"/>
      <c r="AG100"/>
      <c r="AH100"/>
      <c r="AI100"/>
      <c r="AJ100"/>
    </row>
    <row r="101" spans="2:36" s="60" customFormat="1" hidden="1" outlineLevel="1" x14ac:dyDescent="0.25">
      <c r="E101" t="s">
        <v>25</v>
      </c>
      <c r="F101" s="81"/>
      <c r="G101" s="81"/>
      <c r="H101" s="81"/>
      <c r="I101" s="82"/>
      <c r="J101" s="82"/>
      <c r="K101" s="82"/>
      <c r="L101" s="82"/>
      <c r="M101" s="81"/>
      <c r="N101" s="82"/>
      <c r="O101" s="82"/>
      <c r="P101" s="82"/>
      <c r="Q101" s="82"/>
      <c r="R101" s="83"/>
      <c r="S101" s="83"/>
      <c r="T101" s="83"/>
      <c r="U101" s="83"/>
      <c r="W101" s="61" t="s">
        <v>62</v>
      </c>
      <c r="X101"/>
      <c r="Y101"/>
      <c r="Z101"/>
      <c r="AA101"/>
      <c r="AB101"/>
      <c r="AC101"/>
      <c r="AD101"/>
      <c r="AE101"/>
      <c r="AF101"/>
      <c r="AG101"/>
      <c r="AH101"/>
      <c r="AI101"/>
      <c r="AJ101"/>
    </row>
    <row r="102" spans="2:36" s="60" customFormat="1" hidden="1" outlineLevel="1" x14ac:dyDescent="0.25">
      <c r="E102" s="80"/>
      <c r="F102" s="81"/>
      <c r="G102" s="81"/>
      <c r="H102" s="81"/>
      <c r="I102" s="82"/>
      <c r="J102" s="82"/>
      <c r="K102" s="82"/>
      <c r="L102" s="82"/>
      <c r="M102" s="81"/>
      <c r="N102" s="82"/>
      <c r="O102" s="82"/>
      <c r="P102" s="82"/>
      <c r="Q102" s="82"/>
      <c r="R102" s="83"/>
      <c r="S102" s="83"/>
      <c r="T102" s="83"/>
      <c r="U102" s="83"/>
      <c r="W102"/>
      <c r="X102"/>
      <c r="Y102"/>
      <c r="Z102"/>
      <c r="AA102"/>
      <c r="AB102"/>
      <c r="AC102"/>
      <c r="AD102"/>
      <c r="AE102"/>
      <c r="AF102"/>
      <c r="AG102"/>
      <c r="AH102"/>
      <c r="AI102"/>
      <c r="AJ102"/>
    </row>
    <row r="103" spans="2:36" s="60" customFormat="1" hidden="1" outlineLevel="1" x14ac:dyDescent="0.25">
      <c r="E103" s="80"/>
      <c r="F103" s="12">
        <f>Inputs!$C$7</f>
        <v>2023</v>
      </c>
      <c r="G103" s="12">
        <f>Inputs!$C$8</f>
        <v>2024</v>
      </c>
      <c r="H103" s="12">
        <f>Inputs!$C$9</f>
        <v>2025</v>
      </c>
      <c r="I103" s="13" t="s">
        <v>1</v>
      </c>
      <c r="J103" s="13" t="s">
        <v>2</v>
      </c>
      <c r="K103" s="13" t="s">
        <v>3</v>
      </c>
      <c r="L103" s="13" t="s">
        <v>4</v>
      </c>
      <c r="M103" s="13">
        <f>Inputs!$C$10</f>
        <v>2026</v>
      </c>
      <c r="N103" s="14" t="s">
        <v>1</v>
      </c>
      <c r="O103" s="14" t="s">
        <v>2</v>
      </c>
      <c r="P103" s="14" t="s">
        <v>3</v>
      </c>
      <c r="Q103" s="14" t="s">
        <v>4</v>
      </c>
      <c r="R103" s="15">
        <f>Inputs!$C$11</f>
        <v>2027</v>
      </c>
      <c r="S103" s="16">
        <f>Inputs!$C$12</f>
        <v>2028</v>
      </c>
      <c r="T103" s="16">
        <f>Inputs!$C$13</f>
        <v>2029</v>
      </c>
      <c r="U103" s="16">
        <f>Inputs!$C$14</f>
        <v>2030</v>
      </c>
      <c r="W103"/>
      <c r="X103" s="13" t="s">
        <v>1</v>
      </c>
      <c r="Y103" s="13" t="s">
        <v>2</v>
      </c>
      <c r="Z103" s="13" t="s">
        <v>3</v>
      </c>
      <c r="AA103" s="13" t="s">
        <v>4</v>
      </c>
      <c r="AB103" s="13">
        <f>Inputs!$C$10</f>
        <v>2026</v>
      </c>
      <c r="AC103" s="14" t="s">
        <v>1</v>
      </c>
      <c r="AD103" s="14" t="s">
        <v>2</v>
      </c>
      <c r="AE103" s="14" t="s">
        <v>3</v>
      </c>
      <c r="AF103" s="14" t="s">
        <v>4</v>
      </c>
      <c r="AG103" s="15">
        <f>Inputs!$C$11</f>
        <v>2027</v>
      </c>
      <c r="AH103" s="16">
        <f>Inputs!$C$12</f>
        <v>2028</v>
      </c>
      <c r="AI103" s="16">
        <f>Inputs!$C$13</f>
        <v>2029</v>
      </c>
      <c r="AJ103" s="16">
        <f>Inputs!$C$14</f>
        <v>2030</v>
      </c>
    </row>
    <row r="104" spans="2:36" s="60" customFormat="1" hidden="1" outlineLevel="1" x14ac:dyDescent="0.25">
      <c r="E104" s="80"/>
      <c r="F104" s="71" t="s">
        <v>63</v>
      </c>
      <c r="G104" s="71" t="s">
        <v>63</v>
      </c>
      <c r="H104" s="71" t="s">
        <v>63</v>
      </c>
      <c r="I104" s="71" t="s">
        <v>63</v>
      </c>
      <c r="J104" s="71" t="s">
        <v>63</v>
      </c>
      <c r="K104" s="71" t="s">
        <v>63</v>
      </c>
      <c r="L104" s="71" t="s">
        <v>63</v>
      </c>
      <c r="M104" s="71" t="s">
        <v>63</v>
      </c>
      <c r="N104" s="71" t="s">
        <v>63</v>
      </c>
      <c r="O104" s="71" t="s">
        <v>63</v>
      </c>
      <c r="P104" s="71" t="s">
        <v>63</v>
      </c>
      <c r="Q104" s="71" t="s">
        <v>63</v>
      </c>
      <c r="R104" s="71" t="s">
        <v>63</v>
      </c>
      <c r="S104" s="71" t="s">
        <v>63</v>
      </c>
      <c r="T104" s="71" t="s">
        <v>63</v>
      </c>
      <c r="U104" s="71" t="s">
        <v>63</v>
      </c>
      <c r="W104"/>
      <c r="X104" s="63" t="s">
        <v>30</v>
      </c>
      <c r="Y104" s="63" t="s">
        <v>30</v>
      </c>
      <c r="Z104" s="63" t="s">
        <v>30</v>
      </c>
      <c r="AA104" s="63" t="s">
        <v>30</v>
      </c>
      <c r="AB104" s="62"/>
      <c r="AC104" s="63" t="s">
        <v>30</v>
      </c>
      <c r="AD104" s="63" t="s">
        <v>30</v>
      </c>
      <c r="AE104" s="63" t="s">
        <v>30</v>
      </c>
      <c r="AF104" s="63" t="s">
        <v>30</v>
      </c>
      <c r="AG104" s="62"/>
      <c r="AH104" s="63" t="s">
        <v>30</v>
      </c>
      <c r="AI104" s="63" t="s">
        <v>30</v>
      </c>
      <c r="AJ104" s="63" t="s">
        <v>30</v>
      </c>
    </row>
    <row r="105" spans="2:36" hidden="1" outlineLevel="1" x14ac:dyDescent="0.25">
      <c r="B105" s="229" t="s">
        <v>195</v>
      </c>
      <c r="C105" s="229" t="s">
        <v>195</v>
      </c>
      <c r="E105" s="78" t="s">
        <v>35</v>
      </c>
      <c r="F105" s="21">
        <f>F219</f>
        <v>0</v>
      </c>
      <c r="G105" s="21">
        <f t="shared" ref="G105:H105" si="227">G219</f>
        <v>0</v>
      </c>
      <c r="H105" s="21">
        <f t="shared" si="227"/>
        <v>0</v>
      </c>
      <c r="I105" s="10">
        <f>IF(X105="",I219,X105)</f>
        <v>0</v>
      </c>
      <c r="J105" s="10">
        <f t="shared" ref="J105:L105" si="228">IF(Y105="",J219,Y105)</f>
        <v>0</v>
      </c>
      <c r="K105" s="10">
        <f t="shared" si="228"/>
        <v>0</v>
      </c>
      <c r="L105" s="10">
        <f t="shared" si="228"/>
        <v>0</v>
      </c>
      <c r="M105" s="17">
        <f>SUM(I105:L105)</f>
        <v>0</v>
      </c>
      <c r="N105" s="10">
        <f t="shared" ref="N105:Q105" si="229">IF(AC105="",N219,AC105)</f>
        <v>0</v>
      </c>
      <c r="O105" s="10">
        <f t="shared" si="229"/>
        <v>0</v>
      </c>
      <c r="P105" s="10">
        <f t="shared" si="229"/>
        <v>0</v>
      </c>
      <c r="Q105" s="10">
        <f t="shared" si="229"/>
        <v>0</v>
      </c>
      <c r="R105" s="22">
        <f>SUM(N105:Q105)</f>
        <v>0</v>
      </c>
      <c r="S105" s="23">
        <f t="shared" ref="S105:U105" si="230">IF(AH105="",S219,AH105)</f>
        <v>0</v>
      </c>
      <c r="T105" s="23">
        <f t="shared" si="230"/>
        <v>0</v>
      </c>
      <c r="U105" s="23">
        <f t="shared" si="230"/>
        <v>0</v>
      </c>
      <c r="W105" s="79" t="str">
        <f>E105</f>
        <v>Fixed Mfg</v>
      </c>
      <c r="X105" s="64"/>
      <c r="Y105" s="64"/>
      <c r="Z105" s="64"/>
      <c r="AA105" s="64"/>
      <c r="AB105" s="60"/>
      <c r="AC105" s="64"/>
      <c r="AD105" s="64"/>
      <c r="AE105" s="64"/>
      <c r="AF105" s="64"/>
      <c r="AG105" s="60"/>
      <c r="AH105" s="64"/>
      <c r="AI105" s="64"/>
      <c r="AJ105" s="64"/>
    </row>
    <row r="106" spans="2:36" hidden="1" outlineLevel="1" x14ac:dyDescent="0.25">
      <c r="B106" s="229" t="s">
        <v>195</v>
      </c>
      <c r="C106" s="229" t="s">
        <v>195</v>
      </c>
      <c r="E106" s="78" t="s">
        <v>77</v>
      </c>
      <c r="F106" s="21">
        <f t="shared" ref="F106:H106" si="231">F220</f>
        <v>0</v>
      </c>
      <c r="G106" s="21">
        <f t="shared" si="231"/>
        <v>0</v>
      </c>
      <c r="H106" s="21">
        <f t="shared" si="231"/>
        <v>0</v>
      </c>
      <c r="I106" s="10">
        <f t="shared" ref="I106:L106" si="232">IF(X106="",I220,X106)</f>
        <v>0</v>
      </c>
      <c r="J106" s="10">
        <f t="shared" si="232"/>
        <v>0</v>
      </c>
      <c r="K106" s="10">
        <f t="shared" si="232"/>
        <v>0</v>
      </c>
      <c r="L106" s="10">
        <f t="shared" si="232"/>
        <v>0</v>
      </c>
      <c r="M106" s="17">
        <f t="shared" ref="M106:M112" si="233">SUM(I106:L106)</f>
        <v>0</v>
      </c>
      <c r="N106" s="10">
        <f t="shared" ref="N106:Q106" si="234">IF(AC106="",N220,AC106)</f>
        <v>0</v>
      </c>
      <c r="O106" s="10">
        <f t="shared" si="234"/>
        <v>0</v>
      </c>
      <c r="P106" s="10">
        <f t="shared" si="234"/>
        <v>0</v>
      </c>
      <c r="Q106" s="10">
        <f t="shared" si="234"/>
        <v>0</v>
      </c>
      <c r="R106" s="22">
        <f t="shared" ref="R106:R112" si="235">SUM(N106:Q106)</f>
        <v>0</v>
      </c>
      <c r="S106" s="23">
        <f t="shared" ref="S106:U106" si="236">IF(AH106="",S220,AH106)</f>
        <v>0</v>
      </c>
      <c r="T106" s="23">
        <f t="shared" si="236"/>
        <v>0</v>
      </c>
      <c r="U106" s="23">
        <f t="shared" si="236"/>
        <v>0</v>
      </c>
      <c r="W106" s="79" t="str">
        <f t="shared" ref="W106:W112" si="237">E106</f>
        <v>blank</v>
      </c>
      <c r="X106" s="64"/>
      <c r="Y106" s="64"/>
      <c r="Z106" s="64"/>
      <c r="AA106" s="64"/>
      <c r="AB106" s="60"/>
      <c r="AC106" s="64"/>
      <c r="AD106" s="64"/>
      <c r="AE106" s="64"/>
      <c r="AF106" s="64"/>
      <c r="AG106" s="60"/>
      <c r="AH106" s="64"/>
      <c r="AI106" s="64"/>
      <c r="AJ106" s="64"/>
    </row>
    <row r="107" spans="2:36" hidden="1" outlineLevel="1" x14ac:dyDescent="0.25">
      <c r="B107" s="229" t="s">
        <v>195</v>
      </c>
      <c r="C107" s="229" t="s">
        <v>195</v>
      </c>
      <c r="E107" s="78" t="s">
        <v>77</v>
      </c>
      <c r="F107" s="21">
        <f t="shared" ref="F107:H107" si="238">F221</f>
        <v>0</v>
      </c>
      <c r="G107" s="21">
        <f t="shared" si="238"/>
        <v>0</v>
      </c>
      <c r="H107" s="21">
        <f t="shared" si="238"/>
        <v>0</v>
      </c>
      <c r="I107" s="10">
        <f t="shared" ref="I107:L107" si="239">IF(X107="",I221,X107)</f>
        <v>0</v>
      </c>
      <c r="J107" s="10">
        <f t="shared" si="239"/>
        <v>0</v>
      </c>
      <c r="K107" s="10">
        <f t="shared" si="239"/>
        <v>0</v>
      </c>
      <c r="L107" s="10">
        <f t="shared" si="239"/>
        <v>0</v>
      </c>
      <c r="M107" s="17">
        <f t="shared" si="233"/>
        <v>0</v>
      </c>
      <c r="N107" s="10">
        <f t="shared" ref="N107:Q107" si="240">IF(AC107="",N221,AC107)</f>
        <v>0</v>
      </c>
      <c r="O107" s="10">
        <f t="shared" si="240"/>
        <v>0</v>
      </c>
      <c r="P107" s="10">
        <f t="shared" si="240"/>
        <v>0</v>
      </c>
      <c r="Q107" s="10">
        <f t="shared" si="240"/>
        <v>0</v>
      </c>
      <c r="R107" s="22">
        <f t="shared" si="235"/>
        <v>0</v>
      </c>
      <c r="S107" s="23">
        <f t="shared" ref="S107:U107" si="241">IF(AH107="",S221,AH107)</f>
        <v>0</v>
      </c>
      <c r="T107" s="23">
        <f t="shared" si="241"/>
        <v>0</v>
      </c>
      <c r="U107" s="23">
        <f t="shared" si="241"/>
        <v>0</v>
      </c>
      <c r="W107" s="79" t="str">
        <f t="shared" si="237"/>
        <v>blank</v>
      </c>
      <c r="X107" s="64"/>
      <c r="Y107" s="64"/>
      <c r="Z107" s="64"/>
      <c r="AA107" s="64"/>
      <c r="AB107" s="60"/>
      <c r="AC107" s="64"/>
      <c r="AD107" s="64"/>
      <c r="AE107" s="64"/>
      <c r="AF107" s="64"/>
      <c r="AG107" s="60"/>
      <c r="AH107" s="64"/>
      <c r="AI107" s="64"/>
      <c r="AJ107" s="64"/>
    </row>
    <row r="108" spans="2:36" hidden="1" outlineLevel="1" x14ac:dyDescent="0.25">
      <c r="B108" s="229" t="s">
        <v>195</v>
      </c>
      <c r="C108" s="229" t="s">
        <v>195</v>
      </c>
      <c r="E108" s="78" t="s">
        <v>77</v>
      </c>
      <c r="F108" s="21">
        <f t="shared" ref="F108:H108" si="242">F222</f>
        <v>0</v>
      </c>
      <c r="G108" s="21">
        <f t="shared" si="242"/>
        <v>0</v>
      </c>
      <c r="H108" s="21">
        <f t="shared" si="242"/>
        <v>0</v>
      </c>
      <c r="I108" s="10">
        <f t="shared" ref="I108:L108" si="243">IF(X108="",I222,X108)</f>
        <v>0</v>
      </c>
      <c r="J108" s="10">
        <f t="shared" si="243"/>
        <v>0</v>
      </c>
      <c r="K108" s="10">
        <f t="shared" si="243"/>
        <v>0</v>
      </c>
      <c r="L108" s="10">
        <f t="shared" si="243"/>
        <v>0</v>
      </c>
      <c r="M108" s="17">
        <f t="shared" si="233"/>
        <v>0</v>
      </c>
      <c r="N108" s="10">
        <f t="shared" ref="N108:Q108" si="244">IF(AC108="",N222,AC108)</f>
        <v>0</v>
      </c>
      <c r="O108" s="10">
        <f t="shared" si="244"/>
        <v>0</v>
      </c>
      <c r="P108" s="10">
        <f t="shared" si="244"/>
        <v>0</v>
      </c>
      <c r="Q108" s="10">
        <f t="shared" si="244"/>
        <v>0</v>
      </c>
      <c r="R108" s="22">
        <f t="shared" si="235"/>
        <v>0</v>
      </c>
      <c r="S108" s="23">
        <f t="shared" ref="S108:U108" si="245">IF(AH108="",S222,AH108)</f>
        <v>0</v>
      </c>
      <c r="T108" s="23">
        <f t="shared" si="245"/>
        <v>0</v>
      </c>
      <c r="U108" s="23">
        <f t="shared" si="245"/>
        <v>0</v>
      </c>
      <c r="W108" s="79" t="str">
        <f t="shared" si="237"/>
        <v>blank</v>
      </c>
      <c r="X108" s="64"/>
      <c r="Y108" s="64"/>
      <c r="Z108" s="64"/>
      <c r="AA108" s="64"/>
      <c r="AB108" s="60"/>
      <c r="AC108" s="64"/>
      <c r="AD108" s="64"/>
      <c r="AE108" s="64"/>
      <c r="AF108" s="64"/>
      <c r="AG108" s="60"/>
      <c r="AH108" s="64"/>
      <c r="AI108" s="64"/>
      <c r="AJ108" s="64"/>
    </row>
    <row r="109" spans="2:36" hidden="1" outlineLevel="1" x14ac:dyDescent="0.25">
      <c r="B109" s="229" t="s">
        <v>195</v>
      </c>
      <c r="C109" s="229" t="s">
        <v>195</v>
      </c>
      <c r="E109" s="78" t="s">
        <v>77</v>
      </c>
      <c r="F109" s="21">
        <f t="shared" ref="F109:H109" si="246">F223</f>
        <v>0</v>
      </c>
      <c r="G109" s="21">
        <f t="shared" si="246"/>
        <v>0</v>
      </c>
      <c r="H109" s="21">
        <f t="shared" si="246"/>
        <v>0</v>
      </c>
      <c r="I109" s="10">
        <f t="shared" ref="I109:L109" si="247">IF(X109="",I223,X109)</f>
        <v>0</v>
      </c>
      <c r="J109" s="10">
        <f t="shared" si="247"/>
        <v>0</v>
      </c>
      <c r="K109" s="10">
        <f t="shared" si="247"/>
        <v>0</v>
      </c>
      <c r="L109" s="10">
        <f t="shared" si="247"/>
        <v>0</v>
      </c>
      <c r="M109" s="17">
        <f t="shared" si="233"/>
        <v>0</v>
      </c>
      <c r="N109" s="10">
        <f t="shared" ref="N109:Q109" si="248">IF(AC109="",N223,AC109)</f>
        <v>0</v>
      </c>
      <c r="O109" s="10">
        <f t="shared" si="248"/>
        <v>0</v>
      </c>
      <c r="P109" s="10">
        <f t="shared" si="248"/>
        <v>0</v>
      </c>
      <c r="Q109" s="10">
        <f t="shared" si="248"/>
        <v>0</v>
      </c>
      <c r="R109" s="22">
        <f t="shared" si="235"/>
        <v>0</v>
      </c>
      <c r="S109" s="23">
        <f t="shared" ref="S109:U109" si="249">IF(AH109="",S223,AH109)</f>
        <v>0</v>
      </c>
      <c r="T109" s="23">
        <f t="shared" si="249"/>
        <v>0</v>
      </c>
      <c r="U109" s="23">
        <f t="shared" si="249"/>
        <v>0</v>
      </c>
      <c r="W109" s="79" t="str">
        <f t="shared" si="237"/>
        <v>blank</v>
      </c>
      <c r="X109" s="64"/>
      <c r="Y109" s="64"/>
      <c r="Z109" s="64"/>
      <c r="AA109" s="64"/>
      <c r="AB109" s="60"/>
      <c r="AC109" s="64"/>
      <c r="AD109" s="64"/>
      <c r="AE109" s="64"/>
      <c r="AF109" s="64"/>
      <c r="AG109" s="60"/>
      <c r="AH109" s="64"/>
      <c r="AI109" s="64"/>
      <c r="AJ109" s="64"/>
    </row>
    <row r="110" spans="2:36" hidden="1" outlineLevel="1" x14ac:dyDescent="0.25">
      <c r="B110" s="229" t="s">
        <v>195</v>
      </c>
      <c r="C110" s="229" t="s">
        <v>195</v>
      </c>
      <c r="E110" s="78" t="s">
        <v>77</v>
      </c>
      <c r="F110" s="21">
        <f t="shared" ref="F110:H110" si="250">F224</f>
        <v>0</v>
      </c>
      <c r="G110" s="21">
        <f t="shared" si="250"/>
        <v>0</v>
      </c>
      <c r="H110" s="21">
        <f t="shared" si="250"/>
        <v>0</v>
      </c>
      <c r="I110" s="10">
        <f t="shared" ref="I110:L110" si="251">IF(X110="",I224,X110)</f>
        <v>0</v>
      </c>
      <c r="J110" s="10">
        <f t="shared" si="251"/>
        <v>0</v>
      </c>
      <c r="K110" s="10">
        <f t="shared" si="251"/>
        <v>0</v>
      </c>
      <c r="L110" s="10">
        <f t="shared" si="251"/>
        <v>0</v>
      </c>
      <c r="M110" s="17">
        <f t="shared" si="233"/>
        <v>0</v>
      </c>
      <c r="N110" s="10">
        <f t="shared" ref="N110:Q110" si="252">IF(AC110="",N224,AC110)</f>
        <v>0</v>
      </c>
      <c r="O110" s="10">
        <f t="shared" si="252"/>
        <v>0</v>
      </c>
      <c r="P110" s="10">
        <f t="shared" si="252"/>
        <v>0</v>
      </c>
      <c r="Q110" s="10">
        <f t="shared" si="252"/>
        <v>0</v>
      </c>
      <c r="R110" s="22">
        <f t="shared" si="235"/>
        <v>0</v>
      </c>
      <c r="S110" s="23">
        <f t="shared" ref="S110:U110" si="253">IF(AH110="",S224,AH110)</f>
        <v>0</v>
      </c>
      <c r="T110" s="23">
        <f t="shared" si="253"/>
        <v>0</v>
      </c>
      <c r="U110" s="23">
        <f t="shared" si="253"/>
        <v>0</v>
      </c>
      <c r="W110" s="79" t="str">
        <f t="shared" si="237"/>
        <v>blank</v>
      </c>
      <c r="X110" s="64"/>
      <c r="Y110" s="64"/>
      <c r="Z110" s="64"/>
      <c r="AA110" s="64"/>
      <c r="AB110" s="60"/>
      <c r="AC110" s="64"/>
      <c r="AD110" s="64"/>
      <c r="AE110" s="64"/>
      <c r="AF110" s="64"/>
      <c r="AG110" s="60"/>
      <c r="AH110" s="64"/>
      <c r="AI110" s="64"/>
      <c r="AJ110" s="64"/>
    </row>
    <row r="111" spans="2:36" hidden="1" outlineLevel="1" x14ac:dyDescent="0.25">
      <c r="B111" s="229" t="s">
        <v>195</v>
      </c>
      <c r="C111" s="229" t="s">
        <v>195</v>
      </c>
      <c r="E111" s="78" t="s">
        <v>77</v>
      </c>
      <c r="F111" s="21">
        <f t="shared" ref="F111:H111" si="254">F225</f>
        <v>0</v>
      </c>
      <c r="G111" s="21">
        <f t="shared" si="254"/>
        <v>0</v>
      </c>
      <c r="H111" s="21">
        <f t="shared" si="254"/>
        <v>0</v>
      </c>
      <c r="I111" s="10">
        <f t="shared" ref="I111:L111" si="255">IF(X111="",I225,X111)</f>
        <v>0</v>
      </c>
      <c r="J111" s="10">
        <f t="shared" si="255"/>
        <v>0</v>
      </c>
      <c r="K111" s="10">
        <f t="shared" si="255"/>
        <v>0</v>
      </c>
      <c r="L111" s="10">
        <f t="shared" si="255"/>
        <v>0</v>
      </c>
      <c r="M111" s="17">
        <f t="shared" si="233"/>
        <v>0</v>
      </c>
      <c r="N111" s="10">
        <f t="shared" ref="N111:Q111" si="256">IF(AC111="",N225,AC111)</f>
        <v>0</v>
      </c>
      <c r="O111" s="10">
        <f t="shared" si="256"/>
        <v>0</v>
      </c>
      <c r="P111" s="10">
        <f t="shared" si="256"/>
        <v>0</v>
      </c>
      <c r="Q111" s="10">
        <f t="shared" si="256"/>
        <v>0</v>
      </c>
      <c r="R111" s="22">
        <f t="shared" si="235"/>
        <v>0</v>
      </c>
      <c r="S111" s="23">
        <f t="shared" ref="S111:U111" si="257">IF(AH111="",S225,AH111)</f>
        <v>0</v>
      </c>
      <c r="T111" s="23">
        <f t="shared" si="257"/>
        <v>0</v>
      </c>
      <c r="U111" s="23">
        <f t="shared" si="257"/>
        <v>0</v>
      </c>
      <c r="W111" s="79" t="str">
        <f t="shared" si="237"/>
        <v>blank</v>
      </c>
      <c r="X111" s="64"/>
      <c r="Y111" s="64"/>
      <c r="Z111" s="64"/>
      <c r="AA111" s="64"/>
      <c r="AB111" s="60"/>
      <c r="AC111" s="64"/>
      <c r="AD111" s="64"/>
      <c r="AE111" s="64"/>
      <c r="AF111" s="64"/>
      <c r="AG111" s="60"/>
      <c r="AH111" s="64"/>
      <c r="AI111" s="64"/>
      <c r="AJ111" s="64"/>
    </row>
    <row r="112" spans="2:36" hidden="1" outlineLevel="1" x14ac:dyDescent="0.25">
      <c r="B112" s="229" t="s">
        <v>195</v>
      </c>
      <c r="C112" s="229" t="s">
        <v>195</v>
      </c>
      <c r="E112" s="78" t="s">
        <v>77</v>
      </c>
      <c r="F112" s="21">
        <f t="shared" ref="F112:H112" si="258">F226</f>
        <v>0</v>
      </c>
      <c r="G112" s="21">
        <f t="shared" si="258"/>
        <v>0</v>
      </c>
      <c r="H112" s="21">
        <f t="shared" si="258"/>
        <v>0</v>
      </c>
      <c r="I112" s="10">
        <f t="shared" ref="I112:L112" si="259">IF(X112="",I226,X112)</f>
        <v>0</v>
      </c>
      <c r="J112" s="10">
        <f t="shared" si="259"/>
        <v>0</v>
      </c>
      <c r="K112" s="10">
        <f t="shared" si="259"/>
        <v>0</v>
      </c>
      <c r="L112" s="10">
        <f t="shared" si="259"/>
        <v>0</v>
      </c>
      <c r="M112" s="17">
        <f t="shared" si="233"/>
        <v>0</v>
      </c>
      <c r="N112" s="10">
        <f t="shared" ref="N112:Q112" si="260">IF(AC112="",N226,AC112)</f>
        <v>0</v>
      </c>
      <c r="O112" s="10">
        <f t="shared" si="260"/>
        <v>0</v>
      </c>
      <c r="P112" s="10">
        <f t="shared" si="260"/>
        <v>0</v>
      </c>
      <c r="Q112" s="10">
        <f t="shared" si="260"/>
        <v>0</v>
      </c>
      <c r="R112" s="22">
        <f t="shared" si="235"/>
        <v>0</v>
      </c>
      <c r="S112" s="23">
        <f t="shared" ref="S112:U112" si="261">IF(AH112="",S226,AH112)</f>
        <v>0</v>
      </c>
      <c r="T112" s="23">
        <f t="shared" si="261"/>
        <v>0</v>
      </c>
      <c r="U112" s="23">
        <f t="shared" si="261"/>
        <v>0</v>
      </c>
      <c r="W112" s="79" t="str">
        <f t="shared" si="237"/>
        <v>blank</v>
      </c>
      <c r="X112" s="64"/>
      <c r="Y112" s="64"/>
      <c r="Z112" s="64"/>
      <c r="AA112" s="64"/>
      <c r="AB112" s="60"/>
      <c r="AC112" s="64"/>
      <c r="AD112" s="64"/>
      <c r="AE112" s="64"/>
      <c r="AF112" s="64"/>
      <c r="AG112" s="60"/>
      <c r="AH112" s="64"/>
      <c r="AI112" s="64"/>
      <c r="AJ112" s="64"/>
    </row>
    <row r="113" spans="2:36" ht="15.75" hidden="1" outlineLevel="1" thickBot="1" x14ac:dyDescent="0.3">
      <c r="E113" s="8" t="s">
        <v>27</v>
      </c>
      <c r="F113" s="9">
        <f>SUM(F105:F112)</f>
        <v>0</v>
      </c>
      <c r="G113" s="9">
        <f t="shared" ref="G113" si="262">SUM(G105:G112)</f>
        <v>0</v>
      </c>
      <c r="H113" s="9">
        <f t="shared" ref="H113" si="263">SUM(H105:H112)</f>
        <v>0</v>
      </c>
      <c r="I113" s="11">
        <f t="shared" ref="I113" si="264">SUM(I105:I112)</f>
        <v>0</v>
      </c>
      <c r="J113" s="11">
        <f t="shared" ref="J113" si="265">SUM(J105:J112)</f>
        <v>0</v>
      </c>
      <c r="K113" s="11">
        <f t="shared" ref="K113" si="266">SUM(K105:K112)</f>
        <v>0</v>
      </c>
      <c r="L113" s="11">
        <f t="shared" ref="L113" si="267">SUM(L105:L112)</f>
        <v>0</v>
      </c>
      <c r="M113" s="18">
        <f t="shared" ref="M113" si="268">SUM(M105:M112)</f>
        <v>0</v>
      </c>
      <c r="N113" s="11">
        <f t="shared" ref="N113" si="269">SUM(N105:N112)</f>
        <v>0</v>
      </c>
      <c r="O113" s="11">
        <f t="shared" ref="O113" si="270">SUM(O105:O112)</f>
        <v>0</v>
      </c>
      <c r="P113" s="11">
        <f t="shared" ref="P113" si="271">SUM(P105:P112)</f>
        <v>0</v>
      </c>
      <c r="Q113" s="11">
        <f t="shared" ref="Q113" si="272">SUM(Q105:Q112)</f>
        <v>0</v>
      </c>
      <c r="R113" s="19">
        <f t="shared" ref="R113" si="273">SUM(R105:R112)</f>
        <v>0</v>
      </c>
      <c r="S113" s="20">
        <f t="shared" ref="S113" si="274">SUM(S105:S112)</f>
        <v>0</v>
      </c>
      <c r="T113" s="20">
        <f t="shared" ref="T113" si="275">SUM(T105:T112)</f>
        <v>0</v>
      </c>
      <c r="U113" s="20">
        <f t="shared" ref="U113" si="276">SUM(U105:U112)</f>
        <v>0</v>
      </c>
    </row>
    <row r="114" spans="2:36" ht="15.75" hidden="1" outlineLevel="1" thickTop="1" x14ac:dyDescent="0.25"/>
    <row r="115" spans="2:36" hidden="1" outlineLevel="1" x14ac:dyDescent="0.25"/>
    <row r="116" spans="2:36" hidden="1" outlineLevel="1" x14ac:dyDescent="0.25"/>
    <row r="117" spans="2:36" ht="18.75" collapsed="1" x14ac:dyDescent="0.3">
      <c r="B117" s="4" t="s">
        <v>34</v>
      </c>
      <c r="C117" s="4" t="s">
        <v>387</v>
      </c>
      <c r="E117" s="53" t="str">
        <f>"Scenario 4: "&amp;Inputs!B25</f>
        <v>Scenario 4: Scenario 4</v>
      </c>
      <c r="F117" s="49"/>
      <c r="G117" s="49"/>
      <c r="H117" s="49"/>
      <c r="I117" s="49"/>
      <c r="J117" s="49"/>
      <c r="K117" s="49"/>
      <c r="L117" s="49"/>
      <c r="M117" s="49"/>
      <c r="N117" s="49"/>
      <c r="O117" s="49"/>
      <c r="P117" s="49"/>
      <c r="Q117" s="49"/>
      <c r="R117" s="49"/>
      <c r="S117" s="49"/>
      <c r="T117" s="49"/>
      <c r="U117" s="49"/>
    </row>
    <row r="118" spans="2:36" hidden="1" outlineLevel="1" x14ac:dyDescent="0.25">
      <c r="E118" s="52" t="str">
        <f>Inputs!C25</f>
        <v>Scenario 4 Description</v>
      </c>
    </row>
    <row r="119" spans="2:36" hidden="1" outlineLevel="1" x14ac:dyDescent="0.25"/>
    <row r="120" spans="2:36" hidden="1" outlineLevel="1" x14ac:dyDescent="0.25"/>
    <row r="121" spans="2:36" hidden="1" outlineLevel="1" x14ac:dyDescent="0.25">
      <c r="E121" s="4" t="s">
        <v>8</v>
      </c>
      <c r="W121" s="4" t="s">
        <v>8</v>
      </c>
    </row>
    <row r="122" spans="2:36" hidden="1" outlineLevel="1" x14ac:dyDescent="0.25">
      <c r="E122" t="s">
        <v>25</v>
      </c>
      <c r="W122" s="61" t="s">
        <v>62</v>
      </c>
    </row>
    <row r="123" spans="2:36" hidden="1" outlineLevel="1" x14ac:dyDescent="0.25"/>
    <row r="124" spans="2:36" hidden="1" outlineLevel="1" x14ac:dyDescent="0.25">
      <c r="F124" s="12">
        <f>Inputs!$C$7</f>
        <v>2023</v>
      </c>
      <c r="G124" s="12">
        <f>Inputs!$C$8</f>
        <v>2024</v>
      </c>
      <c r="H124" s="12">
        <f>Inputs!$C$9</f>
        <v>2025</v>
      </c>
      <c r="I124" s="13" t="s">
        <v>1</v>
      </c>
      <c r="J124" s="13" t="s">
        <v>2</v>
      </c>
      <c r="K124" s="13" t="s">
        <v>3</v>
      </c>
      <c r="L124" s="13" t="s">
        <v>4</v>
      </c>
      <c r="M124" s="13">
        <f>Inputs!$C$10</f>
        <v>2026</v>
      </c>
      <c r="N124" s="14" t="s">
        <v>1</v>
      </c>
      <c r="O124" s="14" t="s">
        <v>2</v>
      </c>
      <c r="P124" s="14" t="s">
        <v>3</v>
      </c>
      <c r="Q124" s="14" t="s">
        <v>4</v>
      </c>
      <c r="R124" s="15">
        <f>Inputs!$C$11</f>
        <v>2027</v>
      </c>
      <c r="S124" s="16">
        <f>Inputs!$C$12</f>
        <v>2028</v>
      </c>
      <c r="T124" s="16">
        <f>Inputs!$C$13</f>
        <v>2029</v>
      </c>
      <c r="U124" s="16">
        <f>Inputs!$C$14</f>
        <v>2030</v>
      </c>
      <c r="X124" s="13" t="s">
        <v>1</v>
      </c>
      <c r="Y124" s="13" t="s">
        <v>2</v>
      </c>
      <c r="Z124" s="13" t="s">
        <v>3</v>
      </c>
      <c r="AA124" s="13" t="s">
        <v>4</v>
      </c>
      <c r="AB124" s="13">
        <f>Inputs!$C$10</f>
        <v>2026</v>
      </c>
      <c r="AC124" s="14" t="s">
        <v>1</v>
      </c>
      <c r="AD124" s="14" t="s">
        <v>2</v>
      </c>
      <c r="AE124" s="14" t="s">
        <v>3</v>
      </c>
      <c r="AF124" s="14" t="s">
        <v>4</v>
      </c>
      <c r="AG124" s="15">
        <f>Inputs!$C$11</f>
        <v>2027</v>
      </c>
      <c r="AH124" s="16">
        <f>Inputs!$C$12</f>
        <v>2028</v>
      </c>
      <c r="AI124" s="16">
        <f>Inputs!$C$13</f>
        <v>2029</v>
      </c>
      <c r="AJ124" s="16">
        <f>Inputs!$C$14</f>
        <v>2030</v>
      </c>
    </row>
    <row r="125" spans="2:36" hidden="1" outlineLevel="1" x14ac:dyDescent="0.25">
      <c r="F125" s="71" t="s">
        <v>63</v>
      </c>
      <c r="G125" s="71" t="s">
        <v>63</v>
      </c>
      <c r="H125" s="71" t="s">
        <v>63</v>
      </c>
      <c r="I125" s="71" t="s">
        <v>63</v>
      </c>
      <c r="J125" s="71" t="s">
        <v>63</v>
      </c>
      <c r="K125" s="71" t="s">
        <v>63</v>
      </c>
      <c r="L125" s="71" t="s">
        <v>63</v>
      </c>
      <c r="M125" s="71" t="s">
        <v>63</v>
      </c>
      <c r="N125" s="71" t="s">
        <v>63</v>
      </c>
      <c r="O125" s="71" t="s">
        <v>63</v>
      </c>
      <c r="P125" s="71" t="s">
        <v>63</v>
      </c>
      <c r="Q125" s="71" t="s">
        <v>63</v>
      </c>
      <c r="R125" s="71" t="s">
        <v>63</v>
      </c>
      <c r="S125" s="71" t="s">
        <v>63</v>
      </c>
      <c r="T125" s="71" t="s">
        <v>63</v>
      </c>
      <c r="U125" s="71" t="s">
        <v>63</v>
      </c>
      <c r="X125" s="63" t="s">
        <v>30</v>
      </c>
      <c r="Y125" s="63" t="s">
        <v>30</v>
      </c>
      <c r="Z125" s="63" t="s">
        <v>30</v>
      </c>
      <c r="AA125" s="63" t="s">
        <v>30</v>
      </c>
      <c r="AB125" s="62"/>
      <c r="AC125" s="63" t="s">
        <v>30</v>
      </c>
      <c r="AD125" s="63" t="s">
        <v>30</v>
      </c>
      <c r="AE125" s="63" t="s">
        <v>30</v>
      </c>
      <c r="AF125" s="63" t="s">
        <v>30</v>
      </c>
      <c r="AG125" s="62"/>
      <c r="AH125" s="63" t="s">
        <v>30</v>
      </c>
      <c r="AI125" s="63" t="s">
        <v>30</v>
      </c>
      <c r="AJ125" s="63" t="s">
        <v>30</v>
      </c>
    </row>
    <row r="126" spans="2:36" hidden="1" outlineLevel="1" x14ac:dyDescent="0.25">
      <c r="B126" s="229" t="s">
        <v>195</v>
      </c>
      <c r="C126" s="229" t="s">
        <v>195</v>
      </c>
      <c r="E126" s="78" t="s">
        <v>8</v>
      </c>
      <c r="F126" s="21">
        <f>F202</f>
        <v>0</v>
      </c>
      <c r="G126" s="21">
        <f t="shared" ref="G126:H126" si="277">G202</f>
        <v>0</v>
      </c>
      <c r="H126" s="21">
        <f t="shared" si="277"/>
        <v>0</v>
      </c>
      <c r="I126" s="10">
        <f>IF(X126="",I202,X126)</f>
        <v>0</v>
      </c>
      <c r="J126" s="10">
        <f t="shared" ref="J126:L126" si="278">IF(Y126="",J202,Y126)</f>
        <v>0</v>
      </c>
      <c r="K126" s="10">
        <f t="shared" si="278"/>
        <v>0</v>
      </c>
      <c r="L126" s="10">
        <f t="shared" si="278"/>
        <v>0</v>
      </c>
      <c r="M126" s="17">
        <f>SUM(I126:L126)</f>
        <v>0</v>
      </c>
      <c r="N126" s="10">
        <f t="shared" ref="N126:Q126" si="279">IF(AC126="",N202,AC126)</f>
        <v>0</v>
      </c>
      <c r="O126" s="10">
        <f t="shared" si="279"/>
        <v>0</v>
      </c>
      <c r="P126" s="10">
        <f t="shared" si="279"/>
        <v>0</v>
      </c>
      <c r="Q126" s="10">
        <f t="shared" si="279"/>
        <v>0</v>
      </c>
      <c r="R126" s="22">
        <f t="shared" ref="R126:R133" si="280">SUM(N126:Q126)</f>
        <v>0</v>
      </c>
      <c r="S126" s="23">
        <f t="shared" ref="S126:U126" si="281">IF(AH126="",S202,AH126)</f>
        <v>0</v>
      </c>
      <c r="T126" s="23">
        <f t="shared" si="281"/>
        <v>0</v>
      </c>
      <c r="U126" s="23">
        <f t="shared" si="281"/>
        <v>0</v>
      </c>
      <c r="W126" s="79" t="str">
        <f>E126</f>
        <v>Variances</v>
      </c>
      <c r="X126" s="64"/>
      <c r="Y126" s="64"/>
      <c r="Z126" s="64"/>
      <c r="AA126" s="64"/>
      <c r="AB126" s="60"/>
      <c r="AC126" s="64"/>
      <c r="AD126" s="64"/>
      <c r="AE126" s="64"/>
      <c r="AF126" s="64"/>
      <c r="AG126" s="60"/>
      <c r="AH126" s="64"/>
      <c r="AI126" s="64"/>
      <c r="AJ126" s="64"/>
    </row>
    <row r="127" spans="2:36" hidden="1" outlineLevel="1" x14ac:dyDescent="0.25">
      <c r="B127" s="229" t="s">
        <v>195</v>
      </c>
      <c r="C127" s="229" t="s">
        <v>195</v>
      </c>
      <c r="E127" s="78" t="s">
        <v>75</v>
      </c>
      <c r="F127" s="21">
        <f t="shared" ref="F127:H127" si="282">F203</f>
        <v>0</v>
      </c>
      <c r="G127" s="21">
        <f t="shared" si="282"/>
        <v>0</v>
      </c>
      <c r="H127" s="21">
        <f t="shared" si="282"/>
        <v>0</v>
      </c>
      <c r="I127" s="10">
        <f t="shared" ref="I127:L127" si="283">IF(X127="",I203,X127)</f>
        <v>0</v>
      </c>
      <c r="J127" s="10">
        <f t="shared" si="283"/>
        <v>0</v>
      </c>
      <c r="K127" s="10">
        <f t="shared" si="283"/>
        <v>0</v>
      </c>
      <c r="L127" s="10">
        <f t="shared" si="283"/>
        <v>0</v>
      </c>
      <c r="M127" s="17">
        <f t="shared" ref="M127:M133" si="284">SUM(I127:L127)</f>
        <v>0</v>
      </c>
      <c r="N127" s="10">
        <f t="shared" ref="N127:Q127" si="285">IF(AC127="",N203,AC127)</f>
        <v>0</v>
      </c>
      <c r="O127" s="10">
        <f t="shared" si="285"/>
        <v>0</v>
      </c>
      <c r="P127" s="10">
        <f t="shared" si="285"/>
        <v>0</v>
      </c>
      <c r="Q127" s="10">
        <f t="shared" si="285"/>
        <v>0</v>
      </c>
      <c r="R127" s="22">
        <f t="shared" si="280"/>
        <v>0</v>
      </c>
      <c r="S127" s="23">
        <f t="shared" ref="S127:U127" si="286">IF(AH127="",S203,AH127)</f>
        <v>0</v>
      </c>
      <c r="T127" s="23">
        <f t="shared" si="286"/>
        <v>0</v>
      </c>
      <c r="U127" s="23">
        <f t="shared" si="286"/>
        <v>0</v>
      </c>
      <c r="W127" s="79" t="str">
        <f t="shared" ref="W127:W133" si="287">E127</f>
        <v>Exchange Gain/Loss</v>
      </c>
      <c r="X127" s="64"/>
      <c r="Y127" s="64"/>
      <c r="Z127" s="64"/>
      <c r="AA127" s="64"/>
      <c r="AB127" s="60"/>
      <c r="AC127" s="64"/>
      <c r="AD127" s="64"/>
      <c r="AE127" s="64"/>
      <c r="AF127" s="64"/>
      <c r="AG127" s="60"/>
      <c r="AH127" s="64"/>
      <c r="AI127" s="64"/>
      <c r="AJ127" s="64"/>
    </row>
    <row r="128" spans="2:36" hidden="1" outlineLevel="1" x14ac:dyDescent="0.25">
      <c r="B128" s="229" t="s">
        <v>195</v>
      </c>
      <c r="C128" s="229" t="s">
        <v>195</v>
      </c>
      <c r="E128" s="78" t="s">
        <v>77</v>
      </c>
      <c r="F128" s="21">
        <f t="shared" ref="F128:H128" si="288">F204</f>
        <v>0</v>
      </c>
      <c r="G128" s="21">
        <f t="shared" si="288"/>
        <v>0</v>
      </c>
      <c r="H128" s="21">
        <f t="shared" si="288"/>
        <v>0</v>
      </c>
      <c r="I128" s="10">
        <f t="shared" ref="I128:L128" si="289">IF(X128="",I204,X128)</f>
        <v>0</v>
      </c>
      <c r="J128" s="10">
        <f t="shared" si="289"/>
        <v>0</v>
      </c>
      <c r="K128" s="10">
        <f t="shared" si="289"/>
        <v>0</v>
      </c>
      <c r="L128" s="10">
        <f t="shared" si="289"/>
        <v>0</v>
      </c>
      <c r="M128" s="17">
        <f t="shared" si="284"/>
        <v>0</v>
      </c>
      <c r="N128" s="10">
        <f t="shared" ref="N128:Q128" si="290">IF(AC128="",N204,AC128)</f>
        <v>0</v>
      </c>
      <c r="O128" s="10">
        <f t="shared" si="290"/>
        <v>0</v>
      </c>
      <c r="P128" s="10">
        <f t="shared" si="290"/>
        <v>0</v>
      </c>
      <c r="Q128" s="10">
        <f t="shared" si="290"/>
        <v>0</v>
      </c>
      <c r="R128" s="22">
        <f t="shared" si="280"/>
        <v>0</v>
      </c>
      <c r="S128" s="23">
        <f t="shared" ref="S128:U128" si="291">IF(AH128="",S204,AH128)</f>
        <v>0</v>
      </c>
      <c r="T128" s="23">
        <f t="shared" si="291"/>
        <v>0</v>
      </c>
      <c r="U128" s="23">
        <f t="shared" si="291"/>
        <v>0</v>
      </c>
      <c r="W128" s="79" t="str">
        <f t="shared" si="287"/>
        <v>blank</v>
      </c>
      <c r="X128" s="64"/>
      <c r="Y128" s="64"/>
      <c r="Z128" s="64"/>
      <c r="AA128" s="64"/>
      <c r="AB128" s="60"/>
      <c r="AC128" s="64"/>
      <c r="AD128" s="64"/>
      <c r="AE128" s="64"/>
      <c r="AF128" s="64"/>
      <c r="AG128" s="60"/>
      <c r="AH128" s="64"/>
      <c r="AI128" s="64"/>
      <c r="AJ128" s="64"/>
    </row>
    <row r="129" spans="2:36" hidden="1" outlineLevel="1" x14ac:dyDescent="0.25">
      <c r="B129" s="229" t="s">
        <v>195</v>
      </c>
      <c r="C129" s="229" t="s">
        <v>195</v>
      </c>
      <c r="E129" s="78" t="s">
        <v>77</v>
      </c>
      <c r="F129" s="21">
        <f t="shared" ref="F129:H129" si="292">F205</f>
        <v>0</v>
      </c>
      <c r="G129" s="21">
        <f t="shared" si="292"/>
        <v>0</v>
      </c>
      <c r="H129" s="21">
        <f t="shared" si="292"/>
        <v>0</v>
      </c>
      <c r="I129" s="10">
        <f t="shared" ref="I129:L129" si="293">IF(X129="",I205,X129)</f>
        <v>0</v>
      </c>
      <c r="J129" s="10">
        <f t="shared" si="293"/>
        <v>0</v>
      </c>
      <c r="K129" s="10">
        <f t="shared" si="293"/>
        <v>0</v>
      </c>
      <c r="L129" s="10">
        <f t="shared" si="293"/>
        <v>0</v>
      </c>
      <c r="M129" s="17">
        <f t="shared" si="284"/>
        <v>0</v>
      </c>
      <c r="N129" s="10">
        <f t="shared" ref="N129:Q129" si="294">IF(AC129="",N205,AC129)</f>
        <v>0</v>
      </c>
      <c r="O129" s="10">
        <f t="shared" si="294"/>
        <v>0</v>
      </c>
      <c r="P129" s="10">
        <f t="shared" si="294"/>
        <v>0</v>
      </c>
      <c r="Q129" s="10">
        <f t="shared" si="294"/>
        <v>0</v>
      </c>
      <c r="R129" s="22">
        <f t="shared" si="280"/>
        <v>0</v>
      </c>
      <c r="S129" s="23">
        <f t="shared" ref="S129:U129" si="295">IF(AH129="",S205,AH129)</f>
        <v>0</v>
      </c>
      <c r="T129" s="23">
        <f t="shared" si="295"/>
        <v>0</v>
      </c>
      <c r="U129" s="23">
        <f t="shared" si="295"/>
        <v>0</v>
      </c>
      <c r="W129" s="79" t="str">
        <f t="shared" si="287"/>
        <v>blank</v>
      </c>
      <c r="X129" s="64"/>
      <c r="Y129" s="64"/>
      <c r="Z129" s="64"/>
      <c r="AA129" s="64"/>
      <c r="AB129" s="60"/>
      <c r="AC129" s="64"/>
      <c r="AD129" s="64"/>
      <c r="AE129" s="64"/>
      <c r="AF129" s="64"/>
      <c r="AG129" s="60"/>
      <c r="AH129" s="64"/>
      <c r="AI129" s="64"/>
      <c r="AJ129" s="64"/>
    </row>
    <row r="130" spans="2:36" hidden="1" outlineLevel="1" x14ac:dyDescent="0.25">
      <c r="B130" s="229" t="s">
        <v>195</v>
      </c>
      <c r="C130" s="229" t="s">
        <v>195</v>
      </c>
      <c r="E130" s="78" t="s">
        <v>77</v>
      </c>
      <c r="F130" s="21">
        <f t="shared" ref="F130:H130" si="296">F206</f>
        <v>0</v>
      </c>
      <c r="G130" s="21">
        <f t="shared" si="296"/>
        <v>0</v>
      </c>
      <c r="H130" s="21">
        <f t="shared" si="296"/>
        <v>0</v>
      </c>
      <c r="I130" s="10">
        <f t="shared" ref="I130:L130" si="297">IF(X130="",I206,X130)</f>
        <v>0</v>
      </c>
      <c r="J130" s="10">
        <f t="shared" si="297"/>
        <v>0</v>
      </c>
      <c r="K130" s="10">
        <f t="shared" si="297"/>
        <v>0</v>
      </c>
      <c r="L130" s="10">
        <f t="shared" si="297"/>
        <v>0</v>
      </c>
      <c r="M130" s="17">
        <f t="shared" si="284"/>
        <v>0</v>
      </c>
      <c r="N130" s="10">
        <f t="shared" ref="N130:Q130" si="298">IF(AC130="",N206,AC130)</f>
        <v>0</v>
      </c>
      <c r="O130" s="10">
        <f t="shared" si="298"/>
        <v>0</v>
      </c>
      <c r="P130" s="10">
        <f t="shared" si="298"/>
        <v>0</v>
      </c>
      <c r="Q130" s="10">
        <f t="shared" si="298"/>
        <v>0</v>
      </c>
      <c r="R130" s="22">
        <f t="shared" si="280"/>
        <v>0</v>
      </c>
      <c r="S130" s="23">
        <f t="shared" ref="S130:U130" si="299">IF(AH130="",S206,AH130)</f>
        <v>0</v>
      </c>
      <c r="T130" s="23">
        <f t="shared" si="299"/>
        <v>0</v>
      </c>
      <c r="U130" s="23">
        <f t="shared" si="299"/>
        <v>0</v>
      </c>
      <c r="W130" s="79" t="str">
        <f t="shared" si="287"/>
        <v>blank</v>
      </c>
      <c r="X130" s="64"/>
      <c r="Y130" s="64"/>
      <c r="Z130" s="64"/>
      <c r="AA130" s="64"/>
      <c r="AB130" s="60"/>
      <c r="AC130" s="64"/>
      <c r="AD130" s="64"/>
      <c r="AE130" s="64"/>
      <c r="AF130" s="64"/>
      <c r="AG130" s="60"/>
      <c r="AH130" s="64"/>
      <c r="AI130" s="64"/>
      <c r="AJ130" s="64"/>
    </row>
    <row r="131" spans="2:36" hidden="1" outlineLevel="1" x14ac:dyDescent="0.25">
      <c r="B131" s="229" t="s">
        <v>195</v>
      </c>
      <c r="C131" s="229" t="s">
        <v>195</v>
      </c>
      <c r="E131" s="78" t="s">
        <v>77</v>
      </c>
      <c r="F131" s="21">
        <f t="shared" ref="F131:H131" si="300">F207</f>
        <v>0</v>
      </c>
      <c r="G131" s="21">
        <f t="shared" si="300"/>
        <v>0</v>
      </c>
      <c r="H131" s="21">
        <f t="shared" si="300"/>
        <v>0</v>
      </c>
      <c r="I131" s="10">
        <f t="shared" ref="I131:L131" si="301">IF(X131="",I207,X131)</f>
        <v>0</v>
      </c>
      <c r="J131" s="10">
        <f t="shared" si="301"/>
        <v>0</v>
      </c>
      <c r="K131" s="10">
        <f t="shared" si="301"/>
        <v>0</v>
      </c>
      <c r="L131" s="10">
        <f t="shared" si="301"/>
        <v>0</v>
      </c>
      <c r="M131" s="17">
        <f t="shared" si="284"/>
        <v>0</v>
      </c>
      <c r="N131" s="10">
        <f t="shared" ref="N131:Q131" si="302">IF(AC131="",N207,AC131)</f>
        <v>0</v>
      </c>
      <c r="O131" s="10">
        <f t="shared" si="302"/>
        <v>0</v>
      </c>
      <c r="P131" s="10">
        <f t="shared" si="302"/>
        <v>0</v>
      </c>
      <c r="Q131" s="10">
        <f t="shared" si="302"/>
        <v>0</v>
      </c>
      <c r="R131" s="22">
        <f t="shared" si="280"/>
        <v>0</v>
      </c>
      <c r="S131" s="23">
        <f t="shared" ref="S131:U131" si="303">IF(AH131="",S207,AH131)</f>
        <v>0</v>
      </c>
      <c r="T131" s="23">
        <f t="shared" si="303"/>
        <v>0</v>
      </c>
      <c r="U131" s="23">
        <f t="shared" si="303"/>
        <v>0</v>
      </c>
      <c r="W131" s="79" t="str">
        <f t="shared" si="287"/>
        <v>blank</v>
      </c>
      <c r="X131" s="64"/>
      <c r="Y131" s="64"/>
      <c r="Z131" s="64"/>
      <c r="AA131" s="64"/>
      <c r="AB131" s="60"/>
      <c r="AC131" s="64"/>
      <c r="AD131" s="64"/>
      <c r="AE131" s="64"/>
      <c r="AF131" s="64"/>
      <c r="AG131" s="60"/>
      <c r="AH131" s="64"/>
      <c r="AI131" s="64"/>
      <c r="AJ131" s="64"/>
    </row>
    <row r="132" spans="2:36" hidden="1" outlineLevel="1" x14ac:dyDescent="0.25">
      <c r="B132" s="229" t="s">
        <v>195</v>
      </c>
      <c r="C132" s="229" t="s">
        <v>195</v>
      </c>
      <c r="E132" s="78" t="s">
        <v>77</v>
      </c>
      <c r="F132" s="21">
        <f t="shared" ref="F132:H132" si="304">F208</f>
        <v>0</v>
      </c>
      <c r="G132" s="21">
        <f t="shared" si="304"/>
        <v>0</v>
      </c>
      <c r="H132" s="21">
        <f t="shared" si="304"/>
        <v>0</v>
      </c>
      <c r="I132" s="10">
        <f t="shared" ref="I132:L132" si="305">IF(X132="",I208,X132)</f>
        <v>0</v>
      </c>
      <c r="J132" s="10">
        <f t="shared" si="305"/>
        <v>0</v>
      </c>
      <c r="K132" s="10">
        <f t="shared" si="305"/>
        <v>0</v>
      </c>
      <c r="L132" s="10">
        <f t="shared" si="305"/>
        <v>0</v>
      </c>
      <c r="M132" s="17">
        <f t="shared" si="284"/>
        <v>0</v>
      </c>
      <c r="N132" s="10">
        <f t="shared" ref="N132:Q132" si="306">IF(AC132="",N208,AC132)</f>
        <v>0</v>
      </c>
      <c r="O132" s="10">
        <f t="shared" si="306"/>
        <v>0</v>
      </c>
      <c r="P132" s="10">
        <f t="shared" si="306"/>
        <v>0</v>
      </c>
      <c r="Q132" s="10">
        <f t="shared" si="306"/>
        <v>0</v>
      </c>
      <c r="R132" s="22">
        <f t="shared" si="280"/>
        <v>0</v>
      </c>
      <c r="S132" s="23">
        <f t="shared" ref="S132:U132" si="307">IF(AH132="",S208,AH132)</f>
        <v>0</v>
      </c>
      <c r="T132" s="23">
        <f t="shared" si="307"/>
        <v>0</v>
      </c>
      <c r="U132" s="23">
        <f t="shared" si="307"/>
        <v>0</v>
      </c>
      <c r="W132" s="79" t="str">
        <f t="shared" si="287"/>
        <v>blank</v>
      </c>
      <c r="X132" s="64"/>
      <c r="Y132" s="64"/>
      <c r="Z132" s="64"/>
      <c r="AA132" s="64"/>
      <c r="AB132" s="60"/>
      <c r="AC132" s="64"/>
      <c r="AD132" s="64"/>
      <c r="AE132" s="64"/>
      <c r="AF132" s="64"/>
      <c r="AG132" s="60"/>
      <c r="AH132" s="64"/>
      <c r="AI132" s="64"/>
      <c r="AJ132" s="64"/>
    </row>
    <row r="133" spans="2:36" hidden="1" outlineLevel="1" x14ac:dyDescent="0.25">
      <c r="B133" s="229" t="s">
        <v>195</v>
      </c>
      <c r="C133" s="229" t="s">
        <v>195</v>
      </c>
      <c r="E133" s="78" t="s">
        <v>77</v>
      </c>
      <c r="F133" s="21">
        <f t="shared" ref="F133:H133" si="308">F209</f>
        <v>0</v>
      </c>
      <c r="G133" s="21">
        <f t="shared" si="308"/>
        <v>0</v>
      </c>
      <c r="H133" s="21">
        <f t="shared" si="308"/>
        <v>0</v>
      </c>
      <c r="I133" s="10">
        <f t="shared" ref="I133:L133" si="309">IF(X133="",I209,X133)</f>
        <v>0</v>
      </c>
      <c r="J133" s="10">
        <f t="shared" si="309"/>
        <v>0</v>
      </c>
      <c r="K133" s="10">
        <f t="shared" si="309"/>
        <v>0</v>
      </c>
      <c r="L133" s="10">
        <f t="shared" si="309"/>
        <v>0</v>
      </c>
      <c r="M133" s="17">
        <f t="shared" si="284"/>
        <v>0</v>
      </c>
      <c r="N133" s="10">
        <f t="shared" ref="N133:Q133" si="310">IF(AC133="",N209,AC133)</f>
        <v>0</v>
      </c>
      <c r="O133" s="10">
        <f t="shared" si="310"/>
        <v>0</v>
      </c>
      <c r="P133" s="10">
        <f t="shared" si="310"/>
        <v>0</v>
      </c>
      <c r="Q133" s="10">
        <f t="shared" si="310"/>
        <v>0</v>
      </c>
      <c r="R133" s="22">
        <f t="shared" si="280"/>
        <v>0</v>
      </c>
      <c r="S133" s="23">
        <f t="shared" ref="S133:U133" si="311">IF(AH133="",S209,AH133)</f>
        <v>0</v>
      </c>
      <c r="T133" s="23">
        <f t="shared" si="311"/>
        <v>0</v>
      </c>
      <c r="U133" s="23">
        <f t="shared" si="311"/>
        <v>0</v>
      </c>
      <c r="W133" s="79" t="str">
        <f t="shared" si="287"/>
        <v>blank</v>
      </c>
      <c r="X133" s="64"/>
      <c r="Y133" s="64"/>
      <c r="Z133" s="64"/>
      <c r="AA133" s="64"/>
      <c r="AB133" s="60"/>
      <c r="AC133" s="64"/>
      <c r="AD133" s="64"/>
      <c r="AE133" s="64"/>
      <c r="AF133" s="64"/>
      <c r="AG133" s="60"/>
      <c r="AH133" s="64"/>
      <c r="AI133" s="64"/>
      <c r="AJ133" s="64"/>
    </row>
    <row r="134" spans="2:36" ht="15.75" hidden="1" outlineLevel="1" thickBot="1" x14ac:dyDescent="0.3">
      <c r="E134" s="8" t="s">
        <v>27</v>
      </c>
      <c r="F134" s="9">
        <f>SUM(F126:F133)</f>
        <v>0</v>
      </c>
      <c r="G134" s="9">
        <f t="shared" ref="G134" si="312">SUM(G126:G133)</f>
        <v>0</v>
      </c>
      <c r="H134" s="9">
        <f t="shared" ref="H134" si="313">SUM(H126:H133)</f>
        <v>0</v>
      </c>
      <c r="I134" s="11">
        <f t="shared" ref="I134" si="314">SUM(I126:I133)</f>
        <v>0</v>
      </c>
      <c r="J134" s="11">
        <f t="shared" ref="J134" si="315">SUM(J126:J133)</f>
        <v>0</v>
      </c>
      <c r="K134" s="11">
        <f t="shared" ref="K134" si="316">SUM(K126:K133)</f>
        <v>0</v>
      </c>
      <c r="L134" s="11">
        <f t="shared" ref="L134" si="317">SUM(L126:L133)</f>
        <v>0</v>
      </c>
      <c r="M134" s="18">
        <f t="shared" ref="M134" si="318">SUM(M126:M133)</f>
        <v>0</v>
      </c>
      <c r="N134" s="11">
        <f t="shared" ref="N134" si="319">SUM(N126:N133)</f>
        <v>0</v>
      </c>
      <c r="O134" s="11">
        <f t="shared" ref="O134" si="320">SUM(O126:O133)</f>
        <v>0</v>
      </c>
      <c r="P134" s="11">
        <f t="shared" ref="P134" si="321">SUM(P126:P133)</f>
        <v>0</v>
      </c>
      <c r="Q134" s="11">
        <f t="shared" ref="Q134" si="322">SUM(Q126:Q133)</f>
        <v>0</v>
      </c>
      <c r="R134" s="19">
        <f t="shared" ref="R134" si="323">SUM(R126:R133)</f>
        <v>0</v>
      </c>
      <c r="S134" s="20">
        <f t="shared" ref="S134" si="324">SUM(S126:S133)</f>
        <v>0</v>
      </c>
      <c r="T134" s="20">
        <f t="shared" ref="T134" si="325">SUM(T126:T133)</f>
        <v>0</v>
      </c>
      <c r="U134" s="20">
        <f t="shared" ref="U134" si="326">SUM(U126:U133)</f>
        <v>0</v>
      </c>
    </row>
    <row r="135" spans="2:36" s="60" customFormat="1" ht="15.75" hidden="1" outlineLevel="1" thickTop="1" x14ac:dyDescent="0.25">
      <c r="E135" s="80"/>
      <c r="F135" s="81"/>
      <c r="G135" s="81"/>
      <c r="H135" s="81"/>
      <c r="I135" s="82"/>
      <c r="J135" s="82"/>
      <c r="K135" s="82"/>
      <c r="L135" s="82"/>
      <c r="M135" s="81"/>
      <c r="N135" s="82"/>
      <c r="O135" s="82"/>
      <c r="P135" s="82"/>
      <c r="Q135" s="82"/>
      <c r="R135" s="83"/>
      <c r="S135" s="83"/>
      <c r="T135" s="83"/>
      <c r="U135" s="83"/>
    </row>
    <row r="136" spans="2:36" s="60" customFormat="1" hidden="1" outlineLevel="1" x14ac:dyDescent="0.25">
      <c r="E136" s="80"/>
      <c r="F136" s="81"/>
      <c r="G136" s="81"/>
      <c r="H136" s="81"/>
      <c r="I136" s="82"/>
      <c r="J136" s="82"/>
      <c r="K136" s="82"/>
      <c r="L136" s="82"/>
      <c r="M136" s="81"/>
      <c r="N136" s="82"/>
      <c r="O136" s="82"/>
      <c r="P136" s="82"/>
      <c r="Q136" s="82"/>
      <c r="R136" s="83"/>
      <c r="S136" s="83"/>
      <c r="T136" s="83"/>
      <c r="U136" s="83"/>
    </row>
    <row r="137" spans="2:36" s="60" customFormat="1" hidden="1" outlineLevel="1" x14ac:dyDescent="0.25">
      <c r="E137" s="80"/>
      <c r="F137" s="81"/>
      <c r="G137" s="81"/>
      <c r="H137" s="81"/>
      <c r="I137" s="82"/>
      <c r="J137" s="82"/>
      <c r="K137" s="82"/>
      <c r="L137" s="82"/>
      <c r="M137" s="81"/>
      <c r="N137" s="82"/>
      <c r="O137" s="82"/>
      <c r="P137" s="82"/>
      <c r="Q137" s="82"/>
      <c r="R137" s="83"/>
      <c r="S137" s="83"/>
      <c r="T137" s="83"/>
      <c r="U137" s="83"/>
    </row>
    <row r="138" spans="2:36" s="60" customFormat="1" hidden="1" outlineLevel="1" x14ac:dyDescent="0.25">
      <c r="E138" s="48" t="s">
        <v>76</v>
      </c>
      <c r="F138" s="81"/>
      <c r="G138" s="81"/>
      <c r="H138" s="81"/>
      <c r="I138" s="82"/>
      <c r="J138" s="82"/>
      <c r="K138" s="82"/>
      <c r="L138" s="82"/>
      <c r="M138" s="81"/>
      <c r="N138" s="82"/>
      <c r="O138" s="82"/>
      <c r="P138" s="82"/>
      <c r="Q138" s="82"/>
      <c r="R138" s="83"/>
      <c r="S138" s="83"/>
      <c r="T138" s="83"/>
      <c r="U138" s="83"/>
      <c r="W138" s="4" t="s">
        <v>76</v>
      </c>
      <c r="X138"/>
      <c r="Y138"/>
      <c r="Z138"/>
      <c r="AA138"/>
      <c r="AB138"/>
      <c r="AC138"/>
      <c r="AD138"/>
      <c r="AE138"/>
      <c r="AF138"/>
      <c r="AG138"/>
      <c r="AH138"/>
      <c r="AI138"/>
      <c r="AJ138"/>
    </row>
    <row r="139" spans="2:36" s="60" customFormat="1" hidden="1" outlineLevel="1" x14ac:dyDescent="0.25">
      <c r="E139" t="s">
        <v>25</v>
      </c>
      <c r="F139" s="81"/>
      <c r="G139" s="81"/>
      <c r="H139" s="81"/>
      <c r="I139" s="82"/>
      <c r="J139" s="82"/>
      <c r="K139" s="82"/>
      <c r="L139" s="82"/>
      <c r="M139" s="81"/>
      <c r="N139" s="82"/>
      <c r="O139" s="82"/>
      <c r="P139" s="82"/>
      <c r="Q139" s="82"/>
      <c r="R139" s="83"/>
      <c r="S139" s="83"/>
      <c r="T139" s="83"/>
      <c r="U139" s="83"/>
      <c r="W139" s="61" t="s">
        <v>62</v>
      </c>
      <c r="X139"/>
      <c r="Y139"/>
      <c r="Z139"/>
      <c r="AA139"/>
      <c r="AB139"/>
      <c r="AC139"/>
      <c r="AD139"/>
      <c r="AE139"/>
      <c r="AF139"/>
      <c r="AG139"/>
      <c r="AH139"/>
      <c r="AI139"/>
      <c r="AJ139"/>
    </row>
    <row r="140" spans="2:36" s="60" customFormat="1" hidden="1" outlineLevel="1" x14ac:dyDescent="0.25">
      <c r="E140" s="80"/>
      <c r="F140" s="81"/>
      <c r="G140" s="81"/>
      <c r="H140" s="81"/>
      <c r="I140" s="82"/>
      <c r="J140" s="82"/>
      <c r="K140" s="82"/>
      <c r="L140" s="82"/>
      <c r="M140" s="81"/>
      <c r="N140" s="82"/>
      <c r="O140" s="82"/>
      <c r="P140" s="82"/>
      <c r="Q140" s="82"/>
      <c r="R140" s="83"/>
      <c r="S140" s="83"/>
      <c r="T140" s="83"/>
      <c r="U140" s="83"/>
      <c r="W140"/>
      <c r="X140"/>
      <c r="Y140"/>
      <c r="Z140"/>
      <c r="AA140"/>
      <c r="AB140"/>
      <c r="AC140"/>
      <c r="AD140"/>
      <c r="AE140"/>
      <c r="AF140"/>
      <c r="AG140"/>
      <c r="AH140"/>
      <c r="AI140"/>
      <c r="AJ140"/>
    </row>
    <row r="141" spans="2:36" s="60" customFormat="1" hidden="1" outlineLevel="1" x14ac:dyDescent="0.25">
      <c r="E141" s="80"/>
      <c r="F141" s="12">
        <f>Inputs!$C$7</f>
        <v>2023</v>
      </c>
      <c r="G141" s="12">
        <f>Inputs!$C$8</f>
        <v>2024</v>
      </c>
      <c r="H141" s="12">
        <f>Inputs!$C$9</f>
        <v>2025</v>
      </c>
      <c r="I141" s="13" t="s">
        <v>1</v>
      </c>
      <c r="J141" s="13" t="s">
        <v>2</v>
      </c>
      <c r="K141" s="13" t="s">
        <v>3</v>
      </c>
      <c r="L141" s="13" t="s">
        <v>4</v>
      </c>
      <c r="M141" s="13">
        <f>Inputs!$C$10</f>
        <v>2026</v>
      </c>
      <c r="N141" s="14" t="s">
        <v>1</v>
      </c>
      <c r="O141" s="14" t="s">
        <v>2</v>
      </c>
      <c r="P141" s="14" t="s">
        <v>3</v>
      </c>
      <c r="Q141" s="14" t="s">
        <v>4</v>
      </c>
      <c r="R141" s="15">
        <f>Inputs!$C$11</f>
        <v>2027</v>
      </c>
      <c r="S141" s="16">
        <f>Inputs!$C$12</f>
        <v>2028</v>
      </c>
      <c r="T141" s="16">
        <f>Inputs!$C$13</f>
        <v>2029</v>
      </c>
      <c r="U141" s="16">
        <f>Inputs!$C$14</f>
        <v>2030</v>
      </c>
      <c r="W141"/>
      <c r="X141" s="13" t="s">
        <v>1</v>
      </c>
      <c r="Y141" s="13" t="s">
        <v>2</v>
      </c>
      <c r="Z141" s="13" t="s">
        <v>3</v>
      </c>
      <c r="AA141" s="13" t="s">
        <v>4</v>
      </c>
      <c r="AB141" s="13">
        <f>Inputs!$C$10</f>
        <v>2026</v>
      </c>
      <c r="AC141" s="14" t="s">
        <v>1</v>
      </c>
      <c r="AD141" s="14" t="s">
        <v>2</v>
      </c>
      <c r="AE141" s="14" t="s">
        <v>3</v>
      </c>
      <c r="AF141" s="14" t="s">
        <v>4</v>
      </c>
      <c r="AG141" s="15">
        <f>Inputs!$C$11</f>
        <v>2027</v>
      </c>
      <c r="AH141" s="16">
        <f>Inputs!$C$12</f>
        <v>2028</v>
      </c>
      <c r="AI141" s="16">
        <f>Inputs!$C$13</f>
        <v>2029</v>
      </c>
      <c r="AJ141" s="16">
        <f>Inputs!$C$14</f>
        <v>2030</v>
      </c>
    </row>
    <row r="142" spans="2:36" s="60" customFormat="1" hidden="1" outlineLevel="1" x14ac:dyDescent="0.25">
      <c r="E142" s="80"/>
      <c r="F142" s="71" t="s">
        <v>63</v>
      </c>
      <c r="G142" s="71" t="s">
        <v>63</v>
      </c>
      <c r="H142" s="71" t="s">
        <v>63</v>
      </c>
      <c r="I142" s="71" t="s">
        <v>63</v>
      </c>
      <c r="J142" s="71" t="s">
        <v>63</v>
      </c>
      <c r="K142" s="71" t="s">
        <v>63</v>
      </c>
      <c r="L142" s="71" t="s">
        <v>63</v>
      </c>
      <c r="M142" s="71" t="s">
        <v>63</v>
      </c>
      <c r="N142" s="71" t="s">
        <v>63</v>
      </c>
      <c r="O142" s="71" t="s">
        <v>63</v>
      </c>
      <c r="P142" s="71" t="s">
        <v>63</v>
      </c>
      <c r="Q142" s="71" t="s">
        <v>63</v>
      </c>
      <c r="R142" s="71" t="s">
        <v>63</v>
      </c>
      <c r="S142" s="71" t="s">
        <v>63</v>
      </c>
      <c r="T142" s="71" t="s">
        <v>63</v>
      </c>
      <c r="U142" s="71" t="s">
        <v>63</v>
      </c>
      <c r="W142"/>
      <c r="X142" s="63" t="s">
        <v>30</v>
      </c>
      <c r="Y142" s="63" t="s">
        <v>30</v>
      </c>
      <c r="Z142" s="63" t="s">
        <v>30</v>
      </c>
      <c r="AA142" s="63" t="s">
        <v>30</v>
      </c>
      <c r="AB142" s="62"/>
      <c r="AC142" s="63" t="s">
        <v>30</v>
      </c>
      <c r="AD142" s="63" t="s">
        <v>30</v>
      </c>
      <c r="AE142" s="63" t="s">
        <v>30</v>
      </c>
      <c r="AF142" s="63" t="s">
        <v>30</v>
      </c>
      <c r="AG142" s="62"/>
      <c r="AH142" s="63" t="s">
        <v>30</v>
      </c>
      <c r="AI142" s="63" t="s">
        <v>30</v>
      </c>
      <c r="AJ142" s="63" t="s">
        <v>30</v>
      </c>
    </row>
    <row r="143" spans="2:36" hidden="1" outlineLevel="1" x14ac:dyDescent="0.25">
      <c r="B143" s="229" t="s">
        <v>195</v>
      </c>
      <c r="C143" s="229" t="s">
        <v>195</v>
      </c>
      <c r="E143" s="78" t="s">
        <v>35</v>
      </c>
      <c r="F143" s="21">
        <f>F219</f>
        <v>0</v>
      </c>
      <c r="G143" s="21">
        <f t="shared" ref="G143:H143" si="327">G219</f>
        <v>0</v>
      </c>
      <c r="H143" s="21">
        <f t="shared" si="327"/>
        <v>0</v>
      </c>
      <c r="I143" s="10">
        <f>IF(X143="",I219,X143)</f>
        <v>0</v>
      </c>
      <c r="J143" s="10">
        <f t="shared" ref="J143:L143" si="328">IF(Y143="",J219,Y143)</f>
        <v>0</v>
      </c>
      <c r="K143" s="10">
        <f t="shared" si="328"/>
        <v>0</v>
      </c>
      <c r="L143" s="10">
        <f t="shared" si="328"/>
        <v>0</v>
      </c>
      <c r="M143" s="17">
        <f>SUM(I143:L143)</f>
        <v>0</v>
      </c>
      <c r="N143" s="10">
        <f t="shared" ref="N143:Q143" si="329">IF(AC143="",N219,AC143)</f>
        <v>0</v>
      </c>
      <c r="O143" s="10">
        <f t="shared" si="329"/>
        <v>0</v>
      </c>
      <c r="P143" s="10">
        <f t="shared" si="329"/>
        <v>0</v>
      </c>
      <c r="Q143" s="10">
        <f t="shared" si="329"/>
        <v>0</v>
      </c>
      <c r="R143" s="22">
        <f>SUM(N143:Q143)</f>
        <v>0</v>
      </c>
      <c r="S143" s="23">
        <f t="shared" ref="S143:U143" si="330">IF(AH143="",S219,AH143)</f>
        <v>0</v>
      </c>
      <c r="T143" s="23">
        <f t="shared" si="330"/>
        <v>0</v>
      </c>
      <c r="U143" s="23">
        <f t="shared" si="330"/>
        <v>0</v>
      </c>
      <c r="W143" s="79" t="str">
        <f>E143</f>
        <v>Fixed Mfg</v>
      </c>
      <c r="X143" s="64"/>
      <c r="Y143" s="64"/>
      <c r="Z143" s="64"/>
      <c r="AA143" s="64"/>
      <c r="AB143" s="60"/>
      <c r="AC143" s="64"/>
      <c r="AD143" s="64"/>
      <c r="AE143" s="64"/>
      <c r="AF143" s="64"/>
      <c r="AG143" s="60"/>
      <c r="AH143" s="64"/>
      <c r="AI143" s="64"/>
      <c r="AJ143" s="64"/>
    </row>
    <row r="144" spans="2:36" hidden="1" outlineLevel="1" x14ac:dyDescent="0.25">
      <c r="B144" s="229" t="s">
        <v>195</v>
      </c>
      <c r="C144" s="229" t="s">
        <v>195</v>
      </c>
      <c r="E144" s="78" t="s">
        <v>77</v>
      </c>
      <c r="F144" s="21">
        <f t="shared" ref="F144:H144" si="331">F220</f>
        <v>0</v>
      </c>
      <c r="G144" s="21">
        <f t="shared" si="331"/>
        <v>0</v>
      </c>
      <c r="H144" s="21">
        <f t="shared" si="331"/>
        <v>0</v>
      </c>
      <c r="I144" s="10">
        <f t="shared" ref="I144:L144" si="332">IF(X144="",I220,X144)</f>
        <v>0</v>
      </c>
      <c r="J144" s="10">
        <f t="shared" si="332"/>
        <v>0</v>
      </c>
      <c r="K144" s="10">
        <f t="shared" si="332"/>
        <v>0</v>
      </c>
      <c r="L144" s="10">
        <f t="shared" si="332"/>
        <v>0</v>
      </c>
      <c r="M144" s="17">
        <f t="shared" ref="M144:M150" si="333">SUM(I144:L144)</f>
        <v>0</v>
      </c>
      <c r="N144" s="10">
        <f t="shared" ref="N144:Q144" si="334">IF(AC144="",N220,AC144)</f>
        <v>0</v>
      </c>
      <c r="O144" s="10">
        <f t="shared" si="334"/>
        <v>0</v>
      </c>
      <c r="P144" s="10">
        <f t="shared" si="334"/>
        <v>0</v>
      </c>
      <c r="Q144" s="10">
        <f t="shared" si="334"/>
        <v>0</v>
      </c>
      <c r="R144" s="22">
        <f t="shared" ref="R144:R150" si="335">SUM(N144:Q144)</f>
        <v>0</v>
      </c>
      <c r="S144" s="23">
        <f t="shared" ref="S144:U144" si="336">IF(AH144="",S220,AH144)</f>
        <v>0</v>
      </c>
      <c r="T144" s="23">
        <f t="shared" si="336"/>
        <v>0</v>
      </c>
      <c r="U144" s="23">
        <f t="shared" si="336"/>
        <v>0</v>
      </c>
      <c r="W144" s="79" t="str">
        <f t="shared" ref="W144:W150" si="337">E144</f>
        <v>blank</v>
      </c>
      <c r="X144" s="64"/>
      <c r="Y144" s="64"/>
      <c r="Z144" s="64"/>
      <c r="AA144" s="64"/>
      <c r="AB144" s="60"/>
      <c r="AC144" s="64"/>
      <c r="AD144" s="64"/>
      <c r="AE144" s="64"/>
      <c r="AF144" s="64"/>
      <c r="AG144" s="60"/>
      <c r="AH144" s="64"/>
      <c r="AI144" s="64"/>
      <c r="AJ144" s="64"/>
    </row>
    <row r="145" spans="2:36" hidden="1" outlineLevel="1" x14ac:dyDescent="0.25">
      <c r="B145" s="229" t="s">
        <v>195</v>
      </c>
      <c r="C145" s="229" t="s">
        <v>195</v>
      </c>
      <c r="E145" s="78" t="s">
        <v>77</v>
      </c>
      <c r="F145" s="21">
        <f t="shared" ref="F145:H145" si="338">F221</f>
        <v>0</v>
      </c>
      <c r="G145" s="21">
        <f t="shared" si="338"/>
        <v>0</v>
      </c>
      <c r="H145" s="21">
        <f t="shared" si="338"/>
        <v>0</v>
      </c>
      <c r="I145" s="10">
        <f t="shared" ref="I145:L145" si="339">IF(X145="",I221,X145)</f>
        <v>0</v>
      </c>
      <c r="J145" s="10">
        <f t="shared" si="339"/>
        <v>0</v>
      </c>
      <c r="K145" s="10">
        <f t="shared" si="339"/>
        <v>0</v>
      </c>
      <c r="L145" s="10">
        <f t="shared" si="339"/>
        <v>0</v>
      </c>
      <c r="M145" s="17">
        <f t="shared" si="333"/>
        <v>0</v>
      </c>
      <c r="N145" s="10">
        <f t="shared" ref="N145:Q145" si="340">IF(AC145="",N221,AC145)</f>
        <v>0</v>
      </c>
      <c r="O145" s="10">
        <f t="shared" si="340"/>
        <v>0</v>
      </c>
      <c r="P145" s="10">
        <f t="shared" si="340"/>
        <v>0</v>
      </c>
      <c r="Q145" s="10">
        <f t="shared" si="340"/>
        <v>0</v>
      </c>
      <c r="R145" s="22">
        <f t="shared" si="335"/>
        <v>0</v>
      </c>
      <c r="S145" s="23">
        <f t="shared" ref="S145:U145" si="341">IF(AH145="",S221,AH145)</f>
        <v>0</v>
      </c>
      <c r="T145" s="23">
        <f t="shared" si="341"/>
        <v>0</v>
      </c>
      <c r="U145" s="23">
        <f t="shared" si="341"/>
        <v>0</v>
      </c>
      <c r="W145" s="79" t="str">
        <f t="shared" si="337"/>
        <v>blank</v>
      </c>
      <c r="X145" s="64"/>
      <c r="Y145" s="64"/>
      <c r="Z145" s="64"/>
      <c r="AA145" s="64"/>
      <c r="AB145" s="60"/>
      <c r="AC145" s="64"/>
      <c r="AD145" s="64"/>
      <c r="AE145" s="64"/>
      <c r="AF145" s="64"/>
      <c r="AG145" s="60"/>
      <c r="AH145" s="64"/>
      <c r="AI145" s="64"/>
      <c r="AJ145" s="64"/>
    </row>
    <row r="146" spans="2:36" hidden="1" outlineLevel="1" x14ac:dyDescent="0.25">
      <c r="B146" s="229" t="s">
        <v>195</v>
      </c>
      <c r="C146" s="229" t="s">
        <v>195</v>
      </c>
      <c r="E146" s="78" t="s">
        <v>77</v>
      </c>
      <c r="F146" s="21">
        <f t="shared" ref="F146:H146" si="342">F222</f>
        <v>0</v>
      </c>
      <c r="G146" s="21">
        <f t="shared" si="342"/>
        <v>0</v>
      </c>
      <c r="H146" s="21">
        <f t="shared" si="342"/>
        <v>0</v>
      </c>
      <c r="I146" s="10">
        <f t="shared" ref="I146:L146" si="343">IF(X146="",I222,X146)</f>
        <v>0</v>
      </c>
      <c r="J146" s="10">
        <f t="shared" si="343"/>
        <v>0</v>
      </c>
      <c r="K146" s="10">
        <f t="shared" si="343"/>
        <v>0</v>
      </c>
      <c r="L146" s="10">
        <f t="shared" si="343"/>
        <v>0</v>
      </c>
      <c r="M146" s="17">
        <f t="shared" si="333"/>
        <v>0</v>
      </c>
      <c r="N146" s="10">
        <f t="shared" ref="N146:Q146" si="344">IF(AC146="",N222,AC146)</f>
        <v>0</v>
      </c>
      <c r="O146" s="10">
        <f t="shared" si="344"/>
        <v>0</v>
      </c>
      <c r="P146" s="10">
        <f t="shared" si="344"/>
        <v>0</v>
      </c>
      <c r="Q146" s="10">
        <f t="shared" si="344"/>
        <v>0</v>
      </c>
      <c r="R146" s="22">
        <f t="shared" si="335"/>
        <v>0</v>
      </c>
      <c r="S146" s="23">
        <f t="shared" ref="S146:U146" si="345">IF(AH146="",S222,AH146)</f>
        <v>0</v>
      </c>
      <c r="T146" s="23">
        <f t="shared" si="345"/>
        <v>0</v>
      </c>
      <c r="U146" s="23">
        <f t="shared" si="345"/>
        <v>0</v>
      </c>
      <c r="W146" s="79" t="str">
        <f t="shared" si="337"/>
        <v>blank</v>
      </c>
      <c r="X146" s="64"/>
      <c r="Y146" s="64"/>
      <c r="Z146" s="64"/>
      <c r="AA146" s="64"/>
      <c r="AB146" s="60"/>
      <c r="AC146" s="64"/>
      <c r="AD146" s="64"/>
      <c r="AE146" s="64"/>
      <c r="AF146" s="64"/>
      <c r="AG146" s="60"/>
      <c r="AH146" s="64"/>
      <c r="AI146" s="64"/>
      <c r="AJ146" s="64"/>
    </row>
    <row r="147" spans="2:36" hidden="1" outlineLevel="1" x14ac:dyDescent="0.25">
      <c r="B147" s="229" t="s">
        <v>195</v>
      </c>
      <c r="C147" s="229" t="s">
        <v>195</v>
      </c>
      <c r="E147" s="78" t="s">
        <v>77</v>
      </c>
      <c r="F147" s="21">
        <f t="shared" ref="F147:H147" si="346">F223</f>
        <v>0</v>
      </c>
      <c r="G147" s="21">
        <f t="shared" si="346"/>
        <v>0</v>
      </c>
      <c r="H147" s="21">
        <f t="shared" si="346"/>
        <v>0</v>
      </c>
      <c r="I147" s="10">
        <f t="shared" ref="I147:L147" si="347">IF(X147="",I223,X147)</f>
        <v>0</v>
      </c>
      <c r="J147" s="10">
        <f t="shared" si="347"/>
        <v>0</v>
      </c>
      <c r="K147" s="10">
        <f t="shared" si="347"/>
        <v>0</v>
      </c>
      <c r="L147" s="10">
        <f t="shared" si="347"/>
        <v>0</v>
      </c>
      <c r="M147" s="17">
        <f t="shared" si="333"/>
        <v>0</v>
      </c>
      <c r="N147" s="10">
        <f t="shared" ref="N147:Q147" si="348">IF(AC147="",N223,AC147)</f>
        <v>0</v>
      </c>
      <c r="O147" s="10">
        <f t="shared" si="348"/>
        <v>0</v>
      </c>
      <c r="P147" s="10">
        <f t="shared" si="348"/>
        <v>0</v>
      </c>
      <c r="Q147" s="10">
        <f t="shared" si="348"/>
        <v>0</v>
      </c>
      <c r="R147" s="22">
        <f t="shared" si="335"/>
        <v>0</v>
      </c>
      <c r="S147" s="23">
        <f t="shared" ref="S147:U147" si="349">IF(AH147="",S223,AH147)</f>
        <v>0</v>
      </c>
      <c r="T147" s="23">
        <f t="shared" si="349"/>
        <v>0</v>
      </c>
      <c r="U147" s="23">
        <f t="shared" si="349"/>
        <v>0</v>
      </c>
      <c r="W147" s="79" t="str">
        <f t="shared" si="337"/>
        <v>blank</v>
      </c>
      <c r="X147" s="64"/>
      <c r="Y147" s="64"/>
      <c r="Z147" s="64"/>
      <c r="AA147" s="64"/>
      <c r="AB147" s="60"/>
      <c r="AC147" s="64"/>
      <c r="AD147" s="64"/>
      <c r="AE147" s="64"/>
      <c r="AF147" s="64"/>
      <c r="AG147" s="60"/>
      <c r="AH147" s="64"/>
      <c r="AI147" s="64"/>
      <c r="AJ147" s="64"/>
    </row>
    <row r="148" spans="2:36" hidden="1" outlineLevel="1" x14ac:dyDescent="0.25">
      <c r="B148" s="229" t="s">
        <v>195</v>
      </c>
      <c r="C148" s="229" t="s">
        <v>195</v>
      </c>
      <c r="E148" s="78" t="s">
        <v>77</v>
      </c>
      <c r="F148" s="21">
        <f t="shared" ref="F148:H148" si="350">F224</f>
        <v>0</v>
      </c>
      <c r="G148" s="21">
        <f t="shared" si="350"/>
        <v>0</v>
      </c>
      <c r="H148" s="21">
        <f t="shared" si="350"/>
        <v>0</v>
      </c>
      <c r="I148" s="10">
        <f t="shared" ref="I148:L148" si="351">IF(X148="",I224,X148)</f>
        <v>0</v>
      </c>
      <c r="J148" s="10">
        <f t="shared" si="351"/>
        <v>0</v>
      </c>
      <c r="K148" s="10">
        <f t="shared" si="351"/>
        <v>0</v>
      </c>
      <c r="L148" s="10">
        <f t="shared" si="351"/>
        <v>0</v>
      </c>
      <c r="M148" s="17">
        <f t="shared" si="333"/>
        <v>0</v>
      </c>
      <c r="N148" s="10">
        <f t="shared" ref="N148:Q148" si="352">IF(AC148="",N224,AC148)</f>
        <v>0</v>
      </c>
      <c r="O148" s="10">
        <f t="shared" si="352"/>
        <v>0</v>
      </c>
      <c r="P148" s="10">
        <f t="shared" si="352"/>
        <v>0</v>
      </c>
      <c r="Q148" s="10">
        <f t="shared" si="352"/>
        <v>0</v>
      </c>
      <c r="R148" s="22">
        <f t="shared" si="335"/>
        <v>0</v>
      </c>
      <c r="S148" s="23">
        <f t="shared" ref="S148:U148" si="353">IF(AH148="",S224,AH148)</f>
        <v>0</v>
      </c>
      <c r="T148" s="23">
        <f t="shared" si="353"/>
        <v>0</v>
      </c>
      <c r="U148" s="23">
        <f t="shared" si="353"/>
        <v>0</v>
      </c>
      <c r="W148" s="79" t="str">
        <f t="shared" si="337"/>
        <v>blank</v>
      </c>
      <c r="X148" s="64"/>
      <c r="Y148" s="64"/>
      <c r="Z148" s="64"/>
      <c r="AA148" s="64"/>
      <c r="AB148" s="60"/>
      <c r="AC148" s="64"/>
      <c r="AD148" s="64"/>
      <c r="AE148" s="64"/>
      <c r="AF148" s="64"/>
      <c r="AG148" s="60"/>
      <c r="AH148" s="64"/>
      <c r="AI148" s="64"/>
      <c r="AJ148" s="64"/>
    </row>
    <row r="149" spans="2:36" hidden="1" outlineLevel="1" x14ac:dyDescent="0.25">
      <c r="B149" s="229" t="s">
        <v>195</v>
      </c>
      <c r="C149" s="229" t="s">
        <v>195</v>
      </c>
      <c r="E149" s="78" t="s">
        <v>77</v>
      </c>
      <c r="F149" s="21">
        <f t="shared" ref="F149:H149" si="354">F225</f>
        <v>0</v>
      </c>
      <c r="G149" s="21">
        <f t="shared" si="354"/>
        <v>0</v>
      </c>
      <c r="H149" s="21">
        <f t="shared" si="354"/>
        <v>0</v>
      </c>
      <c r="I149" s="10">
        <f t="shared" ref="I149:L149" si="355">IF(X149="",I225,X149)</f>
        <v>0</v>
      </c>
      <c r="J149" s="10">
        <f t="shared" si="355"/>
        <v>0</v>
      </c>
      <c r="K149" s="10">
        <f t="shared" si="355"/>
        <v>0</v>
      </c>
      <c r="L149" s="10">
        <f t="shared" si="355"/>
        <v>0</v>
      </c>
      <c r="M149" s="17">
        <f t="shared" si="333"/>
        <v>0</v>
      </c>
      <c r="N149" s="10">
        <f t="shared" ref="N149:Q149" si="356">IF(AC149="",N225,AC149)</f>
        <v>0</v>
      </c>
      <c r="O149" s="10">
        <f t="shared" si="356"/>
        <v>0</v>
      </c>
      <c r="P149" s="10">
        <f t="shared" si="356"/>
        <v>0</v>
      </c>
      <c r="Q149" s="10">
        <f t="shared" si="356"/>
        <v>0</v>
      </c>
      <c r="R149" s="22">
        <f t="shared" si="335"/>
        <v>0</v>
      </c>
      <c r="S149" s="23">
        <f t="shared" ref="S149:U149" si="357">IF(AH149="",S225,AH149)</f>
        <v>0</v>
      </c>
      <c r="T149" s="23">
        <f t="shared" si="357"/>
        <v>0</v>
      </c>
      <c r="U149" s="23">
        <f t="shared" si="357"/>
        <v>0</v>
      </c>
      <c r="W149" s="79" t="str">
        <f t="shared" si="337"/>
        <v>blank</v>
      </c>
      <c r="X149" s="64"/>
      <c r="Y149" s="64"/>
      <c r="Z149" s="64"/>
      <c r="AA149" s="64"/>
      <c r="AB149" s="60"/>
      <c r="AC149" s="64"/>
      <c r="AD149" s="64"/>
      <c r="AE149" s="64"/>
      <c r="AF149" s="64"/>
      <c r="AG149" s="60"/>
      <c r="AH149" s="64"/>
      <c r="AI149" s="64"/>
      <c r="AJ149" s="64"/>
    </row>
    <row r="150" spans="2:36" hidden="1" outlineLevel="1" x14ac:dyDescent="0.25">
      <c r="B150" s="229" t="s">
        <v>195</v>
      </c>
      <c r="C150" s="229" t="s">
        <v>195</v>
      </c>
      <c r="E150" s="78" t="s">
        <v>77</v>
      </c>
      <c r="F150" s="21">
        <f t="shared" ref="F150:H150" si="358">F226</f>
        <v>0</v>
      </c>
      <c r="G150" s="21">
        <f t="shared" si="358"/>
        <v>0</v>
      </c>
      <c r="H150" s="21">
        <f t="shared" si="358"/>
        <v>0</v>
      </c>
      <c r="I150" s="10">
        <f t="shared" ref="I150:L150" si="359">IF(X150="",I226,X150)</f>
        <v>0</v>
      </c>
      <c r="J150" s="10">
        <f t="shared" si="359"/>
        <v>0</v>
      </c>
      <c r="K150" s="10">
        <f t="shared" si="359"/>
        <v>0</v>
      </c>
      <c r="L150" s="10">
        <f t="shared" si="359"/>
        <v>0</v>
      </c>
      <c r="M150" s="17">
        <f t="shared" si="333"/>
        <v>0</v>
      </c>
      <c r="N150" s="10">
        <f t="shared" ref="N150:Q150" si="360">IF(AC150="",N226,AC150)</f>
        <v>0</v>
      </c>
      <c r="O150" s="10">
        <f t="shared" si="360"/>
        <v>0</v>
      </c>
      <c r="P150" s="10">
        <f t="shared" si="360"/>
        <v>0</v>
      </c>
      <c r="Q150" s="10">
        <f t="shared" si="360"/>
        <v>0</v>
      </c>
      <c r="R150" s="22">
        <f t="shared" si="335"/>
        <v>0</v>
      </c>
      <c r="S150" s="23">
        <f t="shared" ref="S150:U150" si="361">IF(AH150="",S226,AH150)</f>
        <v>0</v>
      </c>
      <c r="T150" s="23">
        <f t="shared" si="361"/>
        <v>0</v>
      </c>
      <c r="U150" s="23">
        <f t="shared" si="361"/>
        <v>0</v>
      </c>
      <c r="W150" s="79" t="str">
        <f t="shared" si="337"/>
        <v>blank</v>
      </c>
      <c r="X150" s="64"/>
      <c r="Y150" s="64"/>
      <c r="Z150" s="64"/>
      <c r="AA150" s="64"/>
      <c r="AB150" s="60"/>
      <c r="AC150" s="64"/>
      <c r="AD150" s="64"/>
      <c r="AE150" s="64"/>
      <c r="AF150" s="64"/>
      <c r="AG150" s="60"/>
      <c r="AH150" s="64"/>
      <c r="AI150" s="64"/>
      <c r="AJ150" s="64"/>
    </row>
    <row r="151" spans="2:36" ht="15.75" hidden="1" outlineLevel="1" thickBot="1" x14ac:dyDescent="0.3">
      <c r="E151" s="8" t="s">
        <v>27</v>
      </c>
      <c r="F151" s="9">
        <f>SUM(F143:F150)</f>
        <v>0</v>
      </c>
      <c r="G151" s="9">
        <f t="shared" ref="G151" si="362">SUM(G143:G150)</f>
        <v>0</v>
      </c>
      <c r="H151" s="9">
        <f t="shared" ref="H151" si="363">SUM(H143:H150)</f>
        <v>0</v>
      </c>
      <c r="I151" s="11">
        <f t="shared" ref="I151" si="364">SUM(I143:I150)</f>
        <v>0</v>
      </c>
      <c r="J151" s="11">
        <f t="shared" ref="J151" si="365">SUM(J143:J150)</f>
        <v>0</v>
      </c>
      <c r="K151" s="11">
        <f t="shared" ref="K151" si="366">SUM(K143:K150)</f>
        <v>0</v>
      </c>
      <c r="L151" s="11">
        <f t="shared" ref="L151" si="367">SUM(L143:L150)</f>
        <v>0</v>
      </c>
      <c r="M151" s="18">
        <f t="shared" ref="M151" si="368">SUM(M143:M150)</f>
        <v>0</v>
      </c>
      <c r="N151" s="11">
        <f t="shared" ref="N151" si="369">SUM(N143:N150)</f>
        <v>0</v>
      </c>
      <c r="O151" s="11">
        <f t="shared" ref="O151" si="370">SUM(O143:O150)</f>
        <v>0</v>
      </c>
      <c r="P151" s="11">
        <f t="shared" ref="P151" si="371">SUM(P143:P150)</f>
        <v>0</v>
      </c>
      <c r="Q151" s="11">
        <f t="shared" ref="Q151" si="372">SUM(Q143:Q150)</f>
        <v>0</v>
      </c>
      <c r="R151" s="19">
        <f t="shared" ref="R151" si="373">SUM(R143:R150)</f>
        <v>0</v>
      </c>
      <c r="S151" s="20">
        <f t="shared" ref="S151" si="374">SUM(S143:S150)</f>
        <v>0</v>
      </c>
      <c r="T151" s="20">
        <f t="shared" ref="T151" si="375">SUM(T143:T150)</f>
        <v>0</v>
      </c>
      <c r="U151" s="20">
        <f t="shared" ref="U151" si="376">SUM(U143:U150)</f>
        <v>0</v>
      </c>
    </row>
    <row r="152" spans="2:36" ht="15.75" hidden="1" outlineLevel="1" thickTop="1" x14ac:dyDescent="0.25"/>
    <row r="153" spans="2:36" hidden="1" outlineLevel="1" x14ac:dyDescent="0.25"/>
    <row r="154" spans="2:36" hidden="1" outlineLevel="1" x14ac:dyDescent="0.25"/>
    <row r="155" spans="2:36" ht="18.75" collapsed="1" x14ac:dyDescent="0.3">
      <c r="B155" s="4" t="s">
        <v>34</v>
      </c>
      <c r="C155" s="4" t="s">
        <v>387</v>
      </c>
      <c r="E155" s="53" t="str">
        <f>"Scenario 5: "&amp;Inputs!B26</f>
        <v>Scenario 5: Scenario 5</v>
      </c>
      <c r="F155" s="49"/>
      <c r="G155" s="49"/>
      <c r="H155" s="49"/>
      <c r="I155" s="49"/>
      <c r="J155" s="49"/>
      <c r="K155" s="49"/>
      <c r="L155" s="49"/>
      <c r="M155" s="49"/>
      <c r="N155" s="49"/>
      <c r="O155" s="49"/>
      <c r="P155" s="49"/>
      <c r="Q155" s="49"/>
      <c r="R155" s="49"/>
      <c r="S155" s="49"/>
      <c r="T155" s="49"/>
      <c r="U155" s="49"/>
    </row>
    <row r="156" spans="2:36" hidden="1" outlineLevel="1" x14ac:dyDescent="0.25">
      <c r="E156" s="52" t="str">
        <f>Inputs!C26</f>
        <v>Scenario 5 Description</v>
      </c>
    </row>
    <row r="157" spans="2:36" hidden="1" outlineLevel="1" x14ac:dyDescent="0.25"/>
    <row r="158" spans="2:36" hidden="1" outlineLevel="1" x14ac:dyDescent="0.25"/>
    <row r="159" spans="2:36" hidden="1" outlineLevel="1" x14ac:dyDescent="0.25">
      <c r="E159" s="4" t="s">
        <v>8</v>
      </c>
      <c r="W159" s="4" t="s">
        <v>8</v>
      </c>
    </row>
    <row r="160" spans="2:36" hidden="1" outlineLevel="1" x14ac:dyDescent="0.25">
      <c r="E160" t="s">
        <v>25</v>
      </c>
      <c r="W160" s="61" t="s">
        <v>62</v>
      </c>
    </row>
    <row r="161" spans="2:36" hidden="1" outlineLevel="1" x14ac:dyDescent="0.25"/>
    <row r="162" spans="2:36" hidden="1" outlineLevel="1" x14ac:dyDescent="0.25">
      <c r="F162" s="12">
        <f>Inputs!$C$7</f>
        <v>2023</v>
      </c>
      <c r="G162" s="12">
        <f>Inputs!$C$8</f>
        <v>2024</v>
      </c>
      <c r="H162" s="12">
        <f>Inputs!$C$9</f>
        <v>2025</v>
      </c>
      <c r="I162" s="13" t="s">
        <v>1</v>
      </c>
      <c r="J162" s="13" t="s">
        <v>2</v>
      </c>
      <c r="K162" s="13" t="s">
        <v>3</v>
      </c>
      <c r="L162" s="13" t="s">
        <v>4</v>
      </c>
      <c r="M162" s="13">
        <f>Inputs!$C$10</f>
        <v>2026</v>
      </c>
      <c r="N162" s="14" t="s">
        <v>1</v>
      </c>
      <c r="O162" s="14" t="s">
        <v>2</v>
      </c>
      <c r="P162" s="14" t="s">
        <v>3</v>
      </c>
      <c r="Q162" s="14" t="s">
        <v>4</v>
      </c>
      <c r="R162" s="15">
        <f>Inputs!$C$11</f>
        <v>2027</v>
      </c>
      <c r="S162" s="16">
        <f>Inputs!$C$12</f>
        <v>2028</v>
      </c>
      <c r="T162" s="16">
        <f>Inputs!$C$13</f>
        <v>2029</v>
      </c>
      <c r="U162" s="16">
        <f>Inputs!$C$14</f>
        <v>2030</v>
      </c>
      <c r="X162" s="13" t="s">
        <v>1</v>
      </c>
      <c r="Y162" s="13" t="s">
        <v>2</v>
      </c>
      <c r="Z162" s="13" t="s">
        <v>3</v>
      </c>
      <c r="AA162" s="13" t="s">
        <v>4</v>
      </c>
      <c r="AB162" s="13">
        <f>Inputs!$C$10</f>
        <v>2026</v>
      </c>
      <c r="AC162" s="14" t="s">
        <v>1</v>
      </c>
      <c r="AD162" s="14" t="s">
        <v>2</v>
      </c>
      <c r="AE162" s="14" t="s">
        <v>3</v>
      </c>
      <c r="AF162" s="14" t="s">
        <v>4</v>
      </c>
      <c r="AG162" s="15">
        <f>Inputs!$C$11</f>
        <v>2027</v>
      </c>
      <c r="AH162" s="16">
        <f>Inputs!$C$12</f>
        <v>2028</v>
      </c>
      <c r="AI162" s="16">
        <f>Inputs!$C$13</f>
        <v>2029</v>
      </c>
      <c r="AJ162" s="16">
        <f>Inputs!$C$14</f>
        <v>2030</v>
      </c>
    </row>
    <row r="163" spans="2:36" hidden="1" outlineLevel="1" x14ac:dyDescent="0.25">
      <c r="F163" s="71" t="s">
        <v>63</v>
      </c>
      <c r="G163" s="71" t="s">
        <v>63</v>
      </c>
      <c r="H163" s="71" t="s">
        <v>63</v>
      </c>
      <c r="I163" s="71" t="s">
        <v>63</v>
      </c>
      <c r="J163" s="71" t="s">
        <v>63</v>
      </c>
      <c r="K163" s="71" t="s">
        <v>63</v>
      </c>
      <c r="L163" s="71" t="s">
        <v>63</v>
      </c>
      <c r="M163" s="71" t="s">
        <v>63</v>
      </c>
      <c r="N163" s="71" t="s">
        <v>63</v>
      </c>
      <c r="O163" s="71" t="s">
        <v>63</v>
      </c>
      <c r="P163" s="71" t="s">
        <v>63</v>
      </c>
      <c r="Q163" s="71" t="s">
        <v>63</v>
      </c>
      <c r="R163" s="71" t="s">
        <v>63</v>
      </c>
      <c r="S163" s="71" t="s">
        <v>63</v>
      </c>
      <c r="T163" s="71" t="s">
        <v>63</v>
      </c>
      <c r="U163" s="71" t="s">
        <v>63</v>
      </c>
      <c r="X163" s="63" t="s">
        <v>30</v>
      </c>
      <c r="Y163" s="63" t="s">
        <v>30</v>
      </c>
      <c r="Z163" s="63" t="s">
        <v>30</v>
      </c>
      <c r="AA163" s="63" t="s">
        <v>30</v>
      </c>
      <c r="AB163" s="62"/>
      <c r="AC163" s="63" t="s">
        <v>30</v>
      </c>
      <c r="AD163" s="63" t="s">
        <v>30</v>
      </c>
      <c r="AE163" s="63" t="s">
        <v>30</v>
      </c>
      <c r="AF163" s="63" t="s">
        <v>30</v>
      </c>
      <c r="AG163" s="62"/>
      <c r="AH163" s="63" t="s">
        <v>30</v>
      </c>
      <c r="AI163" s="63" t="s">
        <v>30</v>
      </c>
      <c r="AJ163" s="63" t="s">
        <v>30</v>
      </c>
    </row>
    <row r="164" spans="2:36" hidden="1" outlineLevel="1" x14ac:dyDescent="0.25">
      <c r="B164" s="229" t="s">
        <v>195</v>
      </c>
      <c r="C164" s="229" t="s">
        <v>195</v>
      </c>
      <c r="E164" s="78" t="s">
        <v>8</v>
      </c>
      <c r="F164" s="21">
        <f>F202</f>
        <v>0</v>
      </c>
      <c r="G164" s="21">
        <f t="shared" ref="G164:H164" si="377">G202</f>
        <v>0</v>
      </c>
      <c r="H164" s="21">
        <f t="shared" si="377"/>
        <v>0</v>
      </c>
      <c r="I164" s="10">
        <f>IF(X164="",I202,X164)</f>
        <v>0</v>
      </c>
      <c r="J164" s="10">
        <f t="shared" ref="J164:L164" si="378">IF(Y164="",J202,Y164)</f>
        <v>0</v>
      </c>
      <c r="K164" s="10">
        <f t="shared" si="378"/>
        <v>0</v>
      </c>
      <c r="L164" s="10">
        <f t="shared" si="378"/>
        <v>0</v>
      </c>
      <c r="M164" s="17">
        <f>SUM(I164:L164)</f>
        <v>0</v>
      </c>
      <c r="N164" s="10">
        <f t="shared" ref="N164:Q164" si="379">IF(AC164="",N202,AC164)</f>
        <v>0</v>
      </c>
      <c r="O164" s="10">
        <f t="shared" si="379"/>
        <v>0</v>
      </c>
      <c r="P164" s="10">
        <f t="shared" si="379"/>
        <v>0</v>
      </c>
      <c r="Q164" s="10">
        <f t="shared" si="379"/>
        <v>0</v>
      </c>
      <c r="R164" s="22">
        <f t="shared" ref="R164:R171" si="380">SUM(N164:Q164)</f>
        <v>0</v>
      </c>
      <c r="S164" s="23">
        <f t="shared" ref="S164:U164" si="381">IF(AH164="",S202,AH164)</f>
        <v>0</v>
      </c>
      <c r="T164" s="23">
        <f t="shared" si="381"/>
        <v>0</v>
      </c>
      <c r="U164" s="23">
        <f t="shared" si="381"/>
        <v>0</v>
      </c>
      <c r="W164" s="79" t="str">
        <f>E164</f>
        <v>Variances</v>
      </c>
      <c r="X164" s="64"/>
      <c r="Y164" s="64"/>
      <c r="Z164" s="64"/>
      <c r="AA164" s="64"/>
      <c r="AB164" s="60"/>
      <c r="AC164" s="64"/>
      <c r="AD164" s="64"/>
      <c r="AE164" s="64"/>
      <c r="AF164" s="64"/>
      <c r="AG164" s="60"/>
      <c r="AH164" s="64"/>
      <c r="AI164" s="64"/>
      <c r="AJ164" s="64"/>
    </row>
    <row r="165" spans="2:36" hidden="1" outlineLevel="1" x14ac:dyDescent="0.25">
      <c r="B165" s="229" t="s">
        <v>195</v>
      </c>
      <c r="C165" s="229" t="s">
        <v>195</v>
      </c>
      <c r="E165" s="78" t="s">
        <v>75</v>
      </c>
      <c r="F165" s="21">
        <f t="shared" ref="F165:H165" si="382">F203</f>
        <v>0</v>
      </c>
      <c r="G165" s="21">
        <f t="shared" si="382"/>
        <v>0</v>
      </c>
      <c r="H165" s="21">
        <f t="shared" si="382"/>
        <v>0</v>
      </c>
      <c r="I165" s="10">
        <f t="shared" ref="I165:L165" si="383">IF(X165="",I203,X165)</f>
        <v>0</v>
      </c>
      <c r="J165" s="10">
        <f t="shared" si="383"/>
        <v>0</v>
      </c>
      <c r="K165" s="10">
        <f t="shared" si="383"/>
        <v>0</v>
      </c>
      <c r="L165" s="10">
        <f t="shared" si="383"/>
        <v>0</v>
      </c>
      <c r="M165" s="17">
        <f t="shared" ref="M165:M171" si="384">SUM(I165:L165)</f>
        <v>0</v>
      </c>
      <c r="N165" s="10">
        <f t="shared" ref="N165:Q165" si="385">IF(AC165="",N203,AC165)</f>
        <v>0</v>
      </c>
      <c r="O165" s="10">
        <f t="shared" si="385"/>
        <v>0</v>
      </c>
      <c r="P165" s="10">
        <f t="shared" si="385"/>
        <v>0</v>
      </c>
      <c r="Q165" s="10">
        <f t="shared" si="385"/>
        <v>0</v>
      </c>
      <c r="R165" s="22">
        <f t="shared" si="380"/>
        <v>0</v>
      </c>
      <c r="S165" s="23">
        <f t="shared" ref="S165:U165" si="386">IF(AH165="",S203,AH165)</f>
        <v>0</v>
      </c>
      <c r="T165" s="23">
        <f t="shared" si="386"/>
        <v>0</v>
      </c>
      <c r="U165" s="23">
        <f t="shared" si="386"/>
        <v>0</v>
      </c>
      <c r="W165" s="79" t="str">
        <f t="shared" ref="W165:W171" si="387">E165</f>
        <v>Exchange Gain/Loss</v>
      </c>
      <c r="X165" s="64"/>
      <c r="Y165" s="64"/>
      <c r="Z165" s="64"/>
      <c r="AA165" s="64"/>
      <c r="AB165" s="60"/>
      <c r="AC165" s="64"/>
      <c r="AD165" s="64"/>
      <c r="AE165" s="64"/>
      <c r="AF165" s="64"/>
      <c r="AG165" s="60"/>
      <c r="AH165" s="64"/>
      <c r="AI165" s="64"/>
      <c r="AJ165" s="64"/>
    </row>
    <row r="166" spans="2:36" hidden="1" outlineLevel="1" x14ac:dyDescent="0.25">
      <c r="B166" s="229" t="s">
        <v>195</v>
      </c>
      <c r="C166" s="229" t="s">
        <v>195</v>
      </c>
      <c r="E166" s="78" t="s">
        <v>77</v>
      </c>
      <c r="F166" s="21">
        <f t="shared" ref="F166:H166" si="388">F204</f>
        <v>0</v>
      </c>
      <c r="G166" s="21">
        <f t="shared" si="388"/>
        <v>0</v>
      </c>
      <c r="H166" s="21">
        <f t="shared" si="388"/>
        <v>0</v>
      </c>
      <c r="I166" s="10">
        <f t="shared" ref="I166:L166" si="389">IF(X166="",I204,X166)</f>
        <v>0</v>
      </c>
      <c r="J166" s="10">
        <f t="shared" si="389"/>
        <v>0</v>
      </c>
      <c r="K166" s="10">
        <f t="shared" si="389"/>
        <v>0</v>
      </c>
      <c r="L166" s="10">
        <f t="shared" si="389"/>
        <v>0</v>
      </c>
      <c r="M166" s="17">
        <f t="shared" si="384"/>
        <v>0</v>
      </c>
      <c r="N166" s="10">
        <f t="shared" ref="N166:Q166" si="390">IF(AC166="",N204,AC166)</f>
        <v>0</v>
      </c>
      <c r="O166" s="10">
        <f t="shared" si="390"/>
        <v>0</v>
      </c>
      <c r="P166" s="10">
        <f t="shared" si="390"/>
        <v>0</v>
      </c>
      <c r="Q166" s="10">
        <f t="shared" si="390"/>
        <v>0</v>
      </c>
      <c r="R166" s="22">
        <f t="shared" si="380"/>
        <v>0</v>
      </c>
      <c r="S166" s="23">
        <f t="shared" ref="S166:U166" si="391">IF(AH166="",S204,AH166)</f>
        <v>0</v>
      </c>
      <c r="T166" s="23">
        <f t="shared" si="391"/>
        <v>0</v>
      </c>
      <c r="U166" s="23">
        <f t="shared" si="391"/>
        <v>0</v>
      </c>
      <c r="W166" s="79" t="str">
        <f t="shared" si="387"/>
        <v>blank</v>
      </c>
      <c r="X166" s="64"/>
      <c r="Y166" s="64"/>
      <c r="Z166" s="64"/>
      <c r="AA166" s="64"/>
      <c r="AB166" s="60"/>
      <c r="AC166" s="64"/>
      <c r="AD166" s="64"/>
      <c r="AE166" s="64"/>
      <c r="AF166" s="64"/>
      <c r="AG166" s="60"/>
      <c r="AH166" s="64"/>
      <c r="AI166" s="64"/>
      <c r="AJ166" s="64"/>
    </row>
    <row r="167" spans="2:36" hidden="1" outlineLevel="1" x14ac:dyDescent="0.25">
      <c r="B167" s="229" t="s">
        <v>195</v>
      </c>
      <c r="C167" s="229" t="s">
        <v>195</v>
      </c>
      <c r="E167" s="78" t="s">
        <v>77</v>
      </c>
      <c r="F167" s="21">
        <f t="shared" ref="F167:H167" si="392">F205</f>
        <v>0</v>
      </c>
      <c r="G167" s="21">
        <f t="shared" si="392"/>
        <v>0</v>
      </c>
      <c r="H167" s="21">
        <f t="shared" si="392"/>
        <v>0</v>
      </c>
      <c r="I167" s="10">
        <f t="shared" ref="I167:L167" si="393">IF(X167="",I205,X167)</f>
        <v>0</v>
      </c>
      <c r="J167" s="10">
        <f t="shared" si="393"/>
        <v>0</v>
      </c>
      <c r="K167" s="10">
        <f t="shared" si="393"/>
        <v>0</v>
      </c>
      <c r="L167" s="10">
        <f t="shared" si="393"/>
        <v>0</v>
      </c>
      <c r="M167" s="17">
        <f t="shared" si="384"/>
        <v>0</v>
      </c>
      <c r="N167" s="10">
        <f t="shared" ref="N167:Q167" si="394">IF(AC167="",N205,AC167)</f>
        <v>0</v>
      </c>
      <c r="O167" s="10">
        <f t="shared" si="394"/>
        <v>0</v>
      </c>
      <c r="P167" s="10">
        <f t="shared" si="394"/>
        <v>0</v>
      </c>
      <c r="Q167" s="10">
        <f t="shared" si="394"/>
        <v>0</v>
      </c>
      <c r="R167" s="22">
        <f t="shared" si="380"/>
        <v>0</v>
      </c>
      <c r="S167" s="23">
        <f t="shared" ref="S167:U167" si="395">IF(AH167="",S205,AH167)</f>
        <v>0</v>
      </c>
      <c r="T167" s="23">
        <f t="shared" si="395"/>
        <v>0</v>
      </c>
      <c r="U167" s="23">
        <f t="shared" si="395"/>
        <v>0</v>
      </c>
      <c r="W167" s="79" t="str">
        <f t="shared" si="387"/>
        <v>blank</v>
      </c>
      <c r="X167" s="64"/>
      <c r="Y167" s="64"/>
      <c r="Z167" s="64"/>
      <c r="AA167" s="64"/>
      <c r="AB167" s="60"/>
      <c r="AC167" s="64"/>
      <c r="AD167" s="64"/>
      <c r="AE167" s="64"/>
      <c r="AF167" s="64"/>
      <c r="AG167" s="60"/>
      <c r="AH167" s="64"/>
      <c r="AI167" s="64"/>
      <c r="AJ167" s="64"/>
    </row>
    <row r="168" spans="2:36" hidden="1" outlineLevel="1" x14ac:dyDescent="0.25">
      <c r="B168" s="229" t="s">
        <v>195</v>
      </c>
      <c r="C168" s="229" t="s">
        <v>195</v>
      </c>
      <c r="E168" s="78" t="s">
        <v>77</v>
      </c>
      <c r="F168" s="21">
        <f t="shared" ref="F168:H168" si="396">F206</f>
        <v>0</v>
      </c>
      <c r="G168" s="21">
        <f t="shared" si="396"/>
        <v>0</v>
      </c>
      <c r="H168" s="21">
        <f t="shared" si="396"/>
        <v>0</v>
      </c>
      <c r="I168" s="10">
        <f t="shared" ref="I168:L168" si="397">IF(X168="",I206,X168)</f>
        <v>0</v>
      </c>
      <c r="J168" s="10">
        <f t="shared" si="397"/>
        <v>0</v>
      </c>
      <c r="K168" s="10">
        <f t="shared" si="397"/>
        <v>0</v>
      </c>
      <c r="L168" s="10">
        <f t="shared" si="397"/>
        <v>0</v>
      </c>
      <c r="M168" s="17">
        <f t="shared" si="384"/>
        <v>0</v>
      </c>
      <c r="N168" s="10">
        <f t="shared" ref="N168:Q168" si="398">IF(AC168="",N206,AC168)</f>
        <v>0</v>
      </c>
      <c r="O168" s="10">
        <f t="shared" si="398"/>
        <v>0</v>
      </c>
      <c r="P168" s="10">
        <f t="shared" si="398"/>
        <v>0</v>
      </c>
      <c r="Q168" s="10">
        <f t="shared" si="398"/>
        <v>0</v>
      </c>
      <c r="R168" s="22">
        <f t="shared" si="380"/>
        <v>0</v>
      </c>
      <c r="S168" s="23">
        <f t="shared" ref="S168:U168" si="399">IF(AH168="",S206,AH168)</f>
        <v>0</v>
      </c>
      <c r="T168" s="23">
        <f t="shared" si="399"/>
        <v>0</v>
      </c>
      <c r="U168" s="23">
        <f t="shared" si="399"/>
        <v>0</v>
      </c>
      <c r="W168" s="79" t="str">
        <f t="shared" si="387"/>
        <v>blank</v>
      </c>
      <c r="X168" s="64"/>
      <c r="Y168" s="64"/>
      <c r="Z168" s="64"/>
      <c r="AA168" s="64"/>
      <c r="AB168" s="60"/>
      <c r="AC168" s="64"/>
      <c r="AD168" s="64"/>
      <c r="AE168" s="64"/>
      <c r="AF168" s="64"/>
      <c r="AG168" s="60"/>
      <c r="AH168" s="64"/>
      <c r="AI168" s="64"/>
      <c r="AJ168" s="64"/>
    </row>
    <row r="169" spans="2:36" hidden="1" outlineLevel="1" x14ac:dyDescent="0.25">
      <c r="B169" s="229" t="s">
        <v>195</v>
      </c>
      <c r="C169" s="229" t="s">
        <v>195</v>
      </c>
      <c r="E169" s="78" t="s">
        <v>77</v>
      </c>
      <c r="F169" s="21">
        <f t="shared" ref="F169:H169" si="400">F207</f>
        <v>0</v>
      </c>
      <c r="G169" s="21">
        <f t="shared" si="400"/>
        <v>0</v>
      </c>
      <c r="H169" s="21">
        <f t="shared" si="400"/>
        <v>0</v>
      </c>
      <c r="I169" s="10">
        <f t="shared" ref="I169:L169" si="401">IF(X169="",I207,X169)</f>
        <v>0</v>
      </c>
      <c r="J169" s="10">
        <f t="shared" si="401"/>
        <v>0</v>
      </c>
      <c r="K169" s="10">
        <f t="shared" si="401"/>
        <v>0</v>
      </c>
      <c r="L169" s="10">
        <f t="shared" si="401"/>
        <v>0</v>
      </c>
      <c r="M169" s="17">
        <f t="shared" si="384"/>
        <v>0</v>
      </c>
      <c r="N169" s="10">
        <f t="shared" ref="N169:Q169" si="402">IF(AC169="",N207,AC169)</f>
        <v>0</v>
      </c>
      <c r="O169" s="10">
        <f t="shared" si="402"/>
        <v>0</v>
      </c>
      <c r="P169" s="10">
        <f t="shared" si="402"/>
        <v>0</v>
      </c>
      <c r="Q169" s="10">
        <f t="shared" si="402"/>
        <v>0</v>
      </c>
      <c r="R169" s="22">
        <f t="shared" si="380"/>
        <v>0</v>
      </c>
      <c r="S169" s="23">
        <f t="shared" ref="S169:U169" si="403">IF(AH169="",S207,AH169)</f>
        <v>0</v>
      </c>
      <c r="T169" s="23">
        <f t="shared" si="403"/>
        <v>0</v>
      </c>
      <c r="U169" s="23">
        <f t="shared" si="403"/>
        <v>0</v>
      </c>
      <c r="W169" s="79" t="str">
        <f t="shared" si="387"/>
        <v>blank</v>
      </c>
      <c r="X169" s="64"/>
      <c r="Y169" s="64"/>
      <c r="Z169" s="64"/>
      <c r="AA169" s="64"/>
      <c r="AB169" s="60"/>
      <c r="AC169" s="64"/>
      <c r="AD169" s="64"/>
      <c r="AE169" s="64"/>
      <c r="AF169" s="64"/>
      <c r="AG169" s="60"/>
      <c r="AH169" s="64"/>
      <c r="AI169" s="64"/>
      <c r="AJ169" s="64"/>
    </row>
    <row r="170" spans="2:36" hidden="1" outlineLevel="1" x14ac:dyDescent="0.25">
      <c r="B170" s="229" t="s">
        <v>195</v>
      </c>
      <c r="C170" s="229" t="s">
        <v>195</v>
      </c>
      <c r="E170" s="78" t="s">
        <v>77</v>
      </c>
      <c r="F170" s="21">
        <f t="shared" ref="F170:H170" si="404">F208</f>
        <v>0</v>
      </c>
      <c r="G170" s="21">
        <f t="shared" si="404"/>
        <v>0</v>
      </c>
      <c r="H170" s="21">
        <f t="shared" si="404"/>
        <v>0</v>
      </c>
      <c r="I170" s="10">
        <f t="shared" ref="I170:L170" si="405">IF(X170="",I208,X170)</f>
        <v>0</v>
      </c>
      <c r="J170" s="10">
        <f t="shared" si="405"/>
        <v>0</v>
      </c>
      <c r="K170" s="10">
        <f t="shared" si="405"/>
        <v>0</v>
      </c>
      <c r="L170" s="10">
        <f t="shared" si="405"/>
        <v>0</v>
      </c>
      <c r="M170" s="17">
        <f t="shared" si="384"/>
        <v>0</v>
      </c>
      <c r="N170" s="10">
        <f t="shared" ref="N170:Q170" si="406">IF(AC170="",N208,AC170)</f>
        <v>0</v>
      </c>
      <c r="O170" s="10">
        <f t="shared" si="406"/>
        <v>0</v>
      </c>
      <c r="P170" s="10">
        <f t="shared" si="406"/>
        <v>0</v>
      </c>
      <c r="Q170" s="10">
        <f t="shared" si="406"/>
        <v>0</v>
      </c>
      <c r="R170" s="22">
        <f t="shared" si="380"/>
        <v>0</v>
      </c>
      <c r="S170" s="23">
        <f t="shared" ref="S170:U170" si="407">IF(AH170="",S208,AH170)</f>
        <v>0</v>
      </c>
      <c r="T170" s="23">
        <f t="shared" si="407"/>
        <v>0</v>
      </c>
      <c r="U170" s="23">
        <f t="shared" si="407"/>
        <v>0</v>
      </c>
      <c r="W170" s="79" t="str">
        <f t="shared" si="387"/>
        <v>blank</v>
      </c>
      <c r="X170" s="64"/>
      <c r="Y170" s="64"/>
      <c r="Z170" s="64"/>
      <c r="AA170" s="64"/>
      <c r="AB170" s="60"/>
      <c r="AC170" s="64"/>
      <c r="AD170" s="64"/>
      <c r="AE170" s="64"/>
      <c r="AF170" s="64"/>
      <c r="AG170" s="60"/>
      <c r="AH170" s="64"/>
      <c r="AI170" s="64"/>
      <c r="AJ170" s="64"/>
    </row>
    <row r="171" spans="2:36" hidden="1" outlineLevel="1" x14ac:dyDescent="0.25">
      <c r="B171" s="229" t="s">
        <v>195</v>
      </c>
      <c r="C171" s="229" t="s">
        <v>195</v>
      </c>
      <c r="E171" s="78" t="s">
        <v>77</v>
      </c>
      <c r="F171" s="21">
        <f t="shared" ref="F171:H171" si="408">F209</f>
        <v>0</v>
      </c>
      <c r="G171" s="21">
        <f t="shared" si="408"/>
        <v>0</v>
      </c>
      <c r="H171" s="21">
        <f t="shared" si="408"/>
        <v>0</v>
      </c>
      <c r="I171" s="10">
        <f t="shared" ref="I171:L171" si="409">IF(X171="",I209,X171)</f>
        <v>0</v>
      </c>
      <c r="J171" s="10">
        <f t="shared" si="409"/>
        <v>0</v>
      </c>
      <c r="K171" s="10">
        <f t="shared" si="409"/>
        <v>0</v>
      </c>
      <c r="L171" s="10">
        <f t="shared" si="409"/>
        <v>0</v>
      </c>
      <c r="M171" s="17">
        <f t="shared" si="384"/>
        <v>0</v>
      </c>
      <c r="N171" s="10">
        <f t="shared" ref="N171:Q171" si="410">IF(AC171="",N209,AC171)</f>
        <v>0</v>
      </c>
      <c r="O171" s="10">
        <f t="shared" si="410"/>
        <v>0</v>
      </c>
      <c r="P171" s="10">
        <f t="shared" si="410"/>
        <v>0</v>
      </c>
      <c r="Q171" s="10">
        <f t="shared" si="410"/>
        <v>0</v>
      </c>
      <c r="R171" s="22">
        <f t="shared" si="380"/>
        <v>0</v>
      </c>
      <c r="S171" s="23">
        <f t="shared" ref="S171:U171" si="411">IF(AH171="",S209,AH171)</f>
        <v>0</v>
      </c>
      <c r="T171" s="23">
        <f t="shared" si="411"/>
        <v>0</v>
      </c>
      <c r="U171" s="23">
        <f t="shared" si="411"/>
        <v>0</v>
      </c>
      <c r="W171" s="79" t="str">
        <f t="shared" si="387"/>
        <v>blank</v>
      </c>
      <c r="X171" s="64"/>
      <c r="Y171" s="64"/>
      <c r="Z171" s="64"/>
      <c r="AA171" s="64"/>
      <c r="AB171" s="60"/>
      <c r="AC171" s="64"/>
      <c r="AD171" s="64"/>
      <c r="AE171" s="64"/>
      <c r="AF171" s="64"/>
      <c r="AG171" s="60"/>
      <c r="AH171" s="64"/>
      <c r="AI171" s="64"/>
      <c r="AJ171" s="64"/>
    </row>
    <row r="172" spans="2:36" ht="15.75" hidden="1" outlineLevel="1" thickBot="1" x14ac:dyDescent="0.3">
      <c r="E172" s="8" t="s">
        <v>27</v>
      </c>
      <c r="F172" s="9">
        <f>SUM(F164:F171)</f>
        <v>0</v>
      </c>
      <c r="G172" s="9">
        <f t="shared" ref="G172" si="412">SUM(G164:G171)</f>
        <v>0</v>
      </c>
      <c r="H172" s="9">
        <f t="shared" ref="H172" si="413">SUM(H164:H171)</f>
        <v>0</v>
      </c>
      <c r="I172" s="11">
        <f t="shared" ref="I172" si="414">SUM(I164:I171)</f>
        <v>0</v>
      </c>
      <c r="J172" s="11">
        <f t="shared" ref="J172" si="415">SUM(J164:J171)</f>
        <v>0</v>
      </c>
      <c r="K172" s="11">
        <f t="shared" ref="K172" si="416">SUM(K164:K171)</f>
        <v>0</v>
      </c>
      <c r="L172" s="11">
        <f t="shared" ref="L172" si="417">SUM(L164:L171)</f>
        <v>0</v>
      </c>
      <c r="M172" s="18">
        <f t="shared" ref="M172" si="418">SUM(M164:M171)</f>
        <v>0</v>
      </c>
      <c r="N172" s="11">
        <f t="shared" ref="N172" si="419">SUM(N164:N171)</f>
        <v>0</v>
      </c>
      <c r="O172" s="11">
        <f t="shared" ref="O172" si="420">SUM(O164:O171)</f>
        <v>0</v>
      </c>
      <c r="P172" s="11">
        <f t="shared" ref="P172" si="421">SUM(P164:P171)</f>
        <v>0</v>
      </c>
      <c r="Q172" s="11">
        <f t="shared" ref="Q172" si="422">SUM(Q164:Q171)</f>
        <v>0</v>
      </c>
      <c r="R172" s="19">
        <f t="shared" ref="R172" si="423">SUM(R164:R171)</f>
        <v>0</v>
      </c>
      <c r="S172" s="20">
        <f t="shared" ref="S172" si="424">SUM(S164:S171)</f>
        <v>0</v>
      </c>
      <c r="T172" s="20">
        <f t="shared" ref="T172" si="425">SUM(T164:T171)</f>
        <v>0</v>
      </c>
      <c r="U172" s="20">
        <f t="shared" ref="U172" si="426">SUM(U164:U171)</f>
        <v>0</v>
      </c>
    </row>
    <row r="173" spans="2:36" s="60" customFormat="1" ht="15.75" hidden="1" outlineLevel="1" thickTop="1" x14ac:dyDescent="0.25">
      <c r="E173" s="80"/>
      <c r="F173" s="81"/>
      <c r="G173" s="81"/>
      <c r="H173" s="81"/>
      <c r="I173" s="82"/>
      <c r="J173" s="82"/>
      <c r="K173" s="82"/>
      <c r="L173" s="82"/>
      <c r="M173" s="81"/>
      <c r="N173" s="82"/>
      <c r="O173" s="82"/>
      <c r="P173" s="82"/>
      <c r="Q173" s="82"/>
      <c r="R173" s="83"/>
      <c r="S173" s="83"/>
      <c r="T173" s="83"/>
      <c r="U173" s="83"/>
    </row>
    <row r="174" spans="2:36" s="60" customFormat="1" hidden="1" outlineLevel="1" x14ac:dyDescent="0.25">
      <c r="E174" s="80"/>
      <c r="F174" s="81"/>
      <c r="G174" s="81"/>
      <c r="H174" s="81"/>
      <c r="I174" s="82"/>
      <c r="J174" s="82"/>
      <c r="K174" s="82"/>
      <c r="L174" s="82"/>
      <c r="M174" s="81"/>
      <c r="N174" s="82"/>
      <c r="O174" s="82"/>
      <c r="P174" s="82"/>
      <c r="Q174" s="82"/>
      <c r="R174" s="83"/>
      <c r="S174" s="83"/>
      <c r="T174" s="83"/>
      <c r="U174" s="83"/>
    </row>
    <row r="175" spans="2:36" s="60" customFormat="1" hidden="1" outlineLevel="1" x14ac:dyDescent="0.25">
      <c r="E175" s="80"/>
      <c r="F175" s="81"/>
      <c r="G175" s="81"/>
      <c r="H175" s="81"/>
      <c r="I175" s="82"/>
      <c r="J175" s="82"/>
      <c r="K175" s="82"/>
      <c r="L175" s="82"/>
      <c r="M175" s="81"/>
      <c r="N175" s="82"/>
      <c r="O175" s="82"/>
      <c r="P175" s="82"/>
      <c r="Q175" s="82"/>
      <c r="R175" s="83"/>
      <c r="S175" s="83"/>
      <c r="T175" s="83"/>
      <c r="U175" s="83"/>
    </row>
    <row r="176" spans="2:36" s="60" customFormat="1" hidden="1" outlineLevel="1" x14ac:dyDescent="0.25">
      <c r="E176" s="48" t="s">
        <v>76</v>
      </c>
      <c r="F176" s="81"/>
      <c r="G176" s="81"/>
      <c r="H176" s="81"/>
      <c r="I176" s="82"/>
      <c r="J176" s="82"/>
      <c r="K176" s="82"/>
      <c r="L176" s="82"/>
      <c r="M176" s="81"/>
      <c r="N176" s="82"/>
      <c r="O176" s="82"/>
      <c r="P176" s="82"/>
      <c r="Q176" s="82"/>
      <c r="R176" s="83"/>
      <c r="S176" s="83"/>
      <c r="T176" s="83"/>
      <c r="U176" s="83"/>
      <c r="W176" s="4" t="s">
        <v>76</v>
      </c>
      <c r="X176"/>
      <c r="Y176"/>
      <c r="Z176"/>
      <c r="AA176"/>
      <c r="AB176"/>
      <c r="AC176"/>
      <c r="AD176"/>
      <c r="AE176"/>
      <c r="AF176"/>
      <c r="AG176"/>
      <c r="AH176"/>
      <c r="AI176"/>
      <c r="AJ176"/>
    </row>
    <row r="177" spans="2:36" s="60" customFormat="1" hidden="1" outlineLevel="1" x14ac:dyDescent="0.25">
      <c r="E177" t="s">
        <v>25</v>
      </c>
      <c r="F177" s="81"/>
      <c r="G177" s="81"/>
      <c r="H177" s="81"/>
      <c r="I177" s="82"/>
      <c r="J177" s="82"/>
      <c r="K177" s="82"/>
      <c r="L177" s="82"/>
      <c r="M177" s="81"/>
      <c r="N177" s="82"/>
      <c r="O177" s="82"/>
      <c r="P177" s="82"/>
      <c r="Q177" s="82"/>
      <c r="R177" s="83"/>
      <c r="S177" s="83"/>
      <c r="T177" s="83"/>
      <c r="U177" s="83"/>
      <c r="W177" s="61" t="s">
        <v>62</v>
      </c>
      <c r="X177"/>
      <c r="Y177"/>
      <c r="Z177"/>
      <c r="AA177"/>
      <c r="AB177"/>
      <c r="AC177"/>
      <c r="AD177"/>
      <c r="AE177"/>
      <c r="AF177"/>
      <c r="AG177"/>
      <c r="AH177"/>
      <c r="AI177"/>
      <c r="AJ177"/>
    </row>
    <row r="178" spans="2:36" s="60" customFormat="1" hidden="1" outlineLevel="1" x14ac:dyDescent="0.25">
      <c r="E178" s="80"/>
      <c r="F178" s="81"/>
      <c r="G178" s="81"/>
      <c r="H178" s="81"/>
      <c r="I178" s="82"/>
      <c r="J178" s="82"/>
      <c r="K178" s="82"/>
      <c r="L178" s="82"/>
      <c r="M178" s="81"/>
      <c r="N178" s="82"/>
      <c r="O178" s="82"/>
      <c r="P178" s="82"/>
      <c r="Q178" s="82"/>
      <c r="R178" s="83"/>
      <c r="S178" s="83"/>
      <c r="T178" s="83"/>
      <c r="U178" s="83"/>
      <c r="W178"/>
      <c r="X178"/>
      <c r="Y178"/>
      <c r="Z178"/>
      <c r="AA178"/>
      <c r="AB178"/>
      <c r="AC178"/>
      <c r="AD178"/>
      <c r="AE178"/>
      <c r="AF178"/>
      <c r="AG178"/>
      <c r="AH178"/>
      <c r="AI178"/>
      <c r="AJ178"/>
    </row>
    <row r="179" spans="2:36" s="60" customFormat="1" hidden="1" outlineLevel="1" x14ac:dyDescent="0.25">
      <c r="E179" s="80"/>
      <c r="F179" s="12">
        <f>Inputs!$C$7</f>
        <v>2023</v>
      </c>
      <c r="G179" s="12">
        <f>Inputs!$C$8</f>
        <v>2024</v>
      </c>
      <c r="H179" s="12">
        <f>Inputs!$C$9</f>
        <v>2025</v>
      </c>
      <c r="I179" s="13" t="s">
        <v>1</v>
      </c>
      <c r="J179" s="13" t="s">
        <v>2</v>
      </c>
      <c r="K179" s="13" t="s">
        <v>3</v>
      </c>
      <c r="L179" s="13" t="s">
        <v>4</v>
      </c>
      <c r="M179" s="13">
        <f>Inputs!$C$10</f>
        <v>2026</v>
      </c>
      <c r="N179" s="14" t="s">
        <v>1</v>
      </c>
      <c r="O179" s="14" t="s">
        <v>2</v>
      </c>
      <c r="P179" s="14" t="s">
        <v>3</v>
      </c>
      <c r="Q179" s="14" t="s">
        <v>4</v>
      </c>
      <c r="R179" s="15">
        <f>Inputs!$C$11</f>
        <v>2027</v>
      </c>
      <c r="S179" s="16">
        <f>Inputs!$C$12</f>
        <v>2028</v>
      </c>
      <c r="T179" s="16">
        <f>Inputs!$C$13</f>
        <v>2029</v>
      </c>
      <c r="U179" s="16">
        <f>Inputs!$C$14</f>
        <v>2030</v>
      </c>
      <c r="W179"/>
      <c r="X179" s="13" t="s">
        <v>1</v>
      </c>
      <c r="Y179" s="13" t="s">
        <v>2</v>
      </c>
      <c r="Z179" s="13" t="s">
        <v>3</v>
      </c>
      <c r="AA179" s="13" t="s">
        <v>4</v>
      </c>
      <c r="AB179" s="13">
        <f>Inputs!$C$10</f>
        <v>2026</v>
      </c>
      <c r="AC179" s="14" t="s">
        <v>1</v>
      </c>
      <c r="AD179" s="14" t="s">
        <v>2</v>
      </c>
      <c r="AE179" s="14" t="s">
        <v>3</v>
      </c>
      <c r="AF179" s="14" t="s">
        <v>4</v>
      </c>
      <c r="AG179" s="15">
        <f>Inputs!$C$11</f>
        <v>2027</v>
      </c>
      <c r="AH179" s="16">
        <f>Inputs!$C$12</f>
        <v>2028</v>
      </c>
      <c r="AI179" s="16">
        <f>Inputs!$C$13</f>
        <v>2029</v>
      </c>
      <c r="AJ179" s="16">
        <f>Inputs!$C$14</f>
        <v>2030</v>
      </c>
    </row>
    <row r="180" spans="2:36" s="60" customFormat="1" hidden="1" outlineLevel="1" x14ac:dyDescent="0.25">
      <c r="E180" s="80"/>
      <c r="F180" s="71" t="s">
        <v>63</v>
      </c>
      <c r="G180" s="71" t="s">
        <v>63</v>
      </c>
      <c r="H180" s="71" t="s">
        <v>63</v>
      </c>
      <c r="I180" s="71" t="s">
        <v>63</v>
      </c>
      <c r="J180" s="71" t="s">
        <v>63</v>
      </c>
      <c r="K180" s="71" t="s">
        <v>63</v>
      </c>
      <c r="L180" s="71" t="s">
        <v>63</v>
      </c>
      <c r="M180" s="71" t="s">
        <v>63</v>
      </c>
      <c r="N180" s="71" t="s">
        <v>63</v>
      </c>
      <c r="O180" s="71" t="s">
        <v>63</v>
      </c>
      <c r="P180" s="71" t="s">
        <v>63</v>
      </c>
      <c r="Q180" s="71" t="s">
        <v>63</v>
      </c>
      <c r="R180" s="71" t="s">
        <v>63</v>
      </c>
      <c r="S180" s="71" t="s">
        <v>63</v>
      </c>
      <c r="T180" s="71" t="s">
        <v>63</v>
      </c>
      <c r="U180" s="71" t="s">
        <v>63</v>
      </c>
      <c r="W180"/>
      <c r="X180" s="63" t="s">
        <v>30</v>
      </c>
      <c r="Y180" s="63" t="s">
        <v>30</v>
      </c>
      <c r="Z180" s="63" t="s">
        <v>30</v>
      </c>
      <c r="AA180" s="63" t="s">
        <v>30</v>
      </c>
      <c r="AB180" s="62"/>
      <c r="AC180" s="63" t="s">
        <v>30</v>
      </c>
      <c r="AD180" s="63" t="s">
        <v>30</v>
      </c>
      <c r="AE180" s="63" t="s">
        <v>30</v>
      </c>
      <c r="AF180" s="63" t="s">
        <v>30</v>
      </c>
      <c r="AG180" s="62"/>
      <c r="AH180" s="63" t="s">
        <v>30</v>
      </c>
      <c r="AI180" s="63" t="s">
        <v>30</v>
      </c>
      <c r="AJ180" s="63" t="s">
        <v>30</v>
      </c>
    </row>
    <row r="181" spans="2:36" hidden="1" outlineLevel="1" x14ac:dyDescent="0.25">
      <c r="B181" s="229" t="s">
        <v>195</v>
      </c>
      <c r="C181" s="229" t="s">
        <v>195</v>
      </c>
      <c r="E181" s="78" t="s">
        <v>35</v>
      </c>
      <c r="F181" s="21">
        <f>F219</f>
        <v>0</v>
      </c>
      <c r="G181" s="21">
        <f t="shared" ref="G181:H181" si="427">G219</f>
        <v>0</v>
      </c>
      <c r="H181" s="21">
        <f t="shared" si="427"/>
        <v>0</v>
      </c>
      <c r="I181" s="10">
        <f>IF(X181="",I219,X181)</f>
        <v>0</v>
      </c>
      <c r="J181" s="10">
        <f t="shared" ref="J181:L181" si="428">IF(Y181="",J219,Y181)</f>
        <v>0</v>
      </c>
      <c r="K181" s="10">
        <f t="shared" si="428"/>
        <v>0</v>
      </c>
      <c r="L181" s="10">
        <f t="shared" si="428"/>
        <v>0</v>
      </c>
      <c r="M181" s="17">
        <f>SUM(I181:L181)</f>
        <v>0</v>
      </c>
      <c r="N181" s="10">
        <f t="shared" ref="N181:Q181" si="429">IF(AC181="",N219,AC181)</f>
        <v>0</v>
      </c>
      <c r="O181" s="10">
        <f t="shared" si="429"/>
        <v>0</v>
      </c>
      <c r="P181" s="10">
        <f t="shared" si="429"/>
        <v>0</v>
      </c>
      <c r="Q181" s="10">
        <f t="shared" si="429"/>
        <v>0</v>
      </c>
      <c r="R181" s="22">
        <f>SUM(N181:Q181)</f>
        <v>0</v>
      </c>
      <c r="S181" s="23">
        <f t="shared" ref="S181:U181" si="430">IF(AH181="",S219,AH181)</f>
        <v>0</v>
      </c>
      <c r="T181" s="23">
        <f t="shared" si="430"/>
        <v>0</v>
      </c>
      <c r="U181" s="23">
        <f t="shared" si="430"/>
        <v>0</v>
      </c>
      <c r="W181" s="79" t="str">
        <f>E181</f>
        <v>Fixed Mfg</v>
      </c>
      <c r="X181" s="64"/>
      <c r="Y181" s="64"/>
      <c r="Z181" s="64"/>
      <c r="AA181" s="64"/>
      <c r="AB181" s="60"/>
      <c r="AC181" s="64"/>
      <c r="AD181" s="64"/>
      <c r="AE181" s="64"/>
      <c r="AF181" s="64"/>
      <c r="AG181" s="60"/>
      <c r="AH181" s="64"/>
      <c r="AI181" s="64"/>
      <c r="AJ181" s="64"/>
    </row>
    <row r="182" spans="2:36" hidden="1" outlineLevel="1" x14ac:dyDescent="0.25">
      <c r="B182" s="229" t="s">
        <v>195</v>
      </c>
      <c r="C182" s="229" t="s">
        <v>195</v>
      </c>
      <c r="E182" s="78" t="s">
        <v>77</v>
      </c>
      <c r="F182" s="21">
        <f t="shared" ref="F182:H182" si="431">F220</f>
        <v>0</v>
      </c>
      <c r="G182" s="21">
        <f t="shared" si="431"/>
        <v>0</v>
      </c>
      <c r="H182" s="21">
        <f t="shared" si="431"/>
        <v>0</v>
      </c>
      <c r="I182" s="10">
        <f t="shared" ref="I182:L182" si="432">IF(X182="",I220,X182)</f>
        <v>0</v>
      </c>
      <c r="J182" s="10">
        <f t="shared" si="432"/>
        <v>0</v>
      </c>
      <c r="K182" s="10">
        <f t="shared" si="432"/>
        <v>0</v>
      </c>
      <c r="L182" s="10">
        <f t="shared" si="432"/>
        <v>0</v>
      </c>
      <c r="M182" s="17">
        <f t="shared" ref="M182:M188" si="433">SUM(I182:L182)</f>
        <v>0</v>
      </c>
      <c r="N182" s="10">
        <f t="shared" ref="N182:Q182" si="434">IF(AC182="",N220,AC182)</f>
        <v>0</v>
      </c>
      <c r="O182" s="10">
        <f t="shared" si="434"/>
        <v>0</v>
      </c>
      <c r="P182" s="10">
        <f t="shared" si="434"/>
        <v>0</v>
      </c>
      <c r="Q182" s="10">
        <f t="shared" si="434"/>
        <v>0</v>
      </c>
      <c r="R182" s="22">
        <f t="shared" ref="R182:R188" si="435">SUM(N182:Q182)</f>
        <v>0</v>
      </c>
      <c r="S182" s="23">
        <f t="shared" ref="S182:U182" si="436">IF(AH182="",S220,AH182)</f>
        <v>0</v>
      </c>
      <c r="T182" s="23">
        <f t="shared" si="436"/>
        <v>0</v>
      </c>
      <c r="U182" s="23">
        <f t="shared" si="436"/>
        <v>0</v>
      </c>
      <c r="W182" s="79" t="str">
        <f t="shared" ref="W182:W188" si="437">E182</f>
        <v>blank</v>
      </c>
      <c r="X182" s="64"/>
      <c r="Y182" s="64"/>
      <c r="Z182" s="64"/>
      <c r="AA182" s="64"/>
      <c r="AB182" s="60"/>
      <c r="AC182" s="64"/>
      <c r="AD182" s="64"/>
      <c r="AE182" s="64"/>
      <c r="AF182" s="64"/>
      <c r="AG182" s="60"/>
      <c r="AH182" s="64"/>
      <c r="AI182" s="64"/>
      <c r="AJ182" s="64"/>
    </row>
    <row r="183" spans="2:36" hidden="1" outlineLevel="1" x14ac:dyDescent="0.25">
      <c r="B183" s="229" t="s">
        <v>195</v>
      </c>
      <c r="C183" s="229" t="s">
        <v>195</v>
      </c>
      <c r="E183" s="78" t="s">
        <v>77</v>
      </c>
      <c r="F183" s="21">
        <f t="shared" ref="F183:H183" si="438">F221</f>
        <v>0</v>
      </c>
      <c r="G183" s="21">
        <f t="shared" si="438"/>
        <v>0</v>
      </c>
      <c r="H183" s="21">
        <f t="shared" si="438"/>
        <v>0</v>
      </c>
      <c r="I183" s="10">
        <f t="shared" ref="I183:L183" si="439">IF(X183="",I221,X183)</f>
        <v>0</v>
      </c>
      <c r="J183" s="10">
        <f t="shared" si="439"/>
        <v>0</v>
      </c>
      <c r="K183" s="10">
        <f t="shared" si="439"/>
        <v>0</v>
      </c>
      <c r="L183" s="10">
        <f t="shared" si="439"/>
        <v>0</v>
      </c>
      <c r="M183" s="17">
        <f t="shared" si="433"/>
        <v>0</v>
      </c>
      <c r="N183" s="10">
        <f t="shared" ref="N183:Q183" si="440">IF(AC183="",N221,AC183)</f>
        <v>0</v>
      </c>
      <c r="O183" s="10">
        <f t="shared" si="440"/>
        <v>0</v>
      </c>
      <c r="P183" s="10">
        <f t="shared" si="440"/>
        <v>0</v>
      </c>
      <c r="Q183" s="10">
        <f t="shared" si="440"/>
        <v>0</v>
      </c>
      <c r="R183" s="22">
        <f t="shared" si="435"/>
        <v>0</v>
      </c>
      <c r="S183" s="23">
        <f t="shared" ref="S183:U183" si="441">IF(AH183="",S221,AH183)</f>
        <v>0</v>
      </c>
      <c r="T183" s="23">
        <f t="shared" si="441"/>
        <v>0</v>
      </c>
      <c r="U183" s="23">
        <f t="shared" si="441"/>
        <v>0</v>
      </c>
      <c r="W183" s="79" t="str">
        <f t="shared" si="437"/>
        <v>blank</v>
      </c>
      <c r="X183" s="64"/>
      <c r="Y183" s="64"/>
      <c r="Z183" s="64"/>
      <c r="AA183" s="64"/>
      <c r="AB183" s="60"/>
      <c r="AC183" s="64"/>
      <c r="AD183" s="64"/>
      <c r="AE183" s="64"/>
      <c r="AF183" s="64"/>
      <c r="AG183" s="60"/>
      <c r="AH183" s="64"/>
      <c r="AI183" s="64"/>
      <c r="AJ183" s="64"/>
    </row>
    <row r="184" spans="2:36" hidden="1" outlineLevel="1" x14ac:dyDescent="0.25">
      <c r="B184" s="229" t="s">
        <v>195</v>
      </c>
      <c r="C184" s="229" t="s">
        <v>195</v>
      </c>
      <c r="E184" s="78" t="s">
        <v>77</v>
      </c>
      <c r="F184" s="21">
        <f t="shared" ref="F184:H184" si="442">F222</f>
        <v>0</v>
      </c>
      <c r="G184" s="21">
        <f t="shared" si="442"/>
        <v>0</v>
      </c>
      <c r="H184" s="21">
        <f t="shared" si="442"/>
        <v>0</v>
      </c>
      <c r="I184" s="10">
        <f t="shared" ref="I184:L184" si="443">IF(X184="",I222,X184)</f>
        <v>0</v>
      </c>
      <c r="J184" s="10">
        <f t="shared" si="443"/>
        <v>0</v>
      </c>
      <c r="K184" s="10">
        <f t="shared" si="443"/>
        <v>0</v>
      </c>
      <c r="L184" s="10">
        <f t="shared" si="443"/>
        <v>0</v>
      </c>
      <c r="M184" s="17">
        <f t="shared" si="433"/>
        <v>0</v>
      </c>
      <c r="N184" s="10">
        <f t="shared" ref="N184:Q184" si="444">IF(AC184="",N222,AC184)</f>
        <v>0</v>
      </c>
      <c r="O184" s="10">
        <f t="shared" si="444"/>
        <v>0</v>
      </c>
      <c r="P184" s="10">
        <f t="shared" si="444"/>
        <v>0</v>
      </c>
      <c r="Q184" s="10">
        <f t="shared" si="444"/>
        <v>0</v>
      </c>
      <c r="R184" s="22">
        <f t="shared" si="435"/>
        <v>0</v>
      </c>
      <c r="S184" s="23">
        <f t="shared" ref="S184:U184" si="445">IF(AH184="",S222,AH184)</f>
        <v>0</v>
      </c>
      <c r="T184" s="23">
        <f t="shared" si="445"/>
        <v>0</v>
      </c>
      <c r="U184" s="23">
        <f t="shared" si="445"/>
        <v>0</v>
      </c>
      <c r="W184" s="79" t="str">
        <f t="shared" si="437"/>
        <v>blank</v>
      </c>
      <c r="X184" s="64"/>
      <c r="Y184" s="64"/>
      <c r="Z184" s="64"/>
      <c r="AA184" s="64"/>
      <c r="AB184" s="60"/>
      <c r="AC184" s="64"/>
      <c r="AD184" s="64"/>
      <c r="AE184" s="64"/>
      <c r="AF184" s="64"/>
      <c r="AG184" s="60"/>
      <c r="AH184" s="64"/>
      <c r="AI184" s="64"/>
      <c r="AJ184" s="64"/>
    </row>
    <row r="185" spans="2:36" hidden="1" outlineLevel="1" x14ac:dyDescent="0.25">
      <c r="B185" s="229" t="s">
        <v>195</v>
      </c>
      <c r="C185" s="229" t="s">
        <v>195</v>
      </c>
      <c r="E185" s="78" t="s">
        <v>77</v>
      </c>
      <c r="F185" s="21">
        <f t="shared" ref="F185:H185" si="446">F223</f>
        <v>0</v>
      </c>
      <c r="G185" s="21">
        <f t="shared" si="446"/>
        <v>0</v>
      </c>
      <c r="H185" s="21">
        <f t="shared" si="446"/>
        <v>0</v>
      </c>
      <c r="I185" s="10">
        <f t="shared" ref="I185:L185" si="447">IF(X185="",I223,X185)</f>
        <v>0</v>
      </c>
      <c r="J185" s="10">
        <f t="shared" si="447"/>
        <v>0</v>
      </c>
      <c r="K185" s="10">
        <f t="shared" si="447"/>
        <v>0</v>
      </c>
      <c r="L185" s="10">
        <f t="shared" si="447"/>
        <v>0</v>
      </c>
      <c r="M185" s="17">
        <f t="shared" si="433"/>
        <v>0</v>
      </c>
      <c r="N185" s="10">
        <f t="shared" ref="N185:Q185" si="448">IF(AC185="",N223,AC185)</f>
        <v>0</v>
      </c>
      <c r="O185" s="10">
        <f t="shared" si="448"/>
        <v>0</v>
      </c>
      <c r="P185" s="10">
        <f t="shared" si="448"/>
        <v>0</v>
      </c>
      <c r="Q185" s="10">
        <f t="shared" si="448"/>
        <v>0</v>
      </c>
      <c r="R185" s="22">
        <f t="shared" si="435"/>
        <v>0</v>
      </c>
      <c r="S185" s="23">
        <f t="shared" ref="S185:U185" si="449">IF(AH185="",S223,AH185)</f>
        <v>0</v>
      </c>
      <c r="T185" s="23">
        <f t="shared" si="449"/>
        <v>0</v>
      </c>
      <c r="U185" s="23">
        <f t="shared" si="449"/>
        <v>0</v>
      </c>
      <c r="W185" s="79" t="str">
        <f t="shared" si="437"/>
        <v>blank</v>
      </c>
      <c r="X185" s="64"/>
      <c r="Y185" s="64"/>
      <c r="Z185" s="64"/>
      <c r="AA185" s="64"/>
      <c r="AB185" s="60"/>
      <c r="AC185" s="64"/>
      <c r="AD185" s="64"/>
      <c r="AE185" s="64"/>
      <c r="AF185" s="64"/>
      <c r="AG185" s="60"/>
      <c r="AH185" s="64"/>
      <c r="AI185" s="64"/>
      <c r="AJ185" s="64"/>
    </row>
    <row r="186" spans="2:36" hidden="1" outlineLevel="1" x14ac:dyDescent="0.25">
      <c r="B186" s="229" t="s">
        <v>195</v>
      </c>
      <c r="C186" s="229" t="s">
        <v>195</v>
      </c>
      <c r="E186" s="78" t="s">
        <v>77</v>
      </c>
      <c r="F186" s="21">
        <f t="shared" ref="F186:H186" si="450">F224</f>
        <v>0</v>
      </c>
      <c r="G186" s="21">
        <f t="shared" si="450"/>
        <v>0</v>
      </c>
      <c r="H186" s="21">
        <f t="shared" si="450"/>
        <v>0</v>
      </c>
      <c r="I186" s="10">
        <f t="shared" ref="I186:L186" si="451">IF(X186="",I224,X186)</f>
        <v>0</v>
      </c>
      <c r="J186" s="10">
        <f t="shared" si="451"/>
        <v>0</v>
      </c>
      <c r="K186" s="10">
        <f t="shared" si="451"/>
        <v>0</v>
      </c>
      <c r="L186" s="10">
        <f t="shared" si="451"/>
        <v>0</v>
      </c>
      <c r="M186" s="17">
        <f t="shared" si="433"/>
        <v>0</v>
      </c>
      <c r="N186" s="10">
        <f t="shared" ref="N186:Q186" si="452">IF(AC186="",N224,AC186)</f>
        <v>0</v>
      </c>
      <c r="O186" s="10">
        <f t="shared" si="452"/>
        <v>0</v>
      </c>
      <c r="P186" s="10">
        <f t="shared" si="452"/>
        <v>0</v>
      </c>
      <c r="Q186" s="10">
        <f t="shared" si="452"/>
        <v>0</v>
      </c>
      <c r="R186" s="22">
        <f t="shared" si="435"/>
        <v>0</v>
      </c>
      <c r="S186" s="23">
        <f t="shared" ref="S186:U186" si="453">IF(AH186="",S224,AH186)</f>
        <v>0</v>
      </c>
      <c r="T186" s="23">
        <f t="shared" si="453"/>
        <v>0</v>
      </c>
      <c r="U186" s="23">
        <f t="shared" si="453"/>
        <v>0</v>
      </c>
      <c r="W186" s="79" t="str">
        <f t="shared" si="437"/>
        <v>blank</v>
      </c>
      <c r="X186" s="64"/>
      <c r="Y186" s="64"/>
      <c r="Z186" s="64"/>
      <c r="AA186" s="64"/>
      <c r="AB186" s="60"/>
      <c r="AC186" s="64"/>
      <c r="AD186" s="64"/>
      <c r="AE186" s="64"/>
      <c r="AF186" s="64"/>
      <c r="AG186" s="60"/>
      <c r="AH186" s="64"/>
      <c r="AI186" s="64"/>
      <c r="AJ186" s="64"/>
    </row>
    <row r="187" spans="2:36" hidden="1" outlineLevel="1" x14ac:dyDescent="0.25">
      <c r="B187" s="229" t="s">
        <v>195</v>
      </c>
      <c r="C187" s="229" t="s">
        <v>195</v>
      </c>
      <c r="E187" s="78" t="s">
        <v>77</v>
      </c>
      <c r="F187" s="21">
        <f t="shared" ref="F187:H187" si="454">F225</f>
        <v>0</v>
      </c>
      <c r="G187" s="21">
        <f t="shared" si="454"/>
        <v>0</v>
      </c>
      <c r="H187" s="21">
        <f t="shared" si="454"/>
        <v>0</v>
      </c>
      <c r="I187" s="10">
        <f t="shared" ref="I187:L187" si="455">IF(X187="",I225,X187)</f>
        <v>0</v>
      </c>
      <c r="J187" s="10">
        <f t="shared" si="455"/>
        <v>0</v>
      </c>
      <c r="K187" s="10">
        <f t="shared" si="455"/>
        <v>0</v>
      </c>
      <c r="L187" s="10">
        <f t="shared" si="455"/>
        <v>0</v>
      </c>
      <c r="M187" s="17">
        <f t="shared" si="433"/>
        <v>0</v>
      </c>
      <c r="N187" s="10">
        <f t="shared" ref="N187:Q187" si="456">IF(AC187="",N225,AC187)</f>
        <v>0</v>
      </c>
      <c r="O187" s="10">
        <f t="shared" si="456"/>
        <v>0</v>
      </c>
      <c r="P187" s="10">
        <f t="shared" si="456"/>
        <v>0</v>
      </c>
      <c r="Q187" s="10">
        <f t="shared" si="456"/>
        <v>0</v>
      </c>
      <c r="R187" s="22">
        <f t="shared" si="435"/>
        <v>0</v>
      </c>
      <c r="S187" s="23">
        <f t="shared" ref="S187:U187" si="457">IF(AH187="",S225,AH187)</f>
        <v>0</v>
      </c>
      <c r="T187" s="23">
        <f t="shared" si="457"/>
        <v>0</v>
      </c>
      <c r="U187" s="23">
        <f t="shared" si="457"/>
        <v>0</v>
      </c>
      <c r="W187" s="79" t="str">
        <f t="shared" si="437"/>
        <v>blank</v>
      </c>
      <c r="X187" s="64"/>
      <c r="Y187" s="64"/>
      <c r="Z187" s="64"/>
      <c r="AA187" s="64"/>
      <c r="AB187" s="60"/>
      <c r="AC187" s="64"/>
      <c r="AD187" s="64"/>
      <c r="AE187" s="64"/>
      <c r="AF187" s="64"/>
      <c r="AG187" s="60"/>
      <c r="AH187" s="64"/>
      <c r="AI187" s="64"/>
      <c r="AJ187" s="64"/>
    </row>
    <row r="188" spans="2:36" hidden="1" outlineLevel="1" x14ac:dyDescent="0.25">
      <c r="B188" s="229" t="s">
        <v>195</v>
      </c>
      <c r="C188" s="229" t="s">
        <v>195</v>
      </c>
      <c r="E188" s="78" t="s">
        <v>77</v>
      </c>
      <c r="F188" s="21">
        <f t="shared" ref="F188:H188" si="458">F226</f>
        <v>0</v>
      </c>
      <c r="G188" s="21">
        <f t="shared" si="458"/>
        <v>0</v>
      </c>
      <c r="H188" s="21">
        <f t="shared" si="458"/>
        <v>0</v>
      </c>
      <c r="I188" s="10">
        <f t="shared" ref="I188:L188" si="459">IF(X188="",I226,X188)</f>
        <v>0</v>
      </c>
      <c r="J188" s="10">
        <f t="shared" si="459"/>
        <v>0</v>
      </c>
      <c r="K188" s="10">
        <f t="shared" si="459"/>
        <v>0</v>
      </c>
      <c r="L188" s="10">
        <f t="shared" si="459"/>
        <v>0</v>
      </c>
      <c r="M188" s="17">
        <f t="shared" si="433"/>
        <v>0</v>
      </c>
      <c r="N188" s="10">
        <f t="shared" ref="N188:Q188" si="460">IF(AC188="",N226,AC188)</f>
        <v>0</v>
      </c>
      <c r="O188" s="10">
        <f t="shared" si="460"/>
        <v>0</v>
      </c>
      <c r="P188" s="10">
        <f t="shared" si="460"/>
        <v>0</v>
      </c>
      <c r="Q188" s="10">
        <f t="shared" si="460"/>
        <v>0</v>
      </c>
      <c r="R188" s="22">
        <f t="shared" si="435"/>
        <v>0</v>
      </c>
      <c r="S188" s="23">
        <f t="shared" ref="S188:U188" si="461">IF(AH188="",S226,AH188)</f>
        <v>0</v>
      </c>
      <c r="T188" s="23">
        <f t="shared" si="461"/>
        <v>0</v>
      </c>
      <c r="U188" s="23">
        <f t="shared" si="461"/>
        <v>0</v>
      </c>
      <c r="W188" s="79" t="str">
        <f t="shared" si="437"/>
        <v>blank</v>
      </c>
      <c r="X188" s="64"/>
      <c r="Y188" s="64"/>
      <c r="Z188" s="64"/>
      <c r="AA188" s="64"/>
      <c r="AB188" s="60"/>
      <c r="AC188" s="64"/>
      <c r="AD188" s="64"/>
      <c r="AE188" s="64"/>
      <c r="AF188" s="64"/>
      <c r="AG188" s="60"/>
      <c r="AH188" s="64"/>
      <c r="AI188" s="64"/>
      <c r="AJ188" s="64"/>
    </row>
    <row r="189" spans="2:36" ht="15.75" hidden="1" outlineLevel="1" thickBot="1" x14ac:dyDescent="0.3">
      <c r="E189" s="8" t="s">
        <v>27</v>
      </c>
      <c r="F189" s="9">
        <f>SUM(F181:F188)</f>
        <v>0</v>
      </c>
      <c r="G189" s="9">
        <f t="shared" ref="G189" si="462">SUM(G181:G188)</f>
        <v>0</v>
      </c>
      <c r="H189" s="9">
        <f t="shared" ref="H189" si="463">SUM(H181:H188)</f>
        <v>0</v>
      </c>
      <c r="I189" s="11">
        <f t="shared" ref="I189" si="464">SUM(I181:I188)</f>
        <v>0</v>
      </c>
      <c r="J189" s="11">
        <f t="shared" ref="J189" si="465">SUM(J181:J188)</f>
        <v>0</v>
      </c>
      <c r="K189" s="11">
        <f t="shared" ref="K189" si="466">SUM(K181:K188)</f>
        <v>0</v>
      </c>
      <c r="L189" s="11">
        <f t="shared" ref="L189" si="467">SUM(L181:L188)</f>
        <v>0</v>
      </c>
      <c r="M189" s="18">
        <f t="shared" ref="M189" si="468">SUM(M181:M188)</f>
        <v>0</v>
      </c>
      <c r="N189" s="11">
        <f t="shared" ref="N189" si="469">SUM(N181:N188)</f>
        <v>0</v>
      </c>
      <c r="O189" s="11">
        <f t="shared" ref="O189" si="470">SUM(O181:O188)</f>
        <v>0</v>
      </c>
      <c r="P189" s="11">
        <f t="shared" ref="P189" si="471">SUM(P181:P188)</f>
        <v>0</v>
      </c>
      <c r="Q189" s="11">
        <f t="shared" ref="Q189" si="472">SUM(Q181:Q188)</f>
        <v>0</v>
      </c>
      <c r="R189" s="19">
        <f t="shared" ref="R189" si="473">SUM(R181:R188)</f>
        <v>0</v>
      </c>
      <c r="S189" s="20">
        <f t="shared" ref="S189" si="474">SUM(S181:S188)</f>
        <v>0</v>
      </c>
      <c r="T189" s="20">
        <f t="shared" ref="T189" si="475">SUM(T181:T188)</f>
        <v>0</v>
      </c>
      <c r="U189" s="20">
        <f t="shared" ref="U189" si="476">SUM(U181:U188)</f>
        <v>0</v>
      </c>
    </row>
    <row r="190" spans="2:36" ht="15.75" hidden="1" outlineLevel="1" thickTop="1" x14ac:dyDescent="0.25"/>
    <row r="191" spans="2:36" hidden="1" outlineLevel="1" x14ac:dyDescent="0.25"/>
    <row r="192" spans="2:36" hidden="1" outlineLevel="1" x14ac:dyDescent="0.25"/>
    <row r="193" spans="2:21" ht="18.75" collapsed="1" x14ac:dyDescent="0.3">
      <c r="E193" s="70" t="s">
        <v>61</v>
      </c>
      <c r="F193" s="70"/>
      <c r="G193" s="70"/>
      <c r="H193" s="70"/>
      <c r="I193" s="70"/>
      <c r="J193" s="70"/>
      <c r="K193" s="70"/>
      <c r="L193" s="70"/>
      <c r="M193" s="70"/>
      <c r="N193" s="70"/>
      <c r="O193" s="70"/>
      <c r="P193" s="70"/>
      <c r="Q193" s="70"/>
      <c r="R193" s="70"/>
      <c r="S193" s="70"/>
      <c r="T193" s="70"/>
      <c r="U193" s="70"/>
    </row>
    <row r="194" spans="2:21" x14ac:dyDescent="0.25">
      <c r="E194" s="52" t="s">
        <v>65</v>
      </c>
    </row>
    <row r="197" spans="2:21" x14ac:dyDescent="0.25">
      <c r="E197" s="4" t="s">
        <v>8</v>
      </c>
    </row>
    <row r="198" spans="2:21" x14ac:dyDescent="0.25">
      <c r="E198" t="s">
        <v>25</v>
      </c>
    </row>
    <row r="200" spans="2:21" x14ac:dyDescent="0.25">
      <c r="F200" s="12">
        <f>Inputs!$C$7</f>
        <v>2023</v>
      </c>
      <c r="G200" s="12">
        <f>Inputs!$C$8</f>
        <v>2024</v>
      </c>
      <c r="H200" s="12">
        <f>Inputs!$C$9</f>
        <v>2025</v>
      </c>
      <c r="I200" s="13" t="s">
        <v>1</v>
      </c>
      <c r="J200" s="13" t="s">
        <v>2</v>
      </c>
      <c r="K200" s="13" t="s">
        <v>3</v>
      </c>
      <c r="L200" s="13" t="s">
        <v>4</v>
      </c>
      <c r="M200" s="13">
        <f>Inputs!$C$10</f>
        <v>2026</v>
      </c>
      <c r="N200" s="14" t="s">
        <v>1</v>
      </c>
      <c r="O200" s="14" t="s">
        <v>2</v>
      </c>
      <c r="P200" s="14" t="s">
        <v>3</v>
      </c>
      <c r="Q200" s="14" t="s">
        <v>4</v>
      </c>
      <c r="R200" s="15">
        <f>Inputs!$C$11</f>
        <v>2027</v>
      </c>
      <c r="S200" s="16">
        <f>Inputs!$C$12</f>
        <v>2028</v>
      </c>
      <c r="T200" s="16">
        <f>Inputs!$C$13</f>
        <v>2029</v>
      </c>
      <c r="U200" s="16">
        <f>Inputs!$C$14</f>
        <v>2030</v>
      </c>
    </row>
    <row r="201" spans="2:21" x14ac:dyDescent="0.25">
      <c r="F201" s="71" t="s">
        <v>63</v>
      </c>
      <c r="G201" s="71" t="s">
        <v>63</v>
      </c>
      <c r="H201" s="71" t="s">
        <v>63</v>
      </c>
      <c r="I201" s="71" t="s">
        <v>63</v>
      </c>
      <c r="J201" s="71" t="s">
        <v>63</v>
      </c>
      <c r="K201" s="71" t="s">
        <v>63</v>
      </c>
      <c r="L201" s="71" t="s">
        <v>63</v>
      </c>
      <c r="M201" s="71" t="s">
        <v>63</v>
      </c>
      <c r="N201" s="71" t="s">
        <v>63</v>
      </c>
      <c r="O201" s="71" t="s">
        <v>63</v>
      </c>
      <c r="P201" s="71" t="s">
        <v>63</v>
      </c>
      <c r="Q201" s="71" t="s">
        <v>63</v>
      </c>
      <c r="R201" s="71" t="s">
        <v>63</v>
      </c>
      <c r="S201" s="71" t="s">
        <v>63</v>
      </c>
      <c r="T201" s="71" t="s">
        <v>63</v>
      </c>
      <c r="U201" s="71" t="s">
        <v>63</v>
      </c>
    </row>
    <row r="202" spans="2:21" x14ac:dyDescent="0.25">
      <c r="B202" s="229"/>
      <c r="C202" s="229"/>
      <c r="E202" s="78" t="s">
        <v>8</v>
      </c>
      <c r="F202" s="65"/>
      <c r="G202" s="65"/>
      <c r="H202" s="65"/>
      <c r="I202" s="84"/>
      <c r="J202" s="84"/>
      <c r="K202" s="84"/>
      <c r="L202" s="84"/>
      <c r="M202" s="65">
        <f>SUM(I202:L202)</f>
        <v>0</v>
      </c>
      <c r="N202" s="84"/>
      <c r="O202" s="84"/>
      <c r="P202" s="84"/>
      <c r="Q202" s="84"/>
      <c r="R202" s="66">
        <f t="shared" ref="R202:R209" si="477">SUM(N202:Q202)</f>
        <v>0</v>
      </c>
      <c r="S202" s="66"/>
      <c r="T202" s="66"/>
      <c r="U202" s="66"/>
    </row>
    <row r="203" spans="2:21" x14ac:dyDescent="0.25">
      <c r="B203" s="229"/>
      <c r="C203" s="229"/>
      <c r="E203" s="78" t="s">
        <v>75</v>
      </c>
      <c r="F203" s="65"/>
      <c r="G203" s="65"/>
      <c r="H203" s="65"/>
      <c r="I203" s="84"/>
      <c r="J203" s="84"/>
      <c r="K203" s="84"/>
      <c r="L203" s="84"/>
      <c r="M203" s="65">
        <f t="shared" ref="M203:M209" si="478">SUM(I203:L203)</f>
        <v>0</v>
      </c>
      <c r="N203" s="84"/>
      <c r="O203" s="84"/>
      <c r="P203" s="84"/>
      <c r="Q203" s="84"/>
      <c r="R203" s="66">
        <f t="shared" si="477"/>
        <v>0</v>
      </c>
      <c r="S203" s="66"/>
      <c r="T203" s="66"/>
      <c r="U203" s="66"/>
    </row>
    <row r="204" spans="2:21" x14ac:dyDescent="0.25">
      <c r="B204" s="229"/>
      <c r="C204" s="229"/>
      <c r="E204" s="78" t="s">
        <v>77</v>
      </c>
      <c r="F204" s="65"/>
      <c r="G204" s="65"/>
      <c r="H204" s="65"/>
      <c r="I204" s="84"/>
      <c r="J204" s="84"/>
      <c r="K204" s="84"/>
      <c r="L204" s="84"/>
      <c r="M204" s="65">
        <f t="shared" si="478"/>
        <v>0</v>
      </c>
      <c r="N204" s="84"/>
      <c r="O204" s="84"/>
      <c r="P204" s="84"/>
      <c r="Q204" s="84"/>
      <c r="R204" s="66">
        <f t="shared" si="477"/>
        <v>0</v>
      </c>
      <c r="S204" s="66"/>
      <c r="T204" s="66"/>
      <c r="U204" s="66"/>
    </row>
    <row r="205" spans="2:21" x14ac:dyDescent="0.25">
      <c r="B205" s="229"/>
      <c r="C205" s="229"/>
      <c r="E205" s="78" t="s">
        <v>77</v>
      </c>
      <c r="F205" s="65"/>
      <c r="G205" s="65"/>
      <c r="H205" s="65"/>
      <c r="I205" s="84"/>
      <c r="J205" s="84"/>
      <c r="K205" s="84"/>
      <c r="L205" s="84"/>
      <c r="M205" s="65">
        <f t="shared" si="478"/>
        <v>0</v>
      </c>
      <c r="N205" s="84"/>
      <c r="O205" s="84"/>
      <c r="P205" s="84"/>
      <c r="Q205" s="84"/>
      <c r="R205" s="66">
        <f t="shared" si="477"/>
        <v>0</v>
      </c>
      <c r="S205" s="66"/>
      <c r="T205" s="66"/>
      <c r="U205" s="66"/>
    </row>
    <row r="206" spans="2:21" x14ac:dyDescent="0.25">
      <c r="B206" s="229"/>
      <c r="C206" s="229"/>
      <c r="E206" s="78" t="s">
        <v>77</v>
      </c>
      <c r="F206" s="65"/>
      <c r="G206" s="65"/>
      <c r="H206" s="65"/>
      <c r="I206" s="84"/>
      <c r="J206" s="84"/>
      <c r="K206" s="84"/>
      <c r="L206" s="84"/>
      <c r="M206" s="65">
        <f t="shared" si="478"/>
        <v>0</v>
      </c>
      <c r="N206" s="84"/>
      <c r="O206" s="84"/>
      <c r="P206" s="84"/>
      <c r="Q206" s="84"/>
      <c r="R206" s="66">
        <f t="shared" si="477"/>
        <v>0</v>
      </c>
      <c r="S206" s="66"/>
      <c r="T206" s="66"/>
      <c r="U206" s="66"/>
    </row>
    <row r="207" spans="2:21" x14ac:dyDescent="0.25">
      <c r="B207" s="229"/>
      <c r="C207" s="229"/>
      <c r="E207" s="78" t="s">
        <v>77</v>
      </c>
      <c r="F207" s="65"/>
      <c r="G207" s="65"/>
      <c r="H207" s="65"/>
      <c r="I207" s="84"/>
      <c r="J207" s="84"/>
      <c r="K207" s="84"/>
      <c r="L207" s="84"/>
      <c r="M207" s="65">
        <f t="shared" si="478"/>
        <v>0</v>
      </c>
      <c r="N207" s="84"/>
      <c r="O207" s="84"/>
      <c r="P207" s="84"/>
      <c r="Q207" s="84"/>
      <c r="R207" s="66">
        <f t="shared" si="477"/>
        <v>0</v>
      </c>
      <c r="S207" s="66"/>
      <c r="T207" s="66"/>
      <c r="U207" s="66"/>
    </row>
    <row r="208" spans="2:21" x14ac:dyDescent="0.25">
      <c r="B208" s="229"/>
      <c r="C208" s="229"/>
      <c r="E208" s="78" t="s">
        <v>77</v>
      </c>
      <c r="F208" s="65"/>
      <c r="G208" s="65"/>
      <c r="H208" s="65"/>
      <c r="I208" s="84"/>
      <c r="J208" s="84"/>
      <c r="K208" s="84"/>
      <c r="L208" s="84"/>
      <c r="M208" s="65">
        <f t="shared" si="478"/>
        <v>0</v>
      </c>
      <c r="N208" s="84"/>
      <c r="O208" s="84"/>
      <c r="P208" s="84"/>
      <c r="Q208" s="84"/>
      <c r="R208" s="66">
        <f t="shared" si="477"/>
        <v>0</v>
      </c>
      <c r="S208" s="66"/>
      <c r="T208" s="66"/>
      <c r="U208" s="66"/>
    </row>
    <row r="209" spans="2:37" x14ac:dyDescent="0.25">
      <c r="B209" s="229"/>
      <c r="C209" s="229"/>
      <c r="E209" s="78" t="s">
        <v>77</v>
      </c>
      <c r="F209" s="65"/>
      <c r="G209" s="65"/>
      <c r="H209" s="65"/>
      <c r="I209" s="84"/>
      <c r="J209" s="84"/>
      <c r="K209" s="84"/>
      <c r="L209" s="84"/>
      <c r="M209" s="65">
        <f t="shared" si="478"/>
        <v>0</v>
      </c>
      <c r="N209" s="84"/>
      <c r="O209" s="84"/>
      <c r="P209" s="84"/>
      <c r="Q209" s="84"/>
      <c r="R209" s="66">
        <f t="shared" si="477"/>
        <v>0</v>
      </c>
      <c r="S209" s="66"/>
      <c r="T209" s="66"/>
      <c r="U209" s="66"/>
    </row>
    <row r="210" spans="2:37" ht="15.75" thickBot="1" x14ac:dyDescent="0.3">
      <c r="E210" s="8" t="s">
        <v>27</v>
      </c>
      <c r="F210" s="67">
        <f>SUM(F202:F209)</f>
        <v>0</v>
      </c>
      <c r="G210" s="67">
        <f t="shared" ref="G210" si="479">SUM(G202:G209)</f>
        <v>0</v>
      </c>
      <c r="H210" s="67">
        <f t="shared" ref="H210" si="480">SUM(H202:H209)</f>
        <v>0</v>
      </c>
      <c r="I210" s="43">
        <f t="shared" ref="I210" si="481">SUM(I202:I209)</f>
        <v>0</v>
      </c>
      <c r="J210" s="43">
        <f t="shared" ref="J210" si="482">SUM(J202:J209)</f>
        <v>0</v>
      </c>
      <c r="K210" s="43">
        <f t="shared" ref="K210" si="483">SUM(K202:K209)</f>
        <v>0</v>
      </c>
      <c r="L210" s="43">
        <f t="shared" ref="L210" si="484">SUM(L202:L209)</f>
        <v>0</v>
      </c>
      <c r="M210" s="68">
        <f t="shared" ref="M210" si="485">SUM(M202:M209)</f>
        <v>0</v>
      </c>
      <c r="N210" s="43">
        <f t="shared" ref="N210" si="486">SUM(N202:N209)</f>
        <v>0</v>
      </c>
      <c r="O210" s="43">
        <f t="shared" ref="O210" si="487">SUM(O202:O209)</f>
        <v>0</v>
      </c>
      <c r="P210" s="43">
        <f t="shared" ref="P210" si="488">SUM(P202:P209)</f>
        <v>0</v>
      </c>
      <c r="Q210" s="43">
        <f t="shared" ref="Q210" si="489">SUM(Q202:Q209)</f>
        <v>0</v>
      </c>
      <c r="R210" s="69">
        <f t="shared" ref="R210" si="490">SUM(R202:R209)</f>
        <v>0</v>
      </c>
      <c r="S210" s="69">
        <f t="shared" ref="S210" si="491">SUM(S202:S209)</f>
        <v>0</v>
      </c>
      <c r="T210" s="69">
        <f t="shared" ref="T210" si="492">SUM(T202:T209)</f>
        <v>0</v>
      </c>
      <c r="U210" s="69">
        <f t="shared" ref="U210" si="493">SUM(U202:U209)</f>
        <v>0</v>
      </c>
    </row>
    <row r="211" spans="2:37" s="60" customFormat="1" ht="15.75" thickTop="1" x14ac:dyDescent="0.25">
      <c r="E211" s="80"/>
      <c r="F211" s="81"/>
      <c r="G211" s="81"/>
      <c r="H211" s="81"/>
      <c r="I211" s="82"/>
      <c r="J211" s="82"/>
      <c r="K211" s="82"/>
      <c r="L211" s="82"/>
      <c r="M211" s="81"/>
      <c r="N211" s="82"/>
      <c r="O211" s="82"/>
      <c r="P211" s="82"/>
      <c r="Q211" s="82"/>
      <c r="R211" s="83"/>
      <c r="S211" s="83"/>
      <c r="T211" s="83"/>
      <c r="U211" s="83"/>
      <c r="V211"/>
      <c r="W211"/>
      <c r="X211"/>
      <c r="Y211"/>
      <c r="Z211"/>
      <c r="AA211"/>
      <c r="AB211"/>
      <c r="AC211"/>
      <c r="AD211"/>
      <c r="AE211"/>
      <c r="AF211"/>
      <c r="AG211"/>
      <c r="AH211"/>
      <c r="AI211"/>
      <c r="AJ211"/>
      <c r="AK211"/>
    </row>
    <row r="212" spans="2:37" s="60" customFormat="1" x14ac:dyDescent="0.25">
      <c r="E212" s="80"/>
      <c r="F212" s="81"/>
      <c r="G212" s="81"/>
      <c r="H212" s="81"/>
      <c r="I212" s="82"/>
      <c r="J212" s="82"/>
      <c r="K212" s="82"/>
      <c r="L212" s="82"/>
      <c r="M212" s="81"/>
      <c r="N212" s="82"/>
      <c r="O212" s="82"/>
      <c r="P212" s="82"/>
      <c r="Q212" s="82"/>
      <c r="R212" s="83"/>
      <c r="S212" s="83"/>
      <c r="T212" s="83"/>
      <c r="U212" s="83"/>
      <c r="V212"/>
      <c r="W212"/>
      <c r="X212"/>
      <c r="Y212"/>
      <c r="Z212"/>
      <c r="AA212"/>
      <c r="AB212"/>
      <c r="AC212"/>
      <c r="AD212"/>
      <c r="AE212"/>
      <c r="AF212"/>
      <c r="AG212"/>
      <c r="AH212"/>
      <c r="AI212"/>
      <c r="AJ212"/>
      <c r="AK212"/>
    </row>
    <row r="213" spans="2:37" s="60" customFormat="1" x14ac:dyDescent="0.25">
      <c r="E213" s="80"/>
      <c r="F213" s="81"/>
      <c r="G213" s="81"/>
      <c r="H213" s="81"/>
      <c r="I213" s="82"/>
      <c r="J213" s="82"/>
      <c r="K213" s="82"/>
      <c r="L213" s="82"/>
      <c r="M213" s="81"/>
      <c r="N213" s="82"/>
      <c r="O213" s="82"/>
      <c r="P213" s="82"/>
      <c r="Q213" s="82"/>
      <c r="R213" s="83"/>
      <c r="S213" s="83"/>
      <c r="T213" s="83"/>
      <c r="U213" s="83"/>
      <c r="V213"/>
      <c r="W213"/>
      <c r="X213"/>
      <c r="Y213"/>
      <c r="Z213"/>
      <c r="AA213"/>
      <c r="AB213"/>
      <c r="AC213"/>
      <c r="AD213"/>
      <c r="AE213"/>
      <c r="AF213"/>
      <c r="AG213"/>
      <c r="AH213"/>
      <c r="AI213"/>
      <c r="AJ213"/>
      <c r="AK213"/>
    </row>
    <row r="214" spans="2:37" s="60" customFormat="1" x14ac:dyDescent="0.25">
      <c r="E214" s="48" t="s">
        <v>76</v>
      </c>
      <c r="F214" s="81"/>
      <c r="G214" s="81"/>
      <c r="H214" s="81"/>
      <c r="I214" s="82"/>
      <c r="J214" s="82"/>
      <c r="K214" s="82"/>
      <c r="L214" s="82"/>
      <c r="M214" s="81"/>
      <c r="N214" s="82"/>
      <c r="O214" s="82"/>
      <c r="P214" s="82"/>
      <c r="Q214" s="82"/>
      <c r="R214" s="83"/>
      <c r="S214" s="83"/>
      <c r="T214" s="83"/>
      <c r="U214" s="83"/>
      <c r="V214"/>
      <c r="W214"/>
      <c r="X214"/>
      <c r="Y214"/>
      <c r="Z214"/>
      <c r="AA214"/>
      <c r="AB214"/>
      <c r="AC214"/>
      <c r="AD214"/>
      <c r="AE214"/>
      <c r="AF214"/>
      <c r="AG214"/>
      <c r="AH214"/>
      <c r="AI214"/>
      <c r="AJ214"/>
      <c r="AK214"/>
    </row>
    <row r="215" spans="2:37" s="60" customFormat="1" x14ac:dyDescent="0.25">
      <c r="E215" t="s">
        <v>25</v>
      </c>
      <c r="F215" s="81"/>
      <c r="G215" s="81"/>
      <c r="H215" s="81"/>
      <c r="I215" s="82"/>
      <c r="J215" s="82"/>
      <c r="K215" s="82"/>
      <c r="L215" s="82"/>
      <c r="M215" s="81"/>
      <c r="N215" s="82"/>
      <c r="O215" s="82"/>
      <c r="P215" s="82"/>
      <c r="Q215" s="82"/>
      <c r="R215" s="83"/>
      <c r="S215" s="83"/>
      <c r="T215" s="83"/>
      <c r="U215" s="83"/>
      <c r="V215"/>
      <c r="W215"/>
      <c r="X215"/>
      <c r="Y215"/>
      <c r="Z215"/>
      <c r="AA215"/>
      <c r="AB215"/>
      <c r="AC215"/>
      <c r="AD215"/>
      <c r="AE215"/>
      <c r="AF215"/>
      <c r="AG215"/>
      <c r="AH215"/>
      <c r="AI215"/>
      <c r="AJ215"/>
      <c r="AK215"/>
    </row>
    <row r="216" spans="2:37" s="60" customFormat="1" x14ac:dyDescent="0.25">
      <c r="E216" s="80"/>
      <c r="F216" s="81"/>
      <c r="G216" s="81"/>
      <c r="H216" s="81"/>
      <c r="I216" s="82"/>
      <c r="J216" s="82"/>
      <c r="K216" s="82"/>
      <c r="L216" s="82"/>
      <c r="M216" s="81"/>
      <c r="N216" s="82"/>
      <c r="O216" s="82"/>
      <c r="P216" s="82"/>
      <c r="Q216" s="82"/>
      <c r="R216" s="83"/>
      <c r="S216" s="83"/>
      <c r="T216" s="83"/>
      <c r="U216" s="83"/>
      <c r="V216"/>
      <c r="W216"/>
      <c r="X216"/>
      <c r="Y216"/>
      <c r="Z216"/>
      <c r="AA216"/>
      <c r="AB216"/>
      <c r="AC216"/>
      <c r="AD216"/>
      <c r="AE216"/>
      <c r="AF216"/>
      <c r="AG216"/>
      <c r="AH216"/>
      <c r="AI216"/>
      <c r="AJ216"/>
      <c r="AK216"/>
    </row>
    <row r="217" spans="2:37" s="60" customFormat="1" x14ac:dyDescent="0.25">
      <c r="E217" s="80"/>
      <c r="F217" s="12">
        <f>Inputs!$C$7</f>
        <v>2023</v>
      </c>
      <c r="G217" s="12">
        <f>Inputs!$C$8</f>
        <v>2024</v>
      </c>
      <c r="H217" s="12">
        <f>Inputs!$C$9</f>
        <v>2025</v>
      </c>
      <c r="I217" s="13" t="s">
        <v>1</v>
      </c>
      <c r="J217" s="13" t="s">
        <v>2</v>
      </c>
      <c r="K217" s="13" t="s">
        <v>3</v>
      </c>
      <c r="L217" s="13" t="s">
        <v>4</v>
      </c>
      <c r="M217" s="13">
        <f>Inputs!$C$10</f>
        <v>2026</v>
      </c>
      <c r="N217" s="14" t="s">
        <v>1</v>
      </c>
      <c r="O217" s="14" t="s">
        <v>2</v>
      </c>
      <c r="P217" s="14" t="s">
        <v>3</v>
      </c>
      <c r="Q217" s="14" t="s">
        <v>4</v>
      </c>
      <c r="R217" s="15">
        <f>Inputs!$C$11</f>
        <v>2027</v>
      </c>
      <c r="S217" s="16">
        <f>Inputs!$C$12</f>
        <v>2028</v>
      </c>
      <c r="T217" s="16">
        <f>Inputs!$C$13</f>
        <v>2029</v>
      </c>
      <c r="U217" s="16">
        <f>Inputs!$C$14</f>
        <v>2030</v>
      </c>
      <c r="V217"/>
      <c r="W217"/>
      <c r="X217"/>
      <c r="Y217"/>
      <c r="Z217"/>
      <c r="AA217"/>
      <c r="AB217"/>
      <c r="AC217"/>
      <c r="AD217"/>
      <c r="AE217"/>
      <c r="AF217"/>
      <c r="AG217"/>
      <c r="AH217"/>
      <c r="AI217"/>
      <c r="AJ217"/>
      <c r="AK217"/>
    </row>
    <row r="218" spans="2:37" s="60" customFormat="1" x14ac:dyDescent="0.25">
      <c r="E218" s="80"/>
      <c r="F218" s="71" t="s">
        <v>63</v>
      </c>
      <c r="G218" s="71" t="s">
        <v>63</v>
      </c>
      <c r="H218" s="71" t="s">
        <v>63</v>
      </c>
      <c r="I218" s="71" t="s">
        <v>63</v>
      </c>
      <c r="J218" s="71" t="s">
        <v>63</v>
      </c>
      <c r="K218" s="71" t="s">
        <v>63</v>
      </c>
      <c r="L218" s="71" t="s">
        <v>63</v>
      </c>
      <c r="M218" s="71" t="s">
        <v>63</v>
      </c>
      <c r="N218" s="71" t="s">
        <v>63</v>
      </c>
      <c r="O218" s="71" t="s">
        <v>63</v>
      </c>
      <c r="P218" s="71" t="s">
        <v>63</v>
      </c>
      <c r="Q218" s="71" t="s">
        <v>63</v>
      </c>
      <c r="R218" s="71" t="s">
        <v>63</v>
      </c>
      <c r="S218" s="71" t="s">
        <v>63</v>
      </c>
      <c r="T218" s="71" t="s">
        <v>63</v>
      </c>
      <c r="U218" s="71" t="s">
        <v>63</v>
      </c>
      <c r="V218"/>
      <c r="W218"/>
      <c r="X218"/>
      <c r="Y218"/>
      <c r="Z218"/>
      <c r="AA218"/>
      <c r="AB218"/>
      <c r="AC218"/>
      <c r="AD218"/>
      <c r="AE218"/>
      <c r="AF218"/>
      <c r="AG218"/>
      <c r="AH218"/>
      <c r="AI218"/>
      <c r="AJ218"/>
      <c r="AK218"/>
    </row>
    <row r="219" spans="2:37" x14ac:dyDescent="0.25">
      <c r="B219" s="229"/>
      <c r="C219" s="229"/>
      <c r="E219" s="78" t="s">
        <v>35</v>
      </c>
      <c r="F219" s="65"/>
      <c r="G219" s="65"/>
      <c r="H219" s="65"/>
      <c r="I219" s="84"/>
      <c r="J219" s="84"/>
      <c r="K219" s="84"/>
      <c r="L219" s="84"/>
      <c r="M219" s="65">
        <f t="shared" ref="M219:M226" si="494">SUM(I219:L219)</f>
        <v>0</v>
      </c>
      <c r="N219" s="84"/>
      <c r="O219" s="84"/>
      <c r="P219" s="84"/>
      <c r="Q219" s="84"/>
      <c r="R219" s="66">
        <f t="shared" ref="R219:R226" si="495">SUM(N219:Q219)</f>
        <v>0</v>
      </c>
      <c r="S219" s="66"/>
      <c r="T219" s="66"/>
      <c r="U219" s="66"/>
    </row>
    <row r="220" spans="2:37" x14ac:dyDescent="0.25">
      <c r="B220" s="229"/>
      <c r="C220" s="229"/>
      <c r="E220" s="78" t="s">
        <v>77</v>
      </c>
      <c r="F220" s="65"/>
      <c r="G220" s="65"/>
      <c r="H220" s="65"/>
      <c r="I220" s="84"/>
      <c r="J220" s="84"/>
      <c r="K220" s="84"/>
      <c r="L220" s="84"/>
      <c r="M220" s="65">
        <f t="shared" si="494"/>
        <v>0</v>
      </c>
      <c r="N220" s="84"/>
      <c r="O220" s="84"/>
      <c r="P220" s="84"/>
      <c r="Q220" s="84"/>
      <c r="R220" s="66">
        <f t="shared" si="495"/>
        <v>0</v>
      </c>
      <c r="S220" s="66"/>
      <c r="T220" s="66"/>
      <c r="U220" s="66"/>
    </row>
    <row r="221" spans="2:37" x14ac:dyDescent="0.25">
      <c r="B221" s="229"/>
      <c r="C221" s="229"/>
      <c r="E221" s="78" t="s">
        <v>77</v>
      </c>
      <c r="F221" s="65"/>
      <c r="G221" s="65"/>
      <c r="H221" s="65"/>
      <c r="I221" s="84"/>
      <c r="J221" s="84"/>
      <c r="K221" s="84"/>
      <c r="L221" s="84"/>
      <c r="M221" s="65">
        <f t="shared" si="494"/>
        <v>0</v>
      </c>
      <c r="N221" s="84"/>
      <c r="O221" s="84"/>
      <c r="P221" s="84"/>
      <c r="Q221" s="84"/>
      <c r="R221" s="66">
        <f t="shared" si="495"/>
        <v>0</v>
      </c>
      <c r="S221" s="66"/>
      <c r="T221" s="66"/>
      <c r="U221" s="66"/>
    </row>
    <row r="222" spans="2:37" x14ac:dyDescent="0.25">
      <c r="B222" s="229"/>
      <c r="C222" s="229"/>
      <c r="E222" s="78" t="s">
        <v>77</v>
      </c>
      <c r="F222" s="65"/>
      <c r="G222" s="65"/>
      <c r="H222" s="65"/>
      <c r="I222" s="84"/>
      <c r="J222" s="84"/>
      <c r="K222" s="84"/>
      <c r="L222" s="84"/>
      <c r="M222" s="65">
        <f t="shared" si="494"/>
        <v>0</v>
      </c>
      <c r="N222" s="84"/>
      <c r="O222" s="84"/>
      <c r="P222" s="84"/>
      <c r="Q222" s="84"/>
      <c r="R222" s="66">
        <f t="shared" si="495"/>
        <v>0</v>
      </c>
      <c r="S222" s="66"/>
      <c r="T222" s="66"/>
      <c r="U222" s="66"/>
    </row>
    <row r="223" spans="2:37" x14ac:dyDescent="0.25">
      <c r="B223" s="229"/>
      <c r="C223" s="229"/>
      <c r="E223" s="78" t="s">
        <v>77</v>
      </c>
      <c r="F223" s="65"/>
      <c r="G223" s="65"/>
      <c r="H223" s="65"/>
      <c r="I223" s="84"/>
      <c r="J223" s="84"/>
      <c r="K223" s="84"/>
      <c r="L223" s="84"/>
      <c r="M223" s="65">
        <f t="shared" si="494"/>
        <v>0</v>
      </c>
      <c r="N223" s="84"/>
      <c r="O223" s="84"/>
      <c r="P223" s="84"/>
      <c r="Q223" s="84"/>
      <c r="R223" s="66">
        <f t="shared" si="495"/>
        <v>0</v>
      </c>
      <c r="S223" s="66"/>
      <c r="T223" s="66"/>
      <c r="U223" s="66"/>
    </row>
    <row r="224" spans="2:37" x14ac:dyDescent="0.25">
      <c r="B224" s="229"/>
      <c r="C224" s="229"/>
      <c r="E224" s="78" t="s">
        <v>77</v>
      </c>
      <c r="F224" s="65"/>
      <c r="G224" s="65"/>
      <c r="H224" s="65"/>
      <c r="I224" s="84"/>
      <c r="J224" s="84"/>
      <c r="K224" s="84"/>
      <c r="L224" s="84"/>
      <c r="M224" s="65">
        <f t="shared" si="494"/>
        <v>0</v>
      </c>
      <c r="N224" s="84"/>
      <c r="O224" s="84"/>
      <c r="P224" s="84"/>
      <c r="Q224" s="84"/>
      <c r="R224" s="66">
        <f t="shared" si="495"/>
        <v>0</v>
      </c>
      <c r="S224" s="66"/>
      <c r="T224" s="66"/>
      <c r="U224" s="66"/>
    </row>
    <row r="225" spans="2:21" x14ac:dyDescent="0.25">
      <c r="B225" s="229"/>
      <c r="C225" s="229"/>
      <c r="E225" s="78" t="s">
        <v>77</v>
      </c>
      <c r="F225" s="65"/>
      <c r="G225" s="65"/>
      <c r="H225" s="65"/>
      <c r="I225" s="84"/>
      <c r="J225" s="84"/>
      <c r="K225" s="84"/>
      <c r="L225" s="84"/>
      <c r="M225" s="65">
        <f t="shared" si="494"/>
        <v>0</v>
      </c>
      <c r="N225" s="84"/>
      <c r="O225" s="84"/>
      <c r="P225" s="84"/>
      <c r="Q225" s="84"/>
      <c r="R225" s="66">
        <f t="shared" si="495"/>
        <v>0</v>
      </c>
      <c r="S225" s="66"/>
      <c r="T225" s="66"/>
      <c r="U225" s="66"/>
    </row>
    <row r="226" spans="2:21" x14ac:dyDescent="0.25">
      <c r="B226" s="229"/>
      <c r="C226" s="229"/>
      <c r="E226" s="78" t="s">
        <v>77</v>
      </c>
      <c r="F226" s="65"/>
      <c r="G226" s="65"/>
      <c r="H226" s="65"/>
      <c r="I226" s="84"/>
      <c r="J226" s="84"/>
      <c r="K226" s="84"/>
      <c r="L226" s="84"/>
      <c r="M226" s="65">
        <f t="shared" si="494"/>
        <v>0</v>
      </c>
      <c r="N226" s="84"/>
      <c r="O226" s="84"/>
      <c r="P226" s="84"/>
      <c r="Q226" s="84"/>
      <c r="R226" s="66">
        <f t="shared" si="495"/>
        <v>0</v>
      </c>
      <c r="S226" s="66"/>
      <c r="T226" s="66"/>
      <c r="U226" s="66"/>
    </row>
    <row r="227" spans="2:21" ht="15.75" thickBot="1" x14ac:dyDescent="0.3">
      <c r="E227" s="8" t="s">
        <v>27</v>
      </c>
      <c r="F227" s="67">
        <f>SUM(F219:F226)</f>
        <v>0</v>
      </c>
      <c r="G227" s="67">
        <f t="shared" ref="G227" si="496">SUM(G219:G226)</f>
        <v>0</v>
      </c>
      <c r="H227" s="67">
        <f t="shared" ref="H227" si="497">SUM(H219:H226)</f>
        <v>0</v>
      </c>
      <c r="I227" s="43">
        <f t="shared" ref="I227" si="498">SUM(I219:I226)</f>
        <v>0</v>
      </c>
      <c r="J227" s="43">
        <f t="shared" ref="J227" si="499">SUM(J219:J226)</f>
        <v>0</v>
      </c>
      <c r="K227" s="43">
        <f t="shared" ref="K227" si="500">SUM(K219:K226)</f>
        <v>0</v>
      </c>
      <c r="L227" s="43">
        <f t="shared" ref="L227" si="501">SUM(L219:L226)</f>
        <v>0</v>
      </c>
      <c r="M227" s="68">
        <f t="shared" ref="M227" si="502">SUM(M219:M226)</f>
        <v>0</v>
      </c>
      <c r="N227" s="43">
        <f t="shared" ref="N227" si="503">SUM(N219:N226)</f>
        <v>0</v>
      </c>
      <c r="O227" s="43">
        <f t="shared" ref="O227" si="504">SUM(O219:O226)</f>
        <v>0</v>
      </c>
      <c r="P227" s="43">
        <f t="shared" ref="P227" si="505">SUM(P219:P226)</f>
        <v>0</v>
      </c>
      <c r="Q227" s="43">
        <f t="shared" ref="Q227" si="506">SUM(Q219:Q226)</f>
        <v>0</v>
      </c>
      <c r="R227" s="69">
        <f t="shared" ref="R227" si="507">SUM(R219:R226)</f>
        <v>0</v>
      </c>
      <c r="S227" s="69">
        <f t="shared" ref="S227" si="508">SUM(S219:S226)</f>
        <v>0</v>
      </c>
      <c r="T227" s="69">
        <f t="shared" ref="T227" si="509">SUM(T219:T226)</f>
        <v>0</v>
      </c>
      <c r="U227" s="69">
        <f t="shared" ref="U227" si="510">SUM(U219:U226)</f>
        <v>0</v>
      </c>
    </row>
    <row r="228" spans="2:21" ht="15.75" thickTop="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628BA-7DA1-4D22-9FBA-D148EE89E4F7}">
  <sheetPr>
    <tabColor theme="9" tint="0.79998168889431442"/>
  </sheetPr>
  <dimension ref="B3:AJ144"/>
  <sheetViews>
    <sheetView showGridLines="0" zoomScale="80" zoomScaleNormal="80" workbookViewId="0">
      <selection activeCell="C1" sqref="C1:C1048576"/>
    </sheetView>
  </sheetViews>
  <sheetFormatPr defaultRowHeight="15" outlineLevelRow="1" outlineLevelCol="1" x14ac:dyDescent="0.25"/>
  <cols>
    <col min="1" max="1" width="3.85546875" customWidth="1"/>
    <col min="2" max="2" width="5.28515625" bestFit="1" customWidth="1"/>
    <col min="3" max="3" width="4.5703125" bestFit="1" customWidth="1"/>
    <col min="4" max="4" width="3.85546875" customWidth="1"/>
    <col min="5" max="5" width="28" bestFit="1" customWidth="1"/>
    <col min="6" max="6" width="9.7109375" bestFit="1" customWidth="1"/>
    <col min="7" max="7" width="10.7109375" bestFit="1" customWidth="1"/>
    <col min="8" max="8" width="11" customWidth="1"/>
    <col min="9" max="10" width="9.7109375" customWidth="1" outlineLevel="1"/>
    <col min="11" max="11" width="9.5703125" customWidth="1" outlineLevel="1"/>
    <col min="12" max="12" width="9.42578125" customWidth="1" outlineLevel="1"/>
    <col min="13" max="13" width="9.140625" customWidth="1"/>
    <col min="14" max="14" width="9.5703125" customWidth="1" outlineLevel="1"/>
    <col min="15" max="15" width="10.7109375" customWidth="1" outlineLevel="1"/>
    <col min="16" max="17" width="9.5703125" customWidth="1" outlineLevel="1"/>
    <col min="18" max="18" width="9.42578125" customWidth="1"/>
    <col min="19" max="22" width="9.5703125" bestFit="1" customWidth="1"/>
    <col min="23" max="23" width="23.28515625" customWidth="1"/>
  </cols>
  <sheetData>
    <row r="3" spans="2:36" ht="18.75" x14ac:dyDescent="0.3">
      <c r="B3" s="4" t="s">
        <v>34</v>
      </c>
      <c r="C3" s="4" t="s">
        <v>387</v>
      </c>
      <c r="E3" s="53" t="str">
        <f>"Scenario 1: "&amp;Inputs!B22</f>
        <v>Scenario 1: Scenario 1</v>
      </c>
      <c r="F3" s="49"/>
      <c r="G3" s="49"/>
      <c r="H3" s="49"/>
      <c r="I3" s="49"/>
      <c r="J3" s="49"/>
      <c r="K3" s="49"/>
      <c r="L3" s="49"/>
      <c r="M3" s="49"/>
      <c r="N3" s="49"/>
      <c r="O3" s="49"/>
      <c r="P3" s="49"/>
      <c r="Q3" s="49"/>
      <c r="R3" s="49"/>
      <c r="S3" s="49"/>
      <c r="T3" s="49"/>
      <c r="U3" s="49"/>
    </row>
    <row r="4" spans="2:36" hidden="1" outlineLevel="1" x14ac:dyDescent="0.25">
      <c r="E4" s="52" t="str">
        <f>Inputs!C22</f>
        <v>Scenario 1 Description</v>
      </c>
    </row>
    <row r="5" spans="2:36" hidden="1" outlineLevel="1" x14ac:dyDescent="0.25"/>
    <row r="6" spans="2:36" hidden="1" outlineLevel="1" x14ac:dyDescent="0.25"/>
    <row r="7" spans="2:36" hidden="1" outlineLevel="1" x14ac:dyDescent="0.25">
      <c r="E7" s="4" t="s">
        <v>81</v>
      </c>
      <c r="W7" s="4" t="s">
        <v>81</v>
      </c>
    </row>
    <row r="8" spans="2:36" hidden="1" outlineLevel="1" x14ac:dyDescent="0.25">
      <c r="E8" t="s">
        <v>25</v>
      </c>
      <c r="W8" s="61" t="s">
        <v>62</v>
      </c>
    </row>
    <row r="9" spans="2:36" hidden="1" outlineLevel="1" x14ac:dyDescent="0.25"/>
    <row r="10" spans="2:36" hidden="1" outlineLevel="1" x14ac:dyDescent="0.25">
      <c r="F10" s="12">
        <f>Inputs!$C$7</f>
        <v>2023</v>
      </c>
      <c r="G10" s="12">
        <f>Inputs!$C$8</f>
        <v>2024</v>
      </c>
      <c r="H10" s="12">
        <f>Inputs!$C$9</f>
        <v>2025</v>
      </c>
      <c r="I10" s="13" t="s">
        <v>1</v>
      </c>
      <c r="J10" s="13" t="s">
        <v>2</v>
      </c>
      <c r="K10" s="13" t="s">
        <v>3</v>
      </c>
      <c r="L10" s="13" t="s">
        <v>4</v>
      </c>
      <c r="M10" s="13">
        <f>Inputs!$C$10</f>
        <v>2026</v>
      </c>
      <c r="N10" s="14" t="s">
        <v>1</v>
      </c>
      <c r="O10" s="14" t="s">
        <v>2</v>
      </c>
      <c r="P10" s="14" t="s">
        <v>3</v>
      </c>
      <c r="Q10" s="14" t="s">
        <v>4</v>
      </c>
      <c r="R10" s="15">
        <f>Inputs!$C$11</f>
        <v>2027</v>
      </c>
      <c r="S10" s="16">
        <f>Inputs!$C$12</f>
        <v>2028</v>
      </c>
      <c r="T10" s="16">
        <f>Inputs!$C$13</f>
        <v>2029</v>
      </c>
      <c r="U10" s="16">
        <f>Inputs!$C$14</f>
        <v>2030</v>
      </c>
      <c r="X10" s="13" t="s">
        <v>1</v>
      </c>
      <c r="Y10" s="13" t="s">
        <v>2</v>
      </c>
      <c r="Z10" s="13" t="s">
        <v>3</v>
      </c>
      <c r="AA10" s="13" t="s">
        <v>4</v>
      </c>
      <c r="AB10" s="13">
        <f>Inputs!$C$10</f>
        <v>2026</v>
      </c>
      <c r="AC10" s="14" t="s">
        <v>1</v>
      </c>
      <c r="AD10" s="14" t="s">
        <v>2</v>
      </c>
      <c r="AE10" s="14" t="s">
        <v>3</v>
      </c>
      <c r="AF10" s="14" t="s">
        <v>4</v>
      </c>
      <c r="AG10" s="15">
        <f>Inputs!$C$11</f>
        <v>2027</v>
      </c>
      <c r="AH10" s="16">
        <f>Inputs!$C$12</f>
        <v>2028</v>
      </c>
      <c r="AI10" s="16">
        <f>Inputs!$C$13</f>
        <v>2029</v>
      </c>
      <c r="AJ10" s="16">
        <f>Inputs!$C$14</f>
        <v>2030</v>
      </c>
    </row>
    <row r="11" spans="2:36" hidden="1" outlineLevel="1" x14ac:dyDescent="0.25">
      <c r="F11" s="71" t="s">
        <v>63</v>
      </c>
      <c r="G11" s="71" t="s">
        <v>63</v>
      </c>
      <c r="H11" s="71" t="s">
        <v>63</v>
      </c>
      <c r="I11" s="71" t="s">
        <v>63</v>
      </c>
      <c r="J11" s="71" t="s">
        <v>63</v>
      </c>
      <c r="K11" s="71" t="s">
        <v>63</v>
      </c>
      <c r="L11" s="71" t="s">
        <v>63</v>
      </c>
      <c r="M11" s="71" t="s">
        <v>63</v>
      </c>
      <c r="N11" s="71" t="s">
        <v>63</v>
      </c>
      <c r="O11" s="71" t="s">
        <v>63</v>
      </c>
      <c r="P11" s="71" t="s">
        <v>63</v>
      </c>
      <c r="Q11" s="71" t="s">
        <v>63</v>
      </c>
      <c r="R11" s="71" t="s">
        <v>63</v>
      </c>
      <c r="S11" s="71" t="s">
        <v>63</v>
      </c>
      <c r="T11" s="71" t="s">
        <v>63</v>
      </c>
      <c r="U11" s="71" t="s">
        <v>63</v>
      </c>
      <c r="X11" s="63" t="s">
        <v>30</v>
      </c>
      <c r="Y11" s="63" t="s">
        <v>30</v>
      </c>
      <c r="Z11" s="63" t="s">
        <v>30</v>
      </c>
      <c r="AA11" s="63" t="s">
        <v>30</v>
      </c>
      <c r="AB11" s="62"/>
      <c r="AC11" s="63" t="s">
        <v>30</v>
      </c>
      <c r="AD11" s="63" t="s">
        <v>30</v>
      </c>
      <c r="AE11" s="63" t="s">
        <v>30</v>
      </c>
      <c r="AF11" s="63" t="s">
        <v>30</v>
      </c>
      <c r="AG11" s="62"/>
      <c r="AH11" s="63" t="s">
        <v>30</v>
      </c>
      <c r="AI11" s="63" t="s">
        <v>30</v>
      </c>
      <c r="AJ11" s="63" t="s">
        <v>30</v>
      </c>
    </row>
    <row r="12" spans="2:36" hidden="1" outlineLevel="1" x14ac:dyDescent="0.25">
      <c r="B12" s="229" t="s">
        <v>195</v>
      </c>
      <c r="C12" s="229" t="s">
        <v>195</v>
      </c>
      <c r="E12" s="78" t="s">
        <v>12</v>
      </c>
      <c r="F12" s="21">
        <f>F132</f>
        <v>0</v>
      </c>
      <c r="G12" s="21">
        <f t="shared" ref="G12:H12" si="0">G132</f>
        <v>0</v>
      </c>
      <c r="H12" s="21">
        <f t="shared" si="0"/>
        <v>0</v>
      </c>
      <c r="I12" s="10">
        <f>IF(X12="",I132,X12)</f>
        <v>0</v>
      </c>
      <c r="J12" s="10">
        <f t="shared" ref="J12:L12" si="1">IF(Y12="",J132,Y12)</f>
        <v>0</v>
      </c>
      <c r="K12" s="10">
        <f t="shared" si="1"/>
        <v>0</v>
      </c>
      <c r="L12" s="10">
        <f t="shared" si="1"/>
        <v>0</v>
      </c>
      <c r="M12" s="17">
        <f>SUM(I12:L12)</f>
        <v>0</v>
      </c>
      <c r="N12" s="10">
        <f t="shared" ref="N12:Q12" si="2">IF(AC12="",N132,AC12)</f>
        <v>0</v>
      </c>
      <c r="O12" s="10">
        <f t="shared" si="2"/>
        <v>0</v>
      </c>
      <c r="P12" s="10">
        <f t="shared" si="2"/>
        <v>0</v>
      </c>
      <c r="Q12" s="10">
        <f t="shared" si="2"/>
        <v>0</v>
      </c>
      <c r="R12" s="22">
        <f>SUM(N12:Q12)</f>
        <v>0</v>
      </c>
      <c r="S12" s="23">
        <f t="shared" ref="S12:U12" si="3">IF(AH12="",S132,AH12)</f>
        <v>0</v>
      </c>
      <c r="T12" s="23">
        <f t="shared" si="3"/>
        <v>0</v>
      </c>
      <c r="U12" s="23">
        <f t="shared" si="3"/>
        <v>0</v>
      </c>
      <c r="W12" s="78" t="str">
        <f>E12</f>
        <v>R&amp;D</v>
      </c>
      <c r="X12" s="64"/>
      <c r="Y12" s="64"/>
      <c r="Z12" s="64"/>
      <c r="AA12" s="64"/>
      <c r="AB12" s="60"/>
      <c r="AC12" s="64"/>
      <c r="AD12" s="64"/>
      <c r="AE12" s="64"/>
      <c r="AF12" s="64"/>
      <c r="AG12" s="60"/>
      <c r="AH12" s="64"/>
      <c r="AI12" s="64"/>
      <c r="AJ12" s="64"/>
    </row>
    <row r="13" spans="2:36" hidden="1" outlineLevel="1" x14ac:dyDescent="0.25">
      <c r="B13" s="229" t="s">
        <v>195</v>
      </c>
      <c r="C13" s="229" t="s">
        <v>195</v>
      </c>
      <c r="E13" s="78" t="s">
        <v>78</v>
      </c>
      <c r="F13" s="21">
        <f t="shared" ref="F13:H13" si="4">F133</f>
        <v>0</v>
      </c>
      <c r="G13" s="21">
        <f t="shared" si="4"/>
        <v>0</v>
      </c>
      <c r="H13" s="21">
        <f t="shared" si="4"/>
        <v>0</v>
      </c>
      <c r="I13" s="10">
        <f t="shared" ref="I13:L13" si="5">IF(X13="",I133,X13)</f>
        <v>0</v>
      </c>
      <c r="J13" s="10">
        <f t="shared" si="5"/>
        <v>0</v>
      </c>
      <c r="K13" s="10">
        <f t="shared" si="5"/>
        <v>0</v>
      </c>
      <c r="L13" s="10">
        <f t="shared" si="5"/>
        <v>0</v>
      </c>
      <c r="M13" s="17">
        <f t="shared" ref="M13:M22" si="6">SUM(I13:L13)</f>
        <v>0</v>
      </c>
      <c r="N13" s="10">
        <f t="shared" ref="N13:Q13" si="7">IF(AC13="",N133,AC13)</f>
        <v>0</v>
      </c>
      <c r="O13" s="10">
        <f t="shared" si="7"/>
        <v>0</v>
      </c>
      <c r="P13" s="10">
        <f t="shared" si="7"/>
        <v>0</v>
      </c>
      <c r="Q13" s="10">
        <f t="shared" si="7"/>
        <v>0</v>
      </c>
      <c r="R13" s="22">
        <f t="shared" ref="R13:R22" si="8">SUM(N13:Q13)</f>
        <v>0</v>
      </c>
      <c r="S13" s="23">
        <f t="shared" ref="S13:U13" si="9">IF(AH13="",S133,AH13)</f>
        <v>0</v>
      </c>
      <c r="T13" s="23">
        <f t="shared" si="9"/>
        <v>0</v>
      </c>
      <c r="U13" s="23">
        <f t="shared" si="9"/>
        <v>0</v>
      </c>
      <c r="W13" s="78" t="str">
        <f t="shared" ref="W13:W19" si="10">E13</f>
        <v>Marketing</v>
      </c>
      <c r="X13" s="64"/>
      <c r="Y13" s="64"/>
      <c r="Z13" s="64"/>
      <c r="AA13" s="64"/>
      <c r="AB13" s="60"/>
      <c r="AC13" s="64"/>
      <c r="AD13" s="64"/>
      <c r="AE13" s="64"/>
      <c r="AF13" s="64"/>
      <c r="AG13" s="60"/>
      <c r="AH13" s="64"/>
      <c r="AI13" s="64"/>
      <c r="AJ13" s="64"/>
    </row>
    <row r="14" spans="2:36" hidden="1" outlineLevel="1" x14ac:dyDescent="0.25">
      <c r="B14" s="229" t="s">
        <v>195</v>
      </c>
      <c r="C14" s="229" t="s">
        <v>195</v>
      </c>
      <c r="E14" s="78" t="s">
        <v>79</v>
      </c>
      <c r="F14" s="21">
        <f t="shared" ref="F14:H14" si="11">F134</f>
        <v>0</v>
      </c>
      <c r="G14" s="21">
        <f t="shared" si="11"/>
        <v>0</v>
      </c>
      <c r="H14" s="21">
        <f t="shared" si="11"/>
        <v>0</v>
      </c>
      <c r="I14" s="10">
        <f t="shared" ref="I14:L14" si="12">IF(X14="",I134,X14)</f>
        <v>0</v>
      </c>
      <c r="J14" s="10">
        <f t="shared" si="12"/>
        <v>0</v>
      </c>
      <c r="K14" s="10">
        <f t="shared" si="12"/>
        <v>0</v>
      </c>
      <c r="L14" s="10">
        <f t="shared" si="12"/>
        <v>0</v>
      </c>
      <c r="M14" s="17">
        <f t="shared" si="6"/>
        <v>0</v>
      </c>
      <c r="N14" s="10">
        <f t="shared" ref="N14:Q14" si="13">IF(AC14="",N134,AC14)</f>
        <v>0</v>
      </c>
      <c r="O14" s="10">
        <f t="shared" si="13"/>
        <v>0</v>
      </c>
      <c r="P14" s="10">
        <f t="shared" si="13"/>
        <v>0</v>
      </c>
      <c r="Q14" s="10">
        <f t="shared" si="13"/>
        <v>0</v>
      </c>
      <c r="R14" s="22">
        <f t="shared" si="8"/>
        <v>0</v>
      </c>
      <c r="S14" s="23">
        <f t="shared" ref="S14:U14" si="14">IF(AH14="",S134,AH14)</f>
        <v>0</v>
      </c>
      <c r="T14" s="23">
        <f t="shared" si="14"/>
        <v>0</v>
      </c>
      <c r="U14" s="23">
        <f t="shared" si="14"/>
        <v>0</v>
      </c>
      <c r="W14" s="78" t="str">
        <f t="shared" si="10"/>
        <v>Sales</v>
      </c>
      <c r="X14" s="64"/>
      <c r="Y14" s="64"/>
      <c r="Z14" s="64"/>
      <c r="AA14" s="64"/>
      <c r="AB14" s="60"/>
      <c r="AC14" s="64"/>
      <c r="AD14" s="64"/>
      <c r="AE14" s="64"/>
      <c r="AF14" s="64"/>
      <c r="AG14" s="60"/>
      <c r="AH14" s="64"/>
      <c r="AI14" s="64"/>
      <c r="AJ14" s="64"/>
    </row>
    <row r="15" spans="2:36" hidden="1" outlineLevel="1" x14ac:dyDescent="0.25">
      <c r="B15" s="229" t="s">
        <v>195</v>
      </c>
      <c r="C15" s="229" t="s">
        <v>195</v>
      </c>
      <c r="E15" s="78" t="s">
        <v>14</v>
      </c>
      <c r="F15" s="21">
        <f t="shared" ref="F15:H15" si="15">F135</f>
        <v>0</v>
      </c>
      <c r="G15" s="21">
        <f t="shared" si="15"/>
        <v>0</v>
      </c>
      <c r="H15" s="21">
        <f t="shared" si="15"/>
        <v>0</v>
      </c>
      <c r="I15" s="10">
        <f t="shared" ref="I15:L15" si="16">IF(X15="",I135,X15)</f>
        <v>0</v>
      </c>
      <c r="J15" s="10">
        <f t="shared" si="16"/>
        <v>0</v>
      </c>
      <c r="K15" s="10">
        <f t="shared" si="16"/>
        <v>0</v>
      </c>
      <c r="L15" s="10">
        <f t="shared" si="16"/>
        <v>0</v>
      </c>
      <c r="M15" s="17">
        <f t="shared" si="6"/>
        <v>0</v>
      </c>
      <c r="N15" s="10">
        <f t="shared" ref="N15:Q15" si="17">IF(AC15="",N135,AC15)</f>
        <v>0</v>
      </c>
      <c r="O15" s="10">
        <f t="shared" si="17"/>
        <v>0</v>
      </c>
      <c r="P15" s="10">
        <f t="shared" si="17"/>
        <v>0</v>
      </c>
      <c r="Q15" s="10">
        <f t="shared" si="17"/>
        <v>0</v>
      </c>
      <c r="R15" s="22">
        <f t="shared" si="8"/>
        <v>0</v>
      </c>
      <c r="S15" s="23">
        <f t="shared" ref="S15:U15" si="18">IF(AH15="",S135,AH15)</f>
        <v>0</v>
      </c>
      <c r="T15" s="23">
        <f t="shared" si="18"/>
        <v>0</v>
      </c>
      <c r="U15" s="23">
        <f t="shared" si="18"/>
        <v>0</v>
      </c>
      <c r="W15" s="78" t="str">
        <f t="shared" si="10"/>
        <v>G&amp;A</v>
      </c>
      <c r="X15" s="64"/>
      <c r="Y15" s="64"/>
      <c r="Z15" s="64"/>
      <c r="AA15" s="64"/>
      <c r="AB15" s="60"/>
      <c r="AC15" s="64"/>
      <c r="AD15" s="64"/>
      <c r="AE15" s="64"/>
      <c r="AF15" s="64"/>
      <c r="AG15" s="60"/>
      <c r="AH15" s="64"/>
      <c r="AI15" s="64"/>
      <c r="AJ15" s="64"/>
    </row>
    <row r="16" spans="2:36" hidden="1" outlineLevel="1" x14ac:dyDescent="0.25">
      <c r="B16" s="229" t="s">
        <v>195</v>
      </c>
      <c r="C16" s="229" t="s">
        <v>195</v>
      </c>
      <c r="E16" s="78" t="s">
        <v>36</v>
      </c>
      <c r="F16" s="21">
        <f t="shared" ref="F16:H16" si="19">F136</f>
        <v>0</v>
      </c>
      <c r="G16" s="21">
        <f t="shared" si="19"/>
        <v>0</v>
      </c>
      <c r="H16" s="21">
        <f t="shared" si="19"/>
        <v>0</v>
      </c>
      <c r="I16" s="10">
        <f t="shared" ref="I16:L16" si="20">IF(X16="",I136,X16)</f>
        <v>0</v>
      </c>
      <c r="J16" s="10">
        <f t="shared" si="20"/>
        <v>0</v>
      </c>
      <c r="K16" s="10">
        <f t="shared" si="20"/>
        <v>0</v>
      </c>
      <c r="L16" s="10">
        <f t="shared" si="20"/>
        <v>0</v>
      </c>
      <c r="M16" s="17">
        <f t="shared" si="6"/>
        <v>0</v>
      </c>
      <c r="N16" s="10">
        <f t="shared" ref="N16:Q16" si="21">IF(AC16="",N136,AC16)</f>
        <v>0</v>
      </c>
      <c r="O16" s="10">
        <f t="shared" si="21"/>
        <v>0</v>
      </c>
      <c r="P16" s="10">
        <f t="shared" si="21"/>
        <v>0</v>
      </c>
      <c r="Q16" s="10">
        <f t="shared" si="21"/>
        <v>0</v>
      </c>
      <c r="R16" s="22">
        <f t="shared" si="8"/>
        <v>0</v>
      </c>
      <c r="S16" s="23">
        <f t="shared" ref="S16:U16" si="22">IF(AH16="",S136,AH16)</f>
        <v>0</v>
      </c>
      <c r="T16" s="23">
        <f t="shared" si="22"/>
        <v>0</v>
      </c>
      <c r="U16" s="23">
        <f t="shared" si="22"/>
        <v>0</v>
      </c>
      <c r="W16" s="78" t="str">
        <f t="shared" si="10"/>
        <v>Finance</v>
      </c>
      <c r="X16" s="64"/>
      <c r="Y16" s="64"/>
      <c r="Z16" s="64"/>
      <c r="AA16" s="64"/>
      <c r="AB16" s="60"/>
      <c r="AC16" s="64"/>
      <c r="AD16" s="64"/>
      <c r="AE16" s="64"/>
      <c r="AF16" s="64"/>
      <c r="AG16" s="60"/>
      <c r="AH16" s="64"/>
      <c r="AI16" s="64"/>
      <c r="AJ16" s="64"/>
    </row>
    <row r="17" spans="2:36" hidden="1" outlineLevel="1" x14ac:dyDescent="0.25">
      <c r="B17" s="229" t="s">
        <v>195</v>
      </c>
      <c r="C17" s="229" t="s">
        <v>195</v>
      </c>
      <c r="E17" s="78" t="s">
        <v>37</v>
      </c>
      <c r="F17" s="21">
        <f t="shared" ref="F17:H17" si="23">F137</f>
        <v>0</v>
      </c>
      <c r="G17" s="21">
        <f t="shared" si="23"/>
        <v>0</v>
      </c>
      <c r="H17" s="21">
        <f t="shared" si="23"/>
        <v>0</v>
      </c>
      <c r="I17" s="10">
        <f t="shared" ref="I17:L17" si="24">IF(X17="",I137,X17)</f>
        <v>0</v>
      </c>
      <c r="J17" s="10">
        <f t="shared" si="24"/>
        <v>0</v>
      </c>
      <c r="K17" s="10">
        <f t="shared" si="24"/>
        <v>0</v>
      </c>
      <c r="L17" s="10">
        <f t="shared" si="24"/>
        <v>0</v>
      </c>
      <c r="M17" s="17">
        <f t="shared" si="6"/>
        <v>0</v>
      </c>
      <c r="N17" s="10">
        <f t="shared" ref="N17:Q17" si="25">IF(AC17="",N137,AC17)</f>
        <v>0</v>
      </c>
      <c r="O17" s="10">
        <f t="shared" si="25"/>
        <v>0</v>
      </c>
      <c r="P17" s="10">
        <f t="shared" si="25"/>
        <v>0</v>
      </c>
      <c r="Q17" s="10">
        <f t="shared" si="25"/>
        <v>0</v>
      </c>
      <c r="R17" s="22">
        <f t="shared" si="8"/>
        <v>0</v>
      </c>
      <c r="S17" s="23">
        <f t="shared" ref="S17:U17" si="26">IF(AH17="",S137,AH17)</f>
        <v>0</v>
      </c>
      <c r="T17" s="23">
        <f t="shared" si="26"/>
        <v>0</v>
      </c>
      <c r="U17" s="23">
        <f t="shared" si="26"/>
        <v>0</v>
      </c>
      <c r="W17" s="78" t="str">
        <f t="shared" si="10"/>
        <v>IT</v>
      </c>
      <c r="X17" s="64"/>
      <c r="Y17" s="64"/>
      <c r="Z17" s="64"/>
      <c r="AA17" s="64"/>
      <c r="AB17" s="60"/>
      <c r="AC17" s="64"/>
      <c r="AD17" s="64"/>
      <c r="AE17" s="64"/>
      <c r="AF17" s="64"/>
      <c r="AG17" s="60"/>
      <c r="AH17" s="64"/>
      <c r="AI17" s="64"/>
      <c r="AJ17" s="64"/>
    </row>
    <row r="18" spans="2:36" hidden="1" outlineLevel="1" x14ac:dyDescent="0.25">
      <c r="B18" s="229" t="s">
        <v>195</v>
      </c>
      <c r="C18" s="229" t="s">
        <v>195</v>
      </c>
      <c r="E18" s="78" t="s">
        <v>38</v>
      </c>
      <c r="F18" s="21">
        <f t="shared" ref="F18:H18" si="27">F138</f>
        <v>0</v>
      </c>
      <c r="G18" s="21">
        <f t="shared" si="27"/>
        <v>0</v>
      </c>
      <c r="H18" s="21">
        <f t="shared" si="27"/>
        <v>0</v>
      </c>
      <c r="I18" s="10">
        <f t="shared" ref="I18:L18" si="28">IF(X18="",I138,X18)</f>
        <v>0</v>
      </c>
      <c r="J18" s="10">
        <f t="shared" si="28"/>
        <v>0</v>
      </c>
      <c r="K18" s="10">
        <f t="shared" si="28"/>
        <v>0</v>
      </c>
      <c r="L18" s="10">
        <f t="shared" si="28"/>
        <v>0</v>
      </c>
      <c r="M18" s="17">
        <f t="shared" si="6"/>
        <v>0</v>
      </c>
      <c r="N18" s="10">
        <f t="shared" ref="N18:Q18" si="29">IF(AC18="",N138,AC18)</f>
        <v>0</v>
      </c>
      <c r="O18" s="10">
        <f t="shared" si="29"/>
        <v>0</v>
      </c>
      <c r="P18" s="10">
        <f t="shared" si="29"/>
        <v>0</v>
      </c>
      <c r="Q18" s="10">
        <f t="shared" si="29"/>
        <v>0</v>
      </c>
      <c r="R18" s="22">
        <f t="shared" si="8"/>
        <v>0</v>
      </c>
      <c r="S18" s="23">
        <f t="shared" ref="S18:U18" si="30">IF(AH18="",S138,AH18)</f>
        <v>0</v>
      </c>
      <c r="T18" s="23">
        <f t="shared" si="30"/>
        <v>0</v>
      </c>
      <c r="U18" s="23">
        <f t="shared" si="30"/>
        <v>0</v>
      </c>
      <c r="W18" s="78" t="str">
        <f t="shared" si="10"/>
        <v>HR</v>
      </c>
      <c r="X18" s="64"/>
      <c r="Y18" s="64"/>
      <c r="Z18" s="64"/>
      <c r="AA18" s="64"/>
      <c r="AB18" s="60"/>
      <c r="AC18" s="64"/>
      <c r="AD18" s="64"/>
      <c r="AE18" s="64"/>
      <c r="AF18" s="64"/>
      <c r="AG18" s="60"/>
      <c r="AH18" s="64"/>
      <c r="AI18" s="64"/>
      <c r="AJ18" s="64"/>
    </row>
    <row r="19" spans="2:36" hidden="1" outlineLevel="1" x14ac:dyDescent="0.25">
      <c r="B19" s="229" t="s">
        <v>195</v>
      </c>
      <c r="C19" s="229" t="s">
        <v>195</v>
      </c>
      <c r="E19" s="78" t="s">
        <v>39</v>
      </c>
      <c r="F19" s="21">
        <f t="shared" ref="F19:H19" si="31">F139</f>
        <v>0</v>
      </c>
      <c r="G19" s="21">
        <f t="shared" si="31"/>
        <v>0</v>
      </c>
      <c r="H19" s="21">
        <f t="shared" si="31"/>
        <v>0</v>
      </c>
      <c r="I19" s="10">
        <f t="shared" ref="I19:L19" si="32">IF(X19="",I139,X19)</f>
        <v>0</v>
      </c>
      <c r="J19" s="10">
        <f t="shared" si="32"/>
        <v>0</v>
      </c>
      <c r="K19" s="10">
        <f t="shared" si="32"/>
        <v>0</v>
      </c>
      <c r="L19" s="10">
        <f t="shared" si="32"/>
        <v>0</v>
      </c>
      <c r="M19" s="17">
        <f t="shared" si="6"/>
        <v>0</v>
      </c>
      <c r="N19" s="10">
        <f t="shared" ref="N19:Q19" si="33">IF(AC19="",N139,AC19)</f>
        <v>0</v>
      </c>
      <c r="O19" s="10">
        <f t="shared" si="33"/>
        <v>0</v>
      </c>
      <c r="P19" s="10">
        <f t="shared" si="33"/>
        <v>0</v>
      </c>
      <c r="Q19" s="10">
        <f t="shared" si="33"/>
        <v>0</v>
      </c>
      <c r="R19" s="22">
        <f t="shared" si="8"/>
        <v>0</v>
      </c>
      <c r="S19" s="23">
        <f t="shared" ref="S19:U19" si="34">IF(AH19="",S139,AH19)</f>
        <v>0</v>
      </c>
      <c r="T19" s="23">
        <f t="shared" si="34"/>
        <v>0</v>
      </c>
      <c r="U19" s="23">
        <f t="shared" si="34"/>
        <v>0</v>
      </c>
      <c r="W19" s="78" t="str">
        <f t="shared" si="10"/>
        <v>Global IT</v>
      </c>
      <c r="X19" s="64"/>
      <c r="Y19" s="64"/>
      <c r="Z19" s="64"/>
      <c r="AA19" s="64"/>
      <c r="AB19" s="60"/>
      <c r="AC19" s="64"/>
      <c r="AD19" s="64"/>
      <c r="AE19" s="64"/>
      <c r="AF19" s="64"/>
      <c r="AG19" s="60"/>
      <c r="AH19" s="64"/>
      <c r="AI19" s="64"/>
      <c r="AJ19" s="64"/>
    </row>
    <row r="20" spans="2:36" hidden="1" outlineLevel="1" x14ac:dyDescent="0.25">
      <c r="B20" s="229" t="s">
        <v>195</v>
      </c>
      <c r="C20" s="229" t="s">
        <v>195</v>
      </c>
      <c r="E20" s="78" t="s">
        <v>29</v>
      </c>
      <c r="F20" s="21">
        <f t="shared" ref="F20:H20" si="35">F140</f>
        <v>0</v>
      </c>
      <c r="G20" s="21">
        <f t="shared" si="35"/>
        <v>0</v>
      </c>
      <c r="H20" s="21">
        <f t="shared" si="35"/>
        <v>0</v>
      </c>
      <c r="I20" s="10">
        <f t="shared" ref="I20:L20" si="36">IF(X20="",I140,X20)</f>
        <v>0</v>
      </c>
      <c r="J20" s="10">
        <f t="shared" si="36"/>
        <v>0</v>
      </c>
      <c r="K20" s="10">
        <f t="shared" si="36"/>
        <v>0</v>
      </c>
      <c r="L20" s="10">
        <f t="shared" si="36"/>
        <v>0</v>
      </c>
      <c r="M20" s="17">
        <f t="shared" si="6"/>
        <v>0</v>
      </c>
      <c r="N20" s="10">
        <f t="shared" ref="N20:Q20" si="37">IF(AC20="",N140,AC20)</f>
        <v>0</v>
      </c>
      <c r="O20" s="10">
        <f t="shared" si="37"/>
        <v>0</v>
      </c>
      <c r="P20" s="10">
        <f t="shared" si="37"/>
        <v>0</v>
      </c>
      <c r="Q20" s="10">
        <f t="shared" si="37"/>
        <v>0</v>
      </c>
      <c r="R20" s="22">
        <f t="shared" si="8"/>
        <v>0</v>
      </c>
      <c r="S20" s="23">
        <f t="shared" ref="S20:U20" si="38">IF(AH20="",S140,AH20)</f>
        <v>0</v>
      </c>
      <c r="T20" s="23">
        <f t="shared" si="38"/>
        <v>0</v>
      </c>
      <c r="U20" s="23">
        <f t="shared" si="38"/>
        <v>0</v>
      </c>
      <c r="W20" s="78" t="str">
        <f t="shared" ref="W20:W22" si="39">E20</f>
        <v>All other Period Expenses</v>
      </c>
      <c r="X20" s="64"/>
      <c r="Y20" s="64"/>
      <c r="Z20" s="64"/>
      <c r="AA20" s="64"/>
      <c r="AB20" s="60"/>
      <c r="AC20" s="64"/>
      <c r="AD20" s="64"/>
      <c r="AE20" s="64"/>
      <c r="AF20" s="64"/>
      <c r="AG20" s="60"/>
      <c r="AH20" s="64"/>
      <c r="AI20" s="64"/>
      <c r="AJ20" s="64"/>
    </row>
    <row r="21" spans="2:36" hidden="1" outlineLevel="1" x14ac:dyDescent="0.25">
      <c r="B21" s="229" t="s">
        <v>195</v>
      </c>
      <c r="C21" s="229" t="s">
        <v>195</v>
      </c>
      <c r="E21" s="78" t="s">
        <v>80</v>
      </c>
      <c r="F21" s="21">
        <f t="shared" ref="F21:H21" si="40">F141</f>
        <v>0</v>
      </c>
      <c r="G21" s="21">
        <f t="shared" si="40"/>
        <v>0</v>
      </c>
      <c r="H21" s="21">
        <f t="shared" si="40"/>
        <v>0</v>
      </c>
      <c r="I21" s="10">
        <f t="shared" ref="I21:L21" si="41">IF(X21="",I141,X21)</f>
        <v>0</v>
      </c>
      <c r="J21" s="10">
        <f t="shared" si="41"/>
        <v>0</v>
      </c>
      <c r="K21" s="10">
        <f t="shared" si="41"/>
        <v>0</v>
      </c>
      <c r="L21" s="10">
        <f t="shared" si="41"/>
        <v>0</v>
      </c>
      <c r="M21" s="17">
        <f t="shared" si="6"/>
        <v>0</v>
      </c>
      <c r="N21" s="10">
        <f t="shared" ref="N21:Q21" si="42">IF(AC21="",N141,AC21)</f>
        <v>0</v>
      </c>
      <c r="O21" s="10">
        <f t="shared" si="42"/>
        <v>0</v>
      </c>
      <c r="P21" s="10">
        <f t="shared" si="42"/>
        <v>0</v>
      </c>
      <c r="Q21" s="10">
        <f t="shared" si="42"/>
        <v>0</v>
      </c>
      <c r="R21" s="22">
        <f t="shared" si="8"/>
        <v>0</v>
      </c>
      <c r="S21" s="23">
        <f t="shared" ref="S21:U21" si="43">IF(AH21="",S141,AH21)</f>
        <v>0</v>
      </c>
      <c r="T21" s="23">
        <f t="shared" si="43"/>
        <v>0</v>
      </c>
      <c r="U21" s="23">
        <f t="shared" si="43"/>
        <v>0</v>
      </c>
      <c r="W21" s="78" t="str">
        <f t="shared" si="39"/>
        <v>Blank</v>
      </c>
      <c r="X21" s="64"/>
      <c r="Y21" s="64"/>
      <c r="Z21" s="64"/>
      <c r="AA21" s="64"/>
      <c r="AB21" s="60"/>
      <c r="AC21" s="64"/>
      <c r="AD21" s="64"/>
      <c r="AE21" s="64"/>
      <c r="AF21" s="64"/>
      <c r="AG21" s="60"/>
      <c r="AH21" s="64"/>
      <c r="AI21" s="64"/>
      <c r="AJ21" s="64"/>
    </row>
    <row r="22" spans="2:36" hidden="1" outlineLevel="1" x14ac:dyDescent="0.25">
      <c r="B22" s="229" t="s">
        <v>195</v>
      </c>
      <c r="C22" s="229" t="s">
        <v>195</v>
      </c>
      <c r="E22" s="78" t="s">
        <v>80</v>
      </c>
      <c r="F22" s="21">
        <f t="shared" ref="F22:H22" si="44">F142</f>
        <v>0</v>
      </c>
      <c r="G22" s="21">
        <f t="shared" si="44"/>
        <v>0</v>
      </c>
      <c r="H22" s="21">
        <f t="shared" si="44"/>
        <v>0</v>
      </c>
      <c r="I22" s="10">
        <f t="shared" ref="I22:L22" si="45">IF(X22="",I142,X22)</f>
        <v>0</v>
      </c>
      <c r="J22" s="10">
        <f t="shared" si="45"/>
        <v>0</v>
      </c>
      <c r="K22" s="10">
        <f t="shared" si="45"/>
        <v>0</v>
      </c>
      <c r="L22" s="10">
        <f t="shared" si="45"/>
        <v>0</v>
      </c>
      <c r="M22" s="17">
        <f t="shared" si="6"/>
        <v>0</v>
      </c>
      <c r="N22" s="10">
        <f t="shared" ref="N22:Q22" si="46">IF(AC22="",N142,AC22)</f>
        <v>0</v>
      </c>
      <c r="O22" s="10">
        <f t="shared" si="46"/>
        <v>0</v>
      </c>
      <c r="P22" s="10">
        <f t="shared" si="46"/>
        <v>0</v>
      </c>
      <c r="Q22" s="10">
        <f t="shared" si="46"/>
        <v>0</v>
      </c>
      <c r="R22" s="22">
        <f t="shared" si="8"/>
        <v>0</v>
      </c>
      <c r="S22" s="23">
        <f t="shared" ref="S22:U22" si="47">IF(AH22="",S142,AH22)</f>
        <v>0</v>
      </c>
      <c r="T22" s="23">
        <f t="shared" si="47"/>
        <v>0</v>
      </c>
      <c r="U22" s="23">
        <f t="shared" si="47"/>
        <v>0</v>
      </c>
      <c r="W22" s="78" t="str">
        <f t="shared" si="39"/>
        <v>Blank</v>
      </c>
      <c r="X22" s="64"/>
      <c r="Y22" s="64"/>
      <c r="Z22" s="64"/>
      <c r="AA22" s="64"/>
      <c r="AB22" s="60"/>
      <c r="AC22" s="64"/>
      <c r="AD22" s="64"/>
      <c r="AE22" s="64"/>
      <c r="AF22" s="64"/>
      <c r="AG22" s="60"/>
      <c r="AH22" s="64"/>
      <c r="AI22" s="64"/>
      <c r="AJ22" s="64"/>
    </row>
    <row r="23" spans="2:36" ht="15.75" hidden="1" outlineLevel="1" thickBot="1" x14ac:dyDescent="0.3">
      <c r="E23" s="8" t="s">
        <v>27</v>
      </c>
      <c r="F23" s="9">
        <f t="shared" ref="F23:U23" si="48">SUM(F12:F22)</f>
        <v>0</v>
      </c>
      <c r="G23" s="9">
        <f t="shared" si="48"/>
        <v>0</v>
      </c>
      <c r="H23" s="9">
        <f t="shared" si="48"/>
        <v>0</v>
      </c>
      <c r="I23" s="11">
        <f>SUM(I12:I22)</f>
        <v>0</v>
      </c>
      <c r="J23" s="11">
        <f t="shared" si="48"/>
        <v>0</v>
      </c>
      <c r="K23" s="11">
        <f t="shared" si="48"/>
        <v>0</v>
      </c>
      <c r="L23" s="11">
        <f t="shared" si="48"/>
        <v>0</v>
      </c>
      <c r="M23" s="18">
        <f t="shared" si="48"/>
        <v>0</v>
      </c>
      <c r="N23" s="11">
        <f t="shared" si="48"/>
        <v>0</v>
      </c>
      <c r="O23" s="11">
        <f t="shared" si="48"/>
        <v>0</v>
      </c>
      <c r="P23" s="11">
        <f t="shared" si="48"/>
        <v>0</v>
      </c>
      <c r="Q23" s="11">
        <f t="shared" si="48"/>
        <v>0</v>
      </c>
      <c r="R23" s="19">
        <f t="shared" si="48"/>
        <v>0</v>
      </c>
      <c r="S23" s="20">
        <f t="shared" si="48"/>
        <v>0</v>
      </c>
      <c r="T23" s="20">
        <f t="shared" si="48"/>
        <v>0</v>
      </c>
      <c r="U23" s="20">
        <f t="shared" si="48"/>
        <v>0</v>
      </c>
    </row>
    <row r="24" spans="2:36" ht="15.75" hidden="1" outlineLevel="1" thickTop="1" x14ac:dyDescent="0.25"/>
    <row r="25" spans="2:36" hidden="1" outlineLevel="1" x14ac:dyDescent="0.25"/>
    <row r="26" spans="2:36" hidden="1" outlineLevel="1" x14ac:dyDescent="0.25"/>
    <row r="27" spans="2:36" ht="18.75" collapsed="1" x14ac:dyDescent="0.3">
      <c r="B27" s="4" t="s">
        <v>34</v>
      </c>
      <c r="C27" s="4" t="s">
        <v>387</v>
      </c>
      <c r="E27" s="53" t="str">
        <f>"Scenario 2: "&amp;Inputs!B23</f>
        <v>Scenario 2: Scenario 2</v>
      </c>
      <c r="F27" s="49"/>
      <c r="G27" s="49"/>
      <c r="H27" s="49"/>
      <c r="I27" s="49"/>
      <c r="J27" s="49"/>
      <c r="K27" s="49"/>
      <c r="L27" s="49"/>
      <c r="M27" s="49"/>
      <c r="N27" s="49"/>
      <c r="O27" s="49"/>
      <c r="P27" s="49"/>
      <c r="Q27" s="49"/>
      <c r="R27" s="49"/>
      <c r="S27" s="49"/>
      <c r="T27" s="49"/>
      <c r="U27" s="49"/>
    </row>
    <row r="28" spans="2:36" hidden="1" outlineLevel="1" x14ac:dyDescent="0.25">
      <c r="E28" s="52" t="str">
        <f>Inputs!C23</f>
        <v>Scenario 2 Description</v>
      </c>
    </row>
    <row r="29" spans="2:36" hidden="1" outlineLevel="1" x14ac:dyDescent="0.25"/>
    <row r="30" spans="2:36" hidden="1" outlineLevel="1" x14ac:dyDescent="0.25"/>
    <row r="31" spans="2:36" hidden="1" outlineLevel="1" x14ac:dyDescent="0.25">
      <c r="E31" s="4" t="s">
        <v>81</v>
      </c>
      <c r="W31" s="4" t="s">
        <v>81</v>
      </c>
    </row>
    <row r="32" spans="2:36" hidden="1" outlineLevel="1" x14ac:dyDescent="0.25">
      <c r="E32" t="s">
        <v>25</v>
      </c>
      <c r="W32" t="s">
        <v>25</v>
      </c>
    </row>
    <row r="33" spans="2:36" hidden="1" outlineLevel="1" x14ac:dyDescent="0.25"/>
    <row r="34" spans="2:36" hidden="1" outlineLevel="1" x14ac:dyDescent="0.25">
      <c r="F34" s="12">
        <f>Inputs!$C$7</f>
        <v>2023</v>
      </c>
      <c r="G34" s="12">
        <f>Inputs!$C$8</f>
        <v>2024</v>
      </c>
      <c r="H34" s="12">
        <f>Inputs!$C$9</f>
        <v>2025</v>
      </c>
      <c r="I34" s="13" t="s">
        <v>1</v>
      </c>
      <c r="J34" s="13" t="s">
        <v>2</v>
      </c>
      <c r="K34" s="13" t="s">
        <v>3</v>
      </c>
      <c r="L34" s="13" t="s">
        <v>4</v>
      </c>
      <c r="M34" s="13">
        <f>Inputs!$C$10</f>
        <v>2026</v>
      </c>
      <c r="N34" s="14" t="s">
        <v>1</v>
      </c>
      <c r="O34" s="14" t="s">
        <v>2</v>
      </c>
      <c r="P34" s="14" t="s">
        <v>3</v>
      </c>
      <c r="Q34" s="14" t="s">
        <v>4</v>
      </c>
      <c r="R34" s="15">
        <f>Inputs!$C$11</f>
        <v>2027</v>
      </c>
      <c r="S34" s="16">
        <f>Inputs!$C$12</f>
        <v>2028</v>
      </c>
      <c r="T34" s="16">
        <f>Inputs!$C$13</f>
        <v>2029</v>
      </c>
      <c r="U34" s="16">
        <f>Inputs!$C$14</f>
        <v>2030</v>
      </c>
      <c r="X34" s="13" t="s">
        <v>1</v>
      </c>
      <c r="Y34" s="13" t="s">
        <v>2</v>
      </c>
      <c r="Z34" s="13" t="s">
        <v>3</v>
      </c>
      <c r="AA34" s="13" t="s">
        <v>4</v>
      </c>
      <c r="AB34" s="13">
        <f>Inputs!$C$10</f>
        <v>2026</v>
      </c>
      <c r="AC34" s="14" t="s">
        <v>1</v>
      </c>
      <c r="AD34" s="14" t="s">
        <v>2</v>
      </c>
      <c r="AE34" s="14" t="s">
        <v>3</v>
      </c>
      <c r="AF34" s="14" t="s">
        <v>4</v>
      </c>
      <c r="AG34" s="15">
        <f>Inputs!$C$11</f>
        <v>2027</v>
      </c>
      <c r="AH34" s="16">
        <f>Inputs!$C$12</f>
        <v>2028</v>
      </c>
      <c r="AI34" s="16">
        <f>Inputs!$C$13</f>
        <v>2029</v>
      </c>
      <c r="AJ34" s="16">
        <f>Inputs!$C$14</f>
        <v>2030</v>
      </c>
    </row>
    <row r="35" spans="2:36" hidden="1" outlineLevel="1" x14ac:dyDescent="0.25">
      <c r="F35" s="71" t="s">
        <v>63</v>
      </c>
      <c r="G35" s="71" t="s">
        <v>63</v>
      </c>
      <c r="H35" s="71" t="s">
        <v>63</v>
      </c>
      <c r="I35" s="71" t="s">
        <v>63</v>
      </c>
      <c r="J35" s="71" t="s">
        <v>63</v>
      </c>
      <c r="K35" s="71" t="s">
        <v>63</v>
      </c>
      <c r="L35" s="71" t="s">
        <v>63</v>
      </c>
      <c r="M35" s="71" t="s">
        <v>63</v>
      </c>
      <c r="N35" s="71" t="s">
        <v>63</v>
      </c>
      <c r="O35" s="71" t="s">
        <v>63</v>
      </c>
      <c r="P35" s="71" t="s">
        <v>63</v>
      </c>
      <c r="Q35" s="71" t="s">
        <v>63</v>
      </c>
      <c r="R35" s="71" t="s">
        <v>63</v>
      </c>
      <c r="S35" s="71" t="s">
        <v>63</v>
      </c>
      <c r="T35" s="71" t="s">
        <v>63</v>
      </c>
      <c r="U35" s="71" t="s">
        <v>63</v>
      </c>
      <c r="X35" s="63" t="s">
        <v>30</v>
      </c>
      <c r="Y35" s="63" t="s">
        <v>30</v>
      </c>
      <c r="Z35" s="63" t="s">
        <v>30</v>
      </c>
      <c r="AA35" s="63" t="s">
        <v>30</v>
      </c>
      <c r="AB35" s="62"/>
      <c r="AC35" s="63" t="s">
        <v>30</v>
      </c>
      <c r="AD35" s="63" t="s">
        <v>30</v>
      </c>
      <c r="AE35" s="63" t="s">
        <v>30</v>
      </c>
      <c r="AF35" s="63" t="s">
        <v>30</v>
      </c>
      <c r="AG35" s="62"/>
      <c r="AH35" s="63" t="s">
        <v>30</v>
      </c>
      <c r="AI35" s="63" t="s">
        <v>30</v>
      </c>
      <c r="AJ35" s="63" t="s">
        <v>30</v>
      </c>
    </row>
    <row r="36" spans="2:36" hidden="1" outlineLevel="1" x14ac:dyDescent="0.25">
      <c r="B36" s="229" t="s">
        <v>195</v>
      </c>
      <c r="C36" s="229" t="s">
        <v>195</v>
      </c>
      <c r="E36" s="78" t="s">
        <v>12</v>
      </c>
      <c r="F36" s="21">
        <f>F132</f>
        <v>0</v>
      </c>
      <c r="G36" s="21">
        <f t="shared" ref="G36:H36" si="49">G132</f>
        <v>0</v>
      </c>
      <c r="H36" s="21">
        <f t="shared" si="49"/>
        <v>0</v>
      </c>
      <c r="I36" s="10">
        <f>IF(X36="",I132,X36)</f>
        <v>0</v>
      </c>
      <c r="J36" s="10">
        <f t="shared" ref="J36:L36" si="50">IF(Y36="",J132,Y36)</f>
        <v>0</v>
      </c>
      <c r="K36" s="10">
        <f t="shared" si="50"/>
        <v>0</v>
      </c>
      <c r="L36" s="10">
        <f t="shared" si="50"/>
        <v>0</v>
      </c>
      <c r="M36" s="17">
        <f>SUM(I36:L36)</f>
        <v>0</v>
      </c>
      <c r="N36" s="10">
        <f t="shared" ref="N36:Q36" si="51">IF(AC36="",N132,AC36)</f>
        <v>0</v>
      </c>
      <c r="O36" s="10">
        <f t="shared" si="51"/>
        <v>0</v>
      </c>
      <c r="P36" s="10">
        <f t="shared" si="51"/>
        <v>0</v>
      </c>
      <c r="Q36" s="10">
        <f t="shared" si="51"/>
        <v>0</v>
      </c>
      <c r="R36" s="22">
        <f>SUM(N36:Q36)</f>
        <v>0</v>
      </c>
      <c r="S36" s="23">
        <f t="shared" ref="S36:U36" si="52">IF(AH36="",S132,AH36)</f>
        <v>0</v>
      </c>
      <c r="T36" s="23">
        <f t="shared" si="52"/>
        <v>0</v>
      </c>
      <c r="U36" s="23">
        <f t="shared" si="52"/>
        <v>0</v>
      </c>
      <c r="W36" s="78" t="str">
        <f>E36</f>
        <v>R&amp;D</v>
      </c>
      <c r="X36" s="64"/>
      <c r="Y36" s="64"/>
      <c r="Z36" s="64"/>
      <c r="AA36" s="64"/>
      <c r="AB36" s="60"/>
      <c r="AC36" s="64"/>
      <c r="AD36" s="64"/>
      <c r="AE36" s="64"/>
      <c r="AF36" s="64"/>
      <c r="AG36" s="60"/>
      <c r="AH36" s="64"/>
      <c r="AI36" s="64"/>
      <c r="AJ36" s="64"/>
    </row>
    <row r="37" spans="2:36" hidden="1" outlineLevel="1" x14ac:dyDescent="0.25">
      <c r="B37" s="229" t="s">
        <v>195</v>
      </c>
      <c r="C37" s="229" t="s">
        <v>195</v>
      </c>
      <c r="E37" s="78" t="s">
        <v>78</v>
      </c>
      <c r="F37" s="21">
        <f t="shared" ref="F37:H37" si="53">F133</f>
        <v>0</v>
      </c>
      <c r="G37" s="21">
        <f t="shared" si="53"/>
        <v>0</v>
      </c>
      <c r="H37" s="21">
        <f t="shared" si="53"/>
        <v>0</v>
      </c>
      <c r="I37" s="10">
        <f t="shared" ref="I37:L37" si="54">IF(X37="",I133,X37)</f>
        <v>0</v>
      </c>
      <c r="J37" s="10">
        <f t="shared" si="54"/>
        <v>0</v>
      </c>
      <c r="K37" s="10">
        <f t="shared" si="54"/>
        <v>0</v>
      </c>
      <c r="L37" s="10">
        <f t="shared" si="54"/>
        <v>0</v>
      </c>
      <c r="M37" s="17">
        <f t="shared" ref="M37:M46" si="55">SUM(I37:L37)</f>
        <v>0</v>
      </c>
      <c r="N37" s="10">
        <f t="shared" ref="N37:Q37" si="56">IF(AC37="",N133,AC37)</f>
        <v>0</v>
      </c>
      <c r="O37" s="10">
        <f t="shared" si="56"/>
        <v>0</v>
      </c>
      <c r="P37" s="10">
        <f t="shared" si="56"/>
        <v>0</v>
      </c>
      <c r="Q37" s="10">
        <f t="shared" si="56"/>
        <v>0</v>
      </c>
      <c r="R37" s="22">
        <f t="shared" ref="R37:R46" si="57">SUM(N37:Q37)</f>
        <v>0</v>
      </c>
      <c r="S37" s="23">
        <f t="shared" ref="S37:U37" si="58">IF(AH37="",S133,AH37)</f>
        <v>0</v>
      </c>
      <c r="T37" s="23">
        <f t="shared" si="58"/>
        <v>0</v>
      </c>
      <c r="U37" s="23">
        <f t="shared" si="58"/>
        <v>0</v>
      </c>
      <c r="W37" s="78" t="str">
        <f t="shared" ref="W37:W46" si="59">E37</f>
        <v>Marketing</v>
      </c>
      <c r="X37" s="64"/>
      <c r="Y37" s="64"/>
      <c r="Z37" s="64"/>
      <c r="AA37" s="64"/>
      <c r="AB37" s="60"/>
      <c r="AC37" s="64"/>
      <c r="AD37" s="64"/>
      <c r="AE37" s="64"/>
      <c r="AF37" s="64"/>
      <c r="AG37" s="60"/>
      <c r="AH37" s="64"/>
      <c r="AI37" s="64"/>
      <c r="AJ37" s="64"/>
    </row>
    <row r="38" spans="2:36" hidden="1" outlineLevel="1" x14ac:dyDescent="0.25">
      <c r="B38" s="229" t="s">
        <v>195</v>
      </c>
      <c r="C38" s="229" t="s">
        <v>195</v>
      </c>
      <c r="E38" s="78" t="s">
        <v>79</v>
      </c>
      <c r="F38" s="21">
        <f t="shared" ref="F38:H38" si="60">F134</f>
        <v>0</v>
      </c>
      <c r="G38" s="21">
        <f t="shared" si="60"/>
        <v>0</v>
      </c>
      <c r="H38" s="21">
        <f t="shared" si="60"/>
        <v>0</v>
      </c>
      <c r="I38" s="10">
        <f t="shared" ref="I38:L38" si="61">IF(X38="",I134,X38)</f>
        <v>0</v>
      </c>
      <c r="J38" s="10">
        <f t="shared" si="61"/>
        <v>0</v>
      </c>
      <c r="K38" s="10">
        <f t="shared" si="61"/>
        <v>0</v>
      </c>
      <c r="L38" s="10">
        <f t="shared" si="61"/>
        <v>0</v>
      </c>
      <c r="M38" s="17">
        <f t="shared" si="55"/>
        <v>0</v>
      </c>
      <c r="N38" s="10">
        <f t="shared" ref="N38:Q38" si="62">IF(AC38="",N134,AC38)</f>
        <v>0</v>
      </c>
      <c r="O38" s="10">
        <f t="shared" si="62"/>
        <v>0</v>
      </c>
      <c r="P38" s="10">
        <f t="shared" si="62"/>
        <v>0</v>
      </c>
      <c r="Q38" s="10">
        <f t="shared" si="62"/>
        <v>0</v>
      </c>
      <c r="R38" s="22">
        <f t="shared" si="57"/>
        <v>0</v>
      </c>
      <c r="S38" s="23">
        <f t="shared" ref="S38:U38" si="63">IF(AH38="",S134,AH38)</f>
        <v>0</v>
      </c>
      <c r="T38" s="23">
        <f t="shared" si="63"/>
        <v>0</v>
      </c>
      <c r="U38" s="23">
        <f t="shared" si="63"/>
        <v>0</v>
      </c>
      <c r="W38" s="78" t="str">
        <f t="shared" si="59"/>
        <v>Sales</v>
      </c>
      <c r="X38" s="64"/>
      <c r="Y38" s="64"/>
      <c r="Z38" s="64"/>
      <c r="AA38" s="64"/>
      <c r="AB38" s="60"/>
      <c r="AC38" s="64"/>
      <c r="AD38" s="64"/>
      <c r="AE38" s="64"/>
      <c r="AF38" s="64"/>
      <c r="AG38" s="60"/>
      <c r="AH38" s="64"/>
      <c r="AI38" s="64"/>
      <c r="AJ38" s="64"/>
    </row>
    <row r="39" spans="2:36" hidden="1" outlineLevel="1" x14ac:dyDescent="0.25">
      <c r="B39" s="229" t="s">
        <v>195</v>
      </c>
      <c r="C39" s="229" t="s">
        <v>195</v>
      </c>
      <c r="E39" s="78" t="s">
        <v>14</v>
      </c>
      <c r="F39" s="21">
        <f t="shared" ref="F39:H39" si="64">F135</f>
        <v>0</v>
      </c>
      <c r="G39" s="21">
        <f t="shared" si="64"/>
        <v>0</v>
      </c>
      <c r="H39" s="21">
        <f t="shared" si="64"/>
        <v>0</v>
      </c>
      <c r="I39" s="10">
        <f t="shared" ref="I39:L39" si="65">IF(X39="",I135,X39)</f>
        <v>0</v>
      </c>
      <c r="J39" s="10">
        <f t="shared" si="65"/>
        <v>0</v>
      </c>
      <c r="K39" s="10">
        <f t="shared" si="65"/>
        <v>0</v>
      </c>
      <c r="L39" s="10">
        <f t="shared" si="65"/>
        <v>0</v>
      </c>
      <c r="M39" s="17">
        <f t="shared" si="55"/>
        <v>0</v>
      </c>
      <c r="N39" s="10">
        <f t="shared" ref="N39:Q39" si="66">IF(AC39="",N135,AC39)</f>
        <v>0</v>
      </c>
      <c r="O39" s="10">
        <f t="shared" si="66"/>
        <v>0</v>
      </c>
      <c r="P39" s="10">
        <f t="shared" si="66"/>
        <v>0</v>
      </c>
      <c r="Q39" s="10">
        <f t="shared" si="66"/>
        <v>0</v>
      </c>
      <c r="R39" s="22">
        <f t="shared" si="57"/>
        <v>0</v>
      </c>
      <c r="S39" s="23">
        <f t="shared" ref="S39:U39" si="67">IF(AH39="",S135,AH39)</f>
        <v>0</v>
      </c>
      <c r="T39" s="23">
        <f t="shared" si="67"/>
        <v>0</v>
      </c>
      <c r="U39" s="23">
        <f t="shared" si="67"/>
        <v>0</v>
      </c>
      <c r="W39" s="78" t="str">
        <f t="shared" si="59"/>
        <v>G&amp;A</v>
      </c>
      <c r="X39" s="64"/>
      <c r="Y39" s="64"/>
      <c r="Z39" s="64"/>
      <c r="AA39" s="64"/>
      <c r="AB39" s="60"/>
      <c r="AC39" s="64"/>
      <c r="AD39" s="64"/>
      <c r="AE39" s="64"/>
      <c r="AF39" s="64"/>
      <c r="AG39" s="60"/>
      <c r="AH39" s="64"/>
      <c r="AI39" s="64"/>
      <c r="AJ39" s="64"/>
    </row>
    <row r="40" spans="2:36" hidden="1" outlineLevel="1" x14ac:dyDescent="0.25">
      <c r="B40" s="229" t="s">
        <v>195</v>
      </c>
      <c r="C40" s="229" t="s">
        <v>195</v>
      </c>
      <c r="E40" s="78" t="s">
        <v>36</v>
      </c>
      <c r="F40" s="21">
        <f t="shared" ref="F40:H40" si="68">F136</f>
        <v>0</v>
      </c>
      <c r="G40" s="21">
        <f t="shared" si="68"/>
        <v>0</v>
      </c>
      <c r="H40" s="21">
        <f t="shared" si="68"/>
        <v>0</v>
      </c>
      <c r="I40" s="10">
        <f t="shared" ref="I40:L40" si="69">IF(X40="",I136,X40)</f>
        <v>0</v>
      </c>
      <c r="J40" s="10">
        <f t="shared" si="69"/>
        <v>0</v>
      </c>
      <c r="K40" s="10">
        <f t="shared" si="69"/>
        <v>0</v>
      </c>
      <c r="L40" s="10">
        <f t="shared" si="69"/>
        <v>0</v>
      </c>
      <c r="M40" s="17">
        <f t="shared" si="55"/>
        <v>0</v>
      </c>
      <c r="N40" s="10">
        <f t="shared" ref="N40:Q40" si="70">IF(AC40="",N136,AC40)</f>
        <v>0</v>
      </c>
      <c r="O40" s="10">
        <f t="shared" si="70"/>
        <v>0</v>
      </c>
      <c r="P40" s="10">
        <f t="shared" si="70"/>
        <v>0</v>
      </c>
      <c r="Q40" s="10">
        <f t="shared" si="70"/>
        <v>0</v>
      </c>
      <c r="R40" s="22">
        <f t="shared" si="57"/>
        <v>0</v>
      </c>
      <c r="S40" s="23">
        <f t="shared" ref="S40:U40" si="71">IF(AH40="",S136,AH40)</f>
        <v>0</v>
      </c>
      <c r="T40" s="23">
        <f t="shared" si="71"/>
        <v>0</v>
      </c>
      <c r="U40" s="23">
        <f t="shared" si="71"/>
        <v>0</v>
      </c>
      <c r="W40" s="78" t="str">
        <f t="shared" si="59"/>
        <v>Finance</v>
      </c>
      <c r="X40" s="64"/>
      <c r="Y40" s="64"/>
      <c r="Z40" s="64"/>
      <c r="AA40" s="64"/>
      <c r="AB40" s="60"/>
      <c r="AC40" s="64"/>
      <c r="AD40" s="64"/>
      <c r="AE40" s="64"/>
      <c r="AF40" s="64"/>
      <c r="AG40" s="60"/>
      <c r="AH40" s="64"/>
      <c r="AI40" s="64"/>
      <c r="AJ40" s="64"/>
    </row>
    <row r="41" spans="2:36" hidden="1" outlineLevel="1" x14ac:dyDescent="0.25">
      <c r="B41" s="229" t="s">
        <v>195</v>
      </c>
      <c r="C41" s="229" t="s">
        <v>195</v>
      </c>
      <c r="E41" s="78" t="s">
        <v>37</v>
      </c>
      <c r="F41" s="21">
        <f t="shared" ref="F41:H41" si="72">F137</f>
        <v>0</v>
      </c>
      <c r="G41" s="21">
        <f t="shared" si="72"/>
        <v>0</v>
      </c>
      <c r="H41" s="21">
        <f t="shared" si="72"/>
        <v>0</v>
      </c>
      <c r="I41" s="10">
        <f t="shared" ref="I41:L41" si="73">IF(X41="",I137,X41)</f>
        <v>0</v>
      </c>
      <c r="J41" s="10">
        <f t="shared" si="73"/>
        <v>0</v>
      </c>
      <c r="K41" s="10">
        <f t="shared" si="73"/>
        <v>0</v>
      </c>
      <c r="L41" s="10">
        <f t="shared" si="73"/>
        <v>0</v>
      </c>
      <c r="M41" s="17">
        <f t="shared" si="55"/>
        <v>0</v>
      </c>
      <c r="N41" s="10">
        <f t="shared" ref="N41:Q41" si="74">IF(AC41="",N137,AC41)</f>
        <v>0</v>
      </c>
      <c r="O41" s="10">
        <f t="shared" si="74"/>
        <v>0</v>
      </c>
      <c r="P41" s="10">
        <f t="shared" si="74"/>
        <v>0</v>
      </c>
      <c r="Q41" s="10">
        <f t="shared" si="74"/>
        <v>0</v>
      </c>
      <c r="R41" s="22">
        <f t="shared" si="57"/>
        <v>0</v>
      </c>
      <c r="S41" s="23">
        <f t="shared" ref="S41:U41" si="75">IF(AH41="",S137,AH41)</f>
        <v>0</v>
      </c>
      <c r="T41" s="23">
        <f t="shared" si="75"/>
        <v>0</v>
      </c>
      <c r="U41" s="23">
        <f t="shared" si="75"/>
        <v>0</v>
      </c>
      <c r="W41" s="78" t="str">
        <f t="shared" si="59"/>
        <v>IT</v>
      </c>
      <c r="X41" s="64"/>
      <c r="Y41" s="64"/>
      <c r="Z41" s="64"/>
      <c r="AA41" s="64"/>
      <c r="AB41" s="60"/>
      <c r="AC41" s="64"/>
      <c r="AD41" s="64"/>
      <c r="AE41" s="64"/>
      <c r="AF41" s="64"/>
      <c r="AG41" s="60"/>
      <c r="AH41" s="64"/>
      <c r="AI41" s="64"/>
      <c r="AJ41" s="64"/>
    </row>
    <row r="42" spans="2:36" hidden="1" outlineLevel="1" x14ac:dyDescent="0.25">
      <c r="B42" s="229" t="s">
        <v>195</v>
      </c>
      <c r="C42" s="229" t="s">
        <v>195</v>
      </c>
      <c r="E42" s="78" t="s">
        <v>38</v>
      </c>
      <c r="F42" s="21">
        <f t="shared" ref="F42:H42" si="76">F138</f>
        <v>0</v>
      </c>
      <c r="G42" s="21">
        <f t="shared" si="76"/>
        <v>0</v>
      </c>
      <c r="H42" s="21">
        <f t="shared" si="76"/>
        <v>0</v>
      </c>
      <c r="I42" s="10">
        <f t="shared" ref="I42:L42" si="77">IF(X42="",I138,X42)</f>
        <v>0</v>
      </c>
      <c r="J42" s="10">
        <f t="shared" si="77"/>
        <v>0</v>
      </c>
      <c r="K42" s="10">
        <f t="shared" si="77"/>
        <v>0</v>
      </c>
      <c r="L42" s="10">
        <f t="shared" si="77"/>
        <v>0</v>
      </c>
      <c r="M42" s="17">
        <f t="shared" si="55"/>
        <v>0</v>
      </c>
      <c r="N42" s="10">
        <f t="shared" ref="N42:Q42" si="78">IF(AC42="",N138,AC42)</f>
        <v>0</v>
      </c>
      <c r="O42" s="10">
        <f t="shared" si="78"/>
        <v>0</v>
      </c>
      <c r="P42" s="10">
        <f t="shared" si="78"/>
        <v>0</v>
      </c>
      <c r="Q42" s="10">
        <f t="shared" si="78"/>
        <v>0</v>
      </c>
      <c r="R42" s="22">
        <f t="shared" si="57"/>
        <v>0</v>
      </c>
      <c r="S42" s="23">
        <f t="shared" ref="S42:U42" si="79">IF(AH42="",S138,AH42)</f>
        <v>0</v>
      </c>
      <c r="T42" s="23">
        <f t="shared" si="79"/>
        <v>0</v>
      </c>
      <c r="U42" s="23">
        <f t="shared" si="79"/>
        <v>0</v>
      </c>
      <c r="W42" s="78" t="str">
        <f t="shared" si="59"/>
        <v>HR</v>
      </c>
      <c r="X42" s="64"/>
      <c r="Y42" s="64"/>
      <c r="Z42" s="64"/>
      <c r="AA42" s="64"/>
      <c r="AB42" s="60"/>
      <c r="AC42" s="64"/>
      <c r="AD42" s="64"/>
      <c r="AE42" s="64"/>
      <c r="AF42" s="64"/>
      <c r="AG42" s="60"/>
      <c r="AH42" s="64"/>
      <c r="AI42" s="64"/>
      <c r="AJ42" s="64"/>
    </row>
    <row r="43" spans="2:36" hidden="1" outlineLevel="1" x14ac:dyDescent="0.25">
      <c r="B43" s="229" t="s">
        <v>195</v>
      </c>
      <c r="C43" s="229" t="s">
        <v>195</v>
      </c>
      <c r="E43" s="78" t="s">
        <v>39</v>
      </c>
      <c r="F43" s="21">
        <f t="shared" ref="F43:H43" si="80">F139</f>
        <v>0</v>
      </c>
      <c r="G43" s="21">
        <f t="shared" si="80"/>
        <v>0</v>
      </c>
      <c r="H43" s="21">
        <f t="shared" si="80"/>
        <v>0</v>
      </c>
      <c r="I43" s="10">
        <f t="shared" ref="I43:L43" si="81">IF(X43="",I139,X43)</f>
        <v>0</v>
      </c>
      <c r="J43" s="10">
        <f t="shared" si="81"/>
        <v>0</v>
      </c>
      <c r="K43" s="10">
        <f t="shared" si="81"/>
        <v>0</v>
      </c>
      <c r="L43" s="10">
        <f t="shared" si="81"/>
        <v>0</v>
      </c>
      <c r="M43" s="17">
        <f t="shared" si="55"/>
        <v>0</v>
      </c>
      <c r="N43" s="10">
        <f t="shared" ref="N43:Q43" si="82">IF(AC43="",N139,AC43)</f>
        <v>0</v>
      </c>
      <c r="O43" s="10">
        <f t="shared" si="82"/>
        <v>0</v>
      </c>
      <c r="P43" s="10">
        <f t="shared" si="82"/>
        <v>0</v>
      </c>
      <c r="Q43" s="10">
        <f t="shared" si="82"/>
        <v>0</v>
      </c>
      <c r="R43" s="22">
        <f t="shared" si="57"/>
        <v>0</v>
      </c>
      <c r="S43" s="23">
        <f t="shared" ref="S43:U43" si="83">IF(AH43="",S139,AH43)</f>
        <v>0</v>
      </c>
      <c r="T43" s="23">
        <f t="shared" si="83"/>
        <v>0</v>
      </c>
      <c r="U43" s="23">
        <f t="shared" si="83"/>
        <v>0</v>
      </c>
      <c r="W43" s="78" t="str">
        <f t="shared" si="59"/>
        <v>Global IT</v>
      </c>
      <c r="X43" s="64"/>
      <c r="Y43" s="64"/>
      <c r="Z43" s="64"/>
      <c r="AA43" s="64"/>
      <c r="AB43" s="60"/>
      <c r="AC43" s="64"/>
      <c r="AD43" s="64"/>
      <c r="AE43" s="64"/>
      <c r="AF43" s="64"/>
      <c r="AG43" s="60"/>
      <c r="AH43" s="64"/>
      <c r="AI43" s="64"/>
      <c r="AJ43" s="64"/>
    </row>
    <row r="44" spans="2:36" hidden="1" outlineLevel="1" x14ac:dyDescent="0.25">
      <c r="B44" s="229" t="s">
        <v>195</v>
      </c>
      <c r="C44" s="229" t="s">
        <v>195</v>
      </c>
      <c r="E44" s="78" t="s">
        <v>29</v>
      </c>
      <c r="F44" s="21">
        <f t="shared" ref="F44:H44" si="84">F140</f>
        <v>0</v>
      </c>
      <c r="G44" s="21">
        <f t="shared" si="84"/>
        <v>0</v>
      </c>
      <c r="H44" s="21">
        <f t="shared" si="84"/>
        <v>0</v>
      </c>
      <c r="I44" s="10">
        <f t="shared" ref="I44:L44" si="85">IF(X44="",I140,X44)</f>
        <v>0</v>
      </c>
      <c r="J44" s="10">
        <f t="shared" si="85"/>
        <v>0</v>
      </c>
      <c r="K44" s="10">
        <f t="shared" si="85"/>
        <v>0</v>
      </c>
      <c r="L44" s="10">
        <f t="shared" si="85"/>
        <v>0</v>
      </c>
      <c r="M44" s="17">
        <f t="shared" si="55"/>
        <v>0</v>
      </c>
      <c r="N44" s="10">
        <f t="shared" ref="N44:Q44" si="86">IF(AC44="",N140,AC44)</f>
        <v>0</v>
      </c>
      <c r="O44" s="10">
        <f t="shared" si="86"/>
        <v>0</v>
      </c>
      <c r="P44" s="10">
        <f t="shared" si="86"/>
        <v>0</v>
      </c>
      <c r="Q44" s="10">
        <f t="shared" si="86"/>
        <v>0</v>
      </c>
      <c r="R44" s="22">
        <f t="shared" si="57"/>
        <v>0</v>
      </c>
      <c r="S44" s="23">
        <f t="shared" ref="S44:U44" si="87">IF(AH44="",S140,AH44)</f>
        <v>0</v>
      </c>
      <c r="T44" s="23">
        <f t="shared" si="87"/>
        <v>0</v>
      </c>
      <c r="U44" s="23">
        <f t="shared" si="87"/>
        <v>0</v>
      </c>
      <c r="W44" s="78" t="str">
        <f t="shared" si="59"/>
        <v>All other Period Expenses</v>
      </c>
      <c r="X44" s="64"/>
      <c r="Y44" s="64"/>
      <c r="Z44" s="64"/>
      <c r="AA44" s="64"/>
      <c r="AB44" s="60"/>
      <c r="AC44" s="64"/>
      <c r="AD44" s="64"/>
      <c r="AE44" s="64"/>
      <c r="AF44" s="64"/>
      <c r="AG44" s="60"/>
      <c r="AH44" s="64"/>
      <c r="AI44" s="64"/>
      <c r="AJ44" s="64"/>
    </row>
    <row r="45" spans="2:36" hidden="1" outlineLevel="1" x14ac:dyDescent="0.25">
      <c r="B45" s="229" t="s">
        <v>195</v>
      </c>
      <c r="C45" s="229" t="s">
        <v>195</v>
      </c>
      <c r="E45" s="78" t="s">
        <v>80</v>
      </c>
      <c r="F45" s="21">
        <f t="shared" ref="F45:H45" si="88">F141</f>
        <v>0</v>
      </c>
      <c r="G45" s="21">
        <f t="shared" si="88"/>
        <v>0</v>
      </c>
      <c r="H45" s="21">
        <f t="shared" si="88"/>
        <v>0</v>
      </c>
      <c r="I45" s="10">
        <f t="shared" ref="I45:L45" si="89">IF(X45="",I141,X45)</f>
        <v>0</v>
      </c>
      <c r="J45" s="10">
        <f t="shared" si="89"/>
        <v>0</v>
      </c>
      <c r="K45" s="10">
        <f t="shared" si="89"/>
        <v>0</v>
      </c>
      <c r="L45" s="10">
        <f t="shared" si="89"/>
        <v>0</v>
      </c>
      <c r="M45" s="17">
        <f t="shared" si="55"/>
        <v>0</v>
      </c>
      <c r="N45" s="10">
        <f t="shared" ref="N45:Q45" si="90">IF(AC45="",N141,AC45)</f>
        <v>0</v>
      </c>
      <c r="O45" s="10">
        <f t="shared" si="90"/>
        <v>0</v>
      </c>
      <c r="P45" s="10">
        <f t="shared" si="90"/>
        <v>0</v>
      </c>
      <c r="Q45" s="10">
        <f t="shared" si="90"/>
        <v>0</v>
      </c>
      <c r="R45" s="22">
        <f t="shared" si="57"/>
        <v>0</v>
      </c>
      <c r="S45" s="23">
        <f t="shared" ref="S45:U45" si="91">IF(AH45="",S141,AH45)</f>
        <v>0</v>
      </c>
      <c r="T45" s="23">
        <f t="shared" si="91"/>
        <v>0</v>
      </c>
      <c r="U45" s="23">
        <f t="shared" si="91"/>
        <v>0</v>
      </c>
      <c r="W45" s="78" t="str">
        <f t="shared" si="59"/>
        <v>Blank</v>
      </c>
      <c r="X45" s="64"/>
      <c r="Y45" s="64"/>
      <c r="Z45" s="64"/>
      <c r="AA45" s="64"/>
      <c r="AB45" s="60"/>
      <c r="AC45" s="64"/>
      <c r="AD45" s="64"/>
      <c r="AE45" s="64"/>
      <c r="AF45" s="64"/>
      <c r="AG45" s="60"/>
      <c r="AH45" s="64"/>
      <c r="AI45" s="64"/>
      <c r="AJ45" s="64"/>
    </row>
    <row r="46" spans="2:36" hidden="1" outlineLevel="1" x14ac:dyDescent="0.25">
      <c r="B46" s="229" t="s">
        <v>195</v>
      </c>
      <c r="C46" s="229" t="s">
        <v>195</v>
      </c>
      <c r="E46" s="78" t="s">
        <v>80</v>
      </c>
      <c r="F46" s="21">
        <f t="shared" ref="F46:H46" si="92">F142</f>
        <v>0</v>
      </c>
      <c r="G46" s="21">
        <f t="shared" si="92"/>
        <v>0</v>
      </c>
      <c r="H46" s="21">
        <f t="shared" si="92"/>
        <v>0</v>
      </c>
      <c r="I46" s="10">
        <f t="shared" ref="I46:L46" si="93">IF(X46="",I142,X46)</f>
        <v>0</v>
      </c>
      <c r="J46" s="10">
        <f t="shared" si="93"/>
        <v>0</v>
      </c>
      <c r="K46" s="10">
        <f t="shared" si="93"/>
        <v>0</v>
      </c>
      <c r="L46" s="10">
        <f t="shared" si="93"/>
        <v>0</v>
      </c>
      <c r="M46" s="17">
        <f t="shared" si="55"/>
        <v>0</v>
      </c>
      <c r="N46" s="10">
        <f t="shared" ref="N46:Q46" si="94">IF(AC46="",N142,AC46)</f>
        <v>0</v>
      </c>
      <c r="O46" s="10">
        <f t="shared" si="94"/>
        <v>0</v>
      </c>
      <c r="P46" s="10">
        <f t="shared" si="94"/>
        <v>0</v>
      </c>
      <c r="Q46" s="10">
        <f t="shared" si="94"/>
        <v>0</v>
      </c>
      <c r="R46" s="22">
        <f t="shared" si="57"/>
        <v>0</v>
      </c>
      <c r="S46" s="23">
        <f t="shared" ref="S46:U46" si="95">IF(AH46="",S142,AH46)</f>
        <v>0</v>
      </c>
      <c r="T46" s="23">
        <f t="shared" si="95"/>
        <v>0</v>
      </c>
      <c r="U46" s="23">
        <f t="shared" si="95"/>
        <v>0</v>
      </c>
      <c r="W46" s="78" t="str">
        <f t="shared" si="59"/>
        <v>Blank</v>
      </c>
      <c r="X46" s="64"/>
      <c r="Y46" s="64"/>
      <c r="Z46" s="64"/>
      <c r="AA46" s="64"/>
      <c r="AB46" s="60"/>
      <c r="AC46" s="64"/>
      <c r="AD46" s="64"/>
      <c r="AE46" s="64"/>
      <c r="AF46" s="64"/>
      <c r="AG46" s="60"/>
      <c r="AH46" s="64"/>
      <c r="AI46" s="64"/>
      <c r="AJ46" s="64"/>
    </row>
    <row r="47" spans="2:36" ht="15.75" hidden="1" outlineLevel="1" thickBot="1" x14ac:dyDescent="0.3">
      <c r="E47" s="8" t="s">
        <v>27</v>
      </c>
      <c r="F47" s="9">
        <f t="shared" ref="F47:H47" si="96">SUM(F36:F46)</f>
        <v>0</v>
      </c>
      <c r="G47" s="9">
        <f t="shared" si="96"/>
        <v>0</v>
      </c>
      <c r="H47" s="9">
        <f t="shared" si="96"/>
        <v>0</v>
      </c>
      <c r="I47" s="11">
        <f>SUM(I36:I46)</f>
        <v>0</v>
      </c>
      <c r="J47" s="11">
        <f t="shared" ref="J47:U47" si="97">SUM(J36:J46)</f>
        <v>0</v>
      </c>
      <c r="K47" s="11">
        <f t="shared" si="97"/>
        <v>0</v>
      </c>
      <c r="L47" s="11">
        <f t="shared" si="97"/>
        <v>0</v>
      </c>
      <c r="M47" s="18">
        <f t="shared" si="97"/>
        <v>0</v>
      </c>
      <c r="N47" s="11">
        <f t="shared" si="97"/>
        <v>0</v>
      </c>
      <c r="O47" s="11">
        <f t="shared" si="97"/>
        <v>0</v>
      </c>
      <c r="P47" s="11">
        <f t="shared" si="97"/>
        <v>0</v>
      </c>
      <c r="Q47" s="11">
        <f t="shared" si="97"/>
        <v>0</v>
      </c>
      <c r="R47" s="19">
        <f t="shared" si="97"/>
        <v>0</v>
      </c>
      <c r="S47" s="20">
        <f t="shared" si="97"/>
        <v>0</v>
      </c>
      <c r="T47" s="20">
        <f t="shared" si="97"/>
        <v>0</v>
      </c>
      <c r="U47" s="20">
        <f t="shared" si="97"/>
        <v>0</v>
      </c>
    </row>
    <row r="48" spans="2:36" ht="15.75" hidden="1" outlineLevel="1" thickTop="1" x14ac:dyDescent="0.25"/>
    <row r="49" spans="2:36" hidden="1" outlineLevel="1" x14ac:dyDescent="0.25"/>
    <row r="50" spans="2:36" hidden="1" outlineLevel="1" x14ac:dyDescent="0.25"/>
    <row r="51" spans="2:36" ht="18.75" collapsed="1" x14ac:dyDescent="0.3">
      <c r="B51" s="4" t="s">
        <v>34</v>
      </c>
      <c r="C51" s="4" t="s">
        <v>387</v>
      </c>
      <c r="E51" s="53" t="str">
        <f>"Scenario 3: "&amp;Inputs!B24</f>
        <v>Scenario 3: Scenario 3</v>
      </c>
      <c r="F51" s="49"/>
      <c r="G51" s="49"/>
      <c r="H51" s="49"/>
      <c r="I51" s="49"/>
      <c r="J51" s="49"/>
      <c r="K51" s="49"/>
      <c r="L51" s="49"/>
      <c r="M51" s="49"/>
      <c r="N51" s="49"/>
      <c r="O51" s="49"/>
      <c r="P51" s="49"/>
      <c r="Q51" s="49"/>
      <c r="R51" s="49"/>
      <c r="S51" s="49"/>
      <c r="T51" s="49"/>
      <c r="U51" s="49"/>
    </row>
    <row r="52" spans="2:36" hidden="1" outlineLevel="1" x14ac:dyDescent="0.25">
      <c r="E52" s="52" t="str">
        <f>Inputs!C24</f>
        <v>Scenario 3 Description</v>
      </c>
    </row>
    <row r="53" spans="2:36" hidden="1" outlineLevel="1" x14ac:dyDescent="0.25"/>
    <row r="54" spans="2:36" hidden="1" outlineLevel="1" x14ac:dyDescent="0.25"/>
    <row r="55" spans="2:36" hidden="1" outlineLevel="1" x14ac:dyDescent="0.25">
      <c r="E55" s="4" t="s">
        <v>81</v>
      </c>
      <c r="W55" s="4" t="s">
        <v>81</v>
      </c>
    </row>
    <row r="56" spans="2:36" hidden="1" outlineLevel="1" x14ac:dyDescent="0.25">
      <c r="E56" t="s">
        <v>25</v>
      </c>
      <c r="W56" t="s">
        <v>25</v>
      </c>
    </row>
    <row r="57" spans="2:36" hidden="1" outlineLevel="1" x14ac:dyDescent="0.25"/>
    <row r="58" spans="2:36" hidden="1" outlineLevel="1" x14ac:dyDescent="0.25">
      <c r="F58" s="12">
        <f>Inputs!$C$7</f>
        <v>2023</v>
      </c>
      <c r="G58" s="12">
        <f>Inputs!$C$8</f>
        <v>2024</v>
      </c>
      <c r="H58" s="12">
        <f>Inputs!$C$9</f>
        <v>2025</v>
      </c>
      <c r="I58" s="13" t="s">
        <v>1</v>
      </c>
      <c r="J58" s="13" t="s">
        <v>2</v>
      </c>
      <c r="K58" s="13" t="s">
        <v>3</v>
      </c>
      <c r="L58" s="13" t="s">
        <v>4</v>
      </c>
      <c r="M58" s="13">
        <f>Inputs!$C$10</f>
        <v>2026</v>
      </c>
      <c r="N58" s="14" t="s">
        <v>1</v>
      </c>
      <c r="O58" s="14" t="s">
        <v>2</v>
      </c>
      <c r="P58" s="14" t="s">
        <v>3</v>
      </c>
      <c r="Q58" s="14" t="s">
        <v>4</v>
      </c>
      <c r="R58" s="15">
        <f>Inputs!$C$11</f>
        <v>2027</v>
      </c>
      <c r="S58" s="16">
        <f>Inputs!$C$12</f>
        <v>2028</v>
      </c>
      <c r="T58" s="16">
        <f>Inputs!$C$13</f>
        <v>2029</v>
      </c>
      <c r="U58" s="16">
        <f>Inputs!$C$14</f>
        <v>2030</v>
      </c>
      <c r="X58" s="13" t="s">
        <v>1</v>
      </c>
      <c r="Y58" s="13" t="s">
        <v>2</v>
      </c>
      <c r="Z58" s="13" t="s">
        <v>3</v>
      </c>
      <c r="AA58" s="13" t="s">
        <v>4</v>
      </c>
      <c r="AB58" s="13">
        <f>Inputs!$C$10</f>
        <v>2026</v>
      </c>
      <c r="AC58" s="14" t="s">
        <v>1</v>
      </c>
      <c r="AD58" s="14" t="s">
        <v>2</v>
      </c>
      <c r="AE58" s="14" t="s">
        <v>3</v>
      </c>
      <c r="AF58" s="14" t="s">
        <v>4</v>
      </c>
      <c r="AG58" s="15">
        <f>Inputs!$C$11</f>
        <v>2027</v>
      </c>
      <c r="AH58" s="16">
        <f>Inputs!$C$12</f>
        <v>2028</v>
      </c>
      <c r="AI58" s="16">
        <f>Inputs!$C$13</f>
        <v>2029</v>
      </c>
      <c r="AJ58" s="16">
        <f>Inputs!$C$14</f>
        <v>2030</v>
      </c>
    </row>
    <row r="59" spans="2:36" hidden="1" outlineLevel="1" x14ac:dyDescent="0.25">
      <c r="F59" s="71" t="s">
        <v>63</v>
      </c>
      <c r="G59" s="71" t="s">
        <v>63</v>
      </c>
      <c r="H59" s="71" t="s">
        <v>63</v>
      </c>
      <c r="I59" s="71" t="s">
        <v>63</v>
      </c>
      <c r="J59" s="71" t="s">
        <v>63</v>
      </c>
      <c r="K59" s="71" t="s">
        <v>63</v>
      </c>
      <c r="L59" s="71" t="s">
        <v>63</v>
      </c>
      <c r="M59" s="71" t="s">
        <v>63</v>
      </c>
      <c r="N59" s="71" t="s">
        <v>63</v>
      </c>
      <c r="O59" s="71" t="s">
        <v>63</v>
      </c>
      <c r="P59" s="71" t="s">
        <v>63</v>
      </c>
      <c r="Q59" s="71" t="s">
        <v>63</v>
      </c>
      <c r="R59" s="71" t="s">
        <v>63</v>
      </c>
      <c r="S59" s="71" t="s">
        <v>63</v>
      </c>
      <c r="T59" s="71" t="s">
        <v>63</v>
      </c>
      <c r="U59" s="71" t="s">
        <v>63</v>
      </c>
      <c r="X59" s="63" t="s">
        <v>30</v>
      </c>
      <c r="Y59" s="63" t="s">
        <v>30</v>
      </c>
      <c r="Z59" s="63" t="s">
        <v>30</v>
      </c>
      <c r="AA59" s="63" t="s">
        <v>30</v>
      </c>
      <c r="AB59" s="62"/>
      <c r="AC59" s="63" t="s">
        <v>30</v>
      </c>
      <c r="AD59" s="63" t="s">
        <v>30</v>
      </c>
      <c r="AE59" s="63" t="s">
        <v>30</v>
      </c>
      <c r="AF59" s="63" t="s">
        <v>30</v>
      </c>
      <c r="AG59" s="62"/>
      <c r="AH59" s="63" t="s">
        <v>30</v>
      </c>
      <c r="AI59" s="63" t="s">
        <v>30</v>
      </c>
      <c r="AJ59" s="63" t="s">
        <v>30</v>
      </c>
    </row>
    <row r="60" spans="2:36" hidden="1" outlineLevel="1" x14ac:dyDescent="0.25">
      <c r="B60" s="229" t="s">
        <v>195</v>
      </c>
      <c r="C60" s="229" t="s">
        <v>195</v>
      </c>
      <c r="E60" s="78" t="s">
        <v>12</v>
      </c>
      <c r="F60" s="21">
        <f>F132</f>
        <v>0</v>
      </c>
      <c r="G60" s="21">
        <f t="shared" ref="G60:H60" si="98">G132</f>
        <v>0</v>
      </c>
      <c r="H60" s="21">
        <f t="shared" si="98"/>
        <v>0</v>
      </c>
      <c r="I60" s="10">
        <f>IF(X60="",I132,X60)</f>
        <v>0</v>
      </c>
      <c r="J60" s="10">
        <f t="shared" ref="J60:L60" si="99">IF(Y60="",J132,Y60)</f>
        <v>0</v>
      </c>
      <c r="K60" s="10">
        <f t="shared" si="99"/>
        <v>0</v>
      </c>
      <c r="L60" s="10">
        <f t="shared" si="99"/>
        <v>0</v>
      </c>
      <c r="M60" s="17">
        <f>SUM(I60:L60)</f>
        <v>0</v>
      </c>
      <c r="N60" s="10">
        <f t="shared" ref="N60:Q60" si="100">IF(AC60="",N132,AC60)</f>
        <v>0</v>
      </c>
      <c r="O60" s="10">
        <f t="shared" si="100"/>
        <v>0</v>
      </c>
      <c r="P60" s="10">
        <f t="shared" si="100"/>
        <v>0</v>
      </c>
      <c r="Q60" s="10">
        <f t="shared" si="100"/>
        <v>0</v>
      </c>
      <c r="R60" s="22">
        <f>SUM(N60:Q60)</f>
        <v>0</v>
      </c>
      <c r="S60" s="23">
        <f t="shared" ref="S60:U60" si="101">IF(AH60="",S132,AH60)</f>
        <v>0</v>
      </c>
      <c r="T60" s="23">
        <f t="shared" si="101"/>
        <v>0</v>
      </c>
      <c r="U60" s="23">
        <f t="shared" si="101"/>
        <v>0</v>
      </c>
      <c r="W60" s="78" t="str">
        <f>E60</f>
        <v>R&amp;D</v>
      </c>
      <c r="X60" s="64"/>
      <c r="Y60" s="64"/>
      <c r="Z60" s="64"/>
      <c r="AA60" s="64"/>
      <c r="AB60" s="60"/>
      <c r="AC60" s="64"/>
      <c r="AD60" s="64"/>
      <c r="AE60" s="64"/>
      <c r="AF60" s="64"/>
      <c r="AG60" s="60"/>
      <c r="AH60" s="64"/>
      <c r="AI60" s="64"/>
      <c r="AJ60" s="64"/>
    </row>
    <row r="61" spans="2:36" hidden="1" outlineLevel="1" x14ac:dyDescent="0.25">
      <c r="B61" s="229" t="s">
        <v>195</v>
      </c>
      <c r="C61" s="229" t="s">
        <v>195</v>
      </c>
      <c r="E61" s="78" t="s">
        <v>78</v>
      </c>
      <c r="F61" s="21">
        <f t="shared" ref="F61:H61" si="102">F133</f>
        <v>0</v>
      </c>
      <c r="G61" s="21">
        <f t="shared" si="102"/>
        <v>0</v>
      </c>
      <c r="H61" s="21">
        <f t="shared" si="102"/>
        <v>0</v>
      </c>
      <c r="I61" s="10">
        <f t="shared" ref="I61:L61" si="103">IF(X61="",I133,X61)</f>
        <v>0</v>
      </c>
      <c r="J61" s="10">
        <f t="shared" si="103"/>
        <v>0</v>
      </c>
      <c r="K61" s="10">
        <f t="shared" si="103"/>
        <v>0</v>
      </c>
      <c r="L61" s="10">
        <f t="shared" si="103"/>
        <v>0</v>
      </c>
      <c r="M61" s="17">
        <f t="shared" ref="M61:M70" si="104">SUM(I61:L61)</f>
        <v>0</v>
      </c>
      <c r="N61" s="10">
        <f t="shared" ref="N61:Q61" si="105">IF(AC61="",N133,AC61)</f>
        <v>0</v>
      </c>
      <c r="O61" s="10">
        <f t="shared" si="105"/>
        <v>0</v>
      </c>
      <c r="P61" s="10">
        <f t="shared" si="105"/>
        <v>0</v>
      </c>
      <c r="Q61" s="10">
        <f t="shared" si="105"/>
        <v>0</v>
      </c>
      <c r="R61" s="22">
        <f t="shared" ref="R61:R70" si="106">SUM(N61:Q61)</f>
        <v>0</v>
      </c>
      <c r="S61" s="23">
        <f t="shared" ref="S61:U61" si="107">IF(AH61="",S133,AH61)</f>
        <v>0</v>
      </c>
      <c r="T61" s="23">
        <f t="shared" si="107"/>
        <v>0</v>
      </c>
      <c r="U61" s="23">
        <f t="shared" si="107"/>
        <v>0</v>
      </c>
      <c r="W61" s="78" t="str">
        <f t="shared" ref="W61:W70" si="108">E61</f>
        <v>Marketing</v>
      </c>
      <c r="X61" s="64"/>
      <c r="Y61" s="64"/>
      <c r="Z61" s="64"/>
      <c r="AA61" s="64"/>
      <c r="AB61" s="60"/>
      <c r="AC61" s="64"/>
      <c r="AD61" s="64"/>
      <c r="AE61" s="64"/>
      <c r="AF61" s="64"/>
      <c r="AG61" s="60"/>
      <c r="AH61" s="64"/>
      <c r="AI61" s="64"/>
      <c r="AJ61" s="64"/>
    </row>
    <row r="62" spans="2:36" hidden="1" outlineLevel="1" x14ac:dyDescent="0.25">
      <c r="B62" s="229" t="s">
        <v>195</v>
      </c>
      <c r="C62" s="229" t="s">
        <v>195</v>
      </c>
      <c r="E62" s="78" t="s">
        <v>79</v>
      </c>
      <c r="F62" s="21">
        <f t="shared" ref="F62:H62" si="109">F134</f>
        <v>0</v>
      </c>
      <c r="G62" s="21">
        <f t="shared" si="109"/>
        <v>0</v>
      </c>
      <c r="H62" s="21">
        <f t="shared" si="109"/>
        <v>0</v>
      </c>
      <c r="I62" s="10">
        <f t="shared" ref="I62:L62" si="110">IF(X62="",I134,X62)</f>
        <v>0</v>
      </c>
      <c r="J62" s="10">
        <f t="shared" si="110"/>
        <v>0</v>
      </c>
      <c r="K62" s="10">
        <f t="shared" si="110"/>
        <v>0</v>
      </c>
      <c r="L62" s="10">
        <f t="shared" si="110"/>
        <v>0</v>
      </c>
      <c r="M62" s="17">
        <f t="shared" si="104"/>
        <v>0</v>
      </c>
      <c r="N62" s="10">
        <f t="shared" ref="N62:Q62" si="111">IF(AC62="",N134,AC62)</f>
        <v>0</v>
      </c>
      <c r="O62" s="10">
        <f t="shared" si="111"/>
        <v>0</v>
      </c>
      <c r="P62" s="10">
        <f t="shared" si="111"/>
        <v>0</v>
      </c>
      <c r="Q62" s="10">
        <f t="shared" si="111"/>
        <v>0</v>
      </c>
      <c r="R62" s="22">
        <f t="shared" si="106"/>
        <v>0</v>
      </c>
      <c r="S62" s="23">
        <f t="shared" ref="S62:U62" si="112">IF(AH62="",S134,AH62)</f>
        <v>0</v>
      </c>
      <c r="T62" s="23">
        <f t="shared" si="112"/>
        <v>0</v>
      </c>
      <c r="U62" s="23">
        <f t="shared" si="112"/>
        <v>0</v>
      </c>
      <c r="W62" s="78" t="str">
        <f t="shared" si="108"/>
        <v>Sales</v>
      </c>
      <c r="X62" s="64"/>
      <c r="Y62" s="64"/>
      <c r="Z62" s="64"/>
      <c r="AA62" s="64"/>
      <c r="AB62" s="60"/>
      <c r="AC62" s="64"/>
      <c r="AD62" s="64"/>
      <c r="AE62" s="64"/>
      <c r="AF62" s="64"/>
      <c r="AG62" s="60"/>
      <c r="AH62" s="64"/>
      <c r="AI62" s="64"/>
      <c r="AJ62" s="64"/>
    </row>
    <row r="63" spans="2:36" hidden="1" outlineLevel="1" x14ac:dyDescent="0.25">
      <c r="B63" s="229" t="s">
        <v>195</v>
      </c>
      <c r="C63" s="229" t="s">
        <v>195</v>
      </c>
      <c r="E63" s="78" t="s">
        <v>14</v>
      </c>
      <c r="F63" s="21">
        <f t="shared" ref="F63:H63" si="113">F135</f>
        <v>0</v>
      </c>
      <c r="G63" s="21">
        <f t="shared" si="113"/>
        <v>0</v>
      </c>
      <c r="H63" s="21">
        <f t="shared" si="113"/>
        <v>0</v>
      </c>
      <c r="I63" s="10">
        <f t="shared" ref="I63:L63" si="114">IF(X63="",I135,X63)</f>
        <v>0</v>
      </c>
      <c r="J63" s="10">
        <f t="shared" si="114"/>
        <v>0</v>
      </c>
      <c r="K63" s="10">
        <f t="shared" si="114"/>
        <v>0</v>
      </c>
      <c r="L63" s="10">
        <f t="shared" si="114"/>
        <v>0</v>
      </c>
      <c r="M63" s="17">
        <f t="shared" si="104"/>
        <v>0</v>
      </c>
      <c r="N63" s="10">
        <f t="shared" ref="N63:Q63" si="115">IF(AC63="",N135,AC63)</f>
        <v>0</v>
      </c>
      <c r="O63" s="10">
        <f t="shared" si="115"/>
        <v>0</v>
      </c>
      <c r="P63" s="10">
        <f t="shared" si="115"/>
        <v>0</v>
      </c>
      <c r="Q63" s="10">
        <f t="shared" si="115"/>
        <v>0</v>
      </c>
      <c r="R63" s="22">
        <f t="shared" si="106"/>
        <v>0</v>
      </c>
      <c r="S63" s="23">
        <f t="shared" ref="S63:U63" si="116">IF(AH63="",S135,AH63)</f>
        <v>0</v>
      </c>
      <c r="T63" s="23">
        <f t="shared" si="116"/>
        <v>0</v>
      </c>
      <c r="U63" s="23">
        <f t="shared" si="116"/>
        <v>0</v>
      </c>
      <c r="W63" s="78" t="str">
        <f t="shared" si="108"/>
        <v>G&amp;A</v>
      </c>
      <c r="X63" s="64"/>
      <c r="Y63" s="64"/>
      <c r="Z63" s="64"/>
      <c r="AA63" s="64"/>
      <c r="AB63" s="60"/>
      <c r="AC63" s="64"/>
      <c r="AD63" s="64"/>
      <c r="AE63" s="64"/>
      <c r="AF63" s="64"/>
      <c r="AG63" s="60"/>
      <c r="AH63" s="64"/>
      <c r="AI63" s="64"/>
      <c r="AJ63" s="64"/>
    </row>
    <row r="64" spans="2:36" hidden="1" outlineLevel="1" x14ac:dyDescent="0.25">
      <c r="B64" s="229" t="s">
        <v>195</v>
      </c>
      <c r="C64" s="229" t="s">
        <v>195</v>
      </c>
      <c r="E64" s="78" t="s">
        <v>36</v>
      </c>
      <c r="F64" s="21">
        <f t="shared" ref="F64:H64" si="117">F136</f>
        <v>0</v>
      </c>
      <c r="G64" s="21">
        <f t="shared" si="117"/>
        <v>0</v>
      </c>
      <c r="H64" s="21">
        <f t="shared" si="117"/>
        <v>0</v>
      </c>
      <c r="I64" s="10">
        <f t="shared" ref="I64:L64" si="118">IF(X64="",I136,X64)</f>
        <v>0</v>
      </c>
      <c r="J64" s="10">
        <f t="shared" si="118"/>
        <v>0</v>
      </c>
      <c r="K64" s="10">
        <f t="shared" si="118"/>
        <v>0</v>
      </c>
      <c r="L64" s="10">
        <f t="shared" si="118"/>
        <v>0</v>
      </c>
      <c r="M64" s="17">
        <f t="shared" si="104"/>
        <v>0</v>
      </c>
      <c r="N64" s="10">
        <f t="shared" ref="N64:Q64" si="119">IF(AC64="",N136,AC64)</f>
        <v>0</v>
      </c>
      <c r="O64" s="10">
        <f t="shared" si="119"/>
        <v>0</v>
      </c>
      <c r="P64" s="10">
        <f t="shared" si="119"/>
        <v>0</v>
      </c>
      <c r="Q64" s="10">
        <f t="shared" si="119"/>
        <v>0</v>
      </c>
      <c r="R64" s="22">
        <f t="shared" si="106"/>
        <v>0</v>
      </c>
      <c r="S64" s="23">
        <f t="shared" ref="S64:U64" si="120">IF(AH64="",S136,AH64)</f>
        <v>0</v>
      </c>
      <c r="T64" s="23">
        <f t="shared" si="120"/>
        <v>0</v>
      </c>
      <c r="U64" s="23">
        <f t="shared" si="120"/>
        <v>0</v>
      </c>
      <c r="W64" s="78" t="str">
        <f t="shared" si="108"/>
        <v>Finance</v>
      </c>
      <c r="X64" s="64"/>
      <c r="Y64" s="64"/>
      <c r="Z64" s="64"/>
      <c r="AA64" s="64"/>
      <c r="AB64" s="60"/>
      <c r="AC64" s="64"/>
      <c r="AD64" s="64"/>
      <c r="AE64" s="64"/>
      <c r="AF64" s="64"/>
      <c r="AG64" s="60"/>
      <c r="AH64" s="64"/>
      <c r="AI64" s="64"/>
      <c r="AJ64" s="64"/>
    </row>
    <row r="65" spans="2:36" hidden="1" outlineLevel="1" x14ac:dyDescent="0.25">
      <c r="B65" s="229" t="s">
        <v>195</v>
      </c>
      <c r="C65" s="229" t="s">
        <v>195</v>
      </c>
      <c r="E65" s="78" t="s">
        <v>37</v>
      </c>
      <c r="F65" s="21">
        <f t="shared" ref="F65:H65" si="121">F137</f>
        <v>0</v>
      </c>
      <c r="G65" s="21">
        <f t="shared" si="121"/>
        <v>0</v>
      </c>
      <c r="H65" s="21">
        <f t="shared" si="121"/>
        <v>0</v>
      </c>
      <c r="I65" s="10">
        <f t="shared" ref="I65:L65" si="122">IF(X65="",I137,X65)</f>
        <v>0</v>
      </c>
      <c r="J65" s="10">
        <f t="shared" si="122"/>
        <v>0</v>
      </c>
      <c r="K65" s="10">
        <f t="shared" si="122"/>
        <v>0</v>
      </c>
      <c r="L65" s="10">
        <f t="shared" si="122"/>
        <v>0</v>
      </c>
      <c r="M65" s="17">
        <f t="shared" si="104"/>
        <v>0</v>
      </c>
      <c r="N65" s="10">
        <f t="shared" ref="N65:Q65" si="123">IF(AC65="",N137,AC65)</f>
        <v>0</v>
      </c>
      <c r="O65" s="10">
        <f t="shared" si="123"/>
        <v>0</v>
      </c>
      <c r="P65" s="10">
        <f t="shared" si="123"/>
        <v>0</v>
      </c>
      <c r="Q65" s="10">
        <f t="shared" si="123"/>
        <v>0</v>
      </c>
      <c r="R65" s="22">
        <f t="shared" si="106"/>
        <v>0</v>
      </c>
      <c r="S65" s="23">
        <f t="shared" ref="S65:U65" si="124">IF(AH65="",S137,AH65)</f>
        <v>0</v>
      </c>
      <c r="T65" s="23">
        <f t="shared" si="124"/>
        <v>0</v>
      </c>
      <c r="U65" s="23">
        <f t="shared" si="124"/>
        <v>0</v>
      </c>
      <c r="W65" s="78" t="str">
        <f t="shared" si="108"/>
        <v>IT</v>
      </c>
      <c r="X65" s="64"/>
      <c r="Y65" s="64"/>
      <c r="Z65" s="64"/>
      <c r="AA65" s="64"/>
      <c r="AB65" s="60"/>
      <c r="AC65" s="64"/>
      <c r="AD65" s="64"/>
      <c r="AE65" s="64"/>
      <c r="AF65" s="64"/>
      <c r="AG65" s="60"/>
      <c r="AH65" s="64"/>
      <c r="AI65" s="64"/>
      <c r="AJ65" s="64"/>
    </row>
    <row r="66" spans="2:36" hidden="1" outlineLevel="1" x14ac:dyDescent="0.25">
      <c r="B66" s="229" t="s">
        <v>195</v>
      </c>
      <c r="C66" s="229" t="s">
        <v>195</v>
      </c>
      <c r="E66" s="78" t="s">
        <v>38</v>
      </c>
      <c r="F66" s="21">
        <f t="shared" ref="F66:H66" si="125">F138</f>
        <v>0</v>
      </c>
      <c r="G66" s="21">
        <f t="shared" si="125"/>
        <v>0</v>
      </c>
      <c r="H66" s="21">
        <f t="shared" si="125"/>
        <v>0</v>
      </c>
      <c r="I66" s="10">
        <f t="shared" ref="I66:L66" si="126">IF(X66="",I138,X66)</f>
        <v>0</v>
      </c>
      <c r="J66" s="10">
        <f t="shared" si="126"/>
        <v>0</v>
      </c>
      <c r="K66" s="10">
        <f t="shared" si="126"/>
        <v>0</v>
      </c>
      <c r="L66" s="10">
        <f t="shared" si="126"/>
        <v>0</v>
      </c>
      <c r="M66" s="17">
        <f t="shared" si="104"/>
        <v>0</v>
      </c>
      <c r="N66" s="10">
        <f t="shared" ref="N66:Q66" si="127">IF(AC66="",N138,AC66)</f>
        <v>0</v>
      </c>
      <c r="O66" s="10">
        <f t="shared" si="127"/>
        <v>0</v>
      </c>
      <c r="P66" s="10">
        <f t="shared" si="127"/>
        <v>0</v>
      </c>
      <c r="Q66" s="10">
        <f t="shared" si="127"/>
        <v>0</v>
      </c>
      <c r="R66" s="22">
        <f t="shared" si="106"/>
        <v>0</v>
      </c>
      <c r="S66" s="23">
        <f t="shared" ref="S66:U66" si="128">IF(AH66="",S138,AH66)</f>
        <v>0</v>
      </c>
      <c r="T66" s="23">
        <f t="shared" si="128"/>
        <v>0</v>
      </c>
      <c r="U66" s="23">
        <f t="shared" si="128"/>
        <v>0</v>
      </c>
      <c r="W66" s="78" t="str">
        <f t="shared" si="108"/>
        <v>HR</v>
      </c>
      <c r="X66" s="64"/>
      <c r="Y66" s="64"/>
      <c r="Z66" s="64"/>
      <c r="AA66" s="64"/>
      <c r="AB66" s="60"/>
      <c r="AC66" s="64"/>
      <c r="AD66" s="64"/>
      <c r="AE66" s="64"/>
      <c r="AF66" s="64"/>
      <c r="AG66" s="60"/>
      <c r="AH66" s="64"/>
      <c r="AI66" s="64"/>
      <c r="AJ66" s="64"/>
    </row>
    <row r="67" spans="2:36" hidden="1" outlineLevel="1" x14ac:dyDescent="0.25">
      <c r="B67" s="229" t="s">
        <v>195</v>
      </c>
      <c r="C67" s="229" t="s">
        <v>195</v>
      </c>
      <c r="E67" s="78" t="s">
        <v>39</v>
      </c>
      <c r="F67" s="21">
        <f t="shared" ref="F67:H67" si="129">F139</f>
        <v>0</v>
      </c>
      <c r="G67" s="21">
        <f t="shared" si="129"/>
        <v>0</v>
      </c>
      <c r="H67" s="21">
        <f t="shared" si="129"/>
        <v>0</v>
      </c>
      <c r="I67" s="10">
        <f t="shared" ref="I67:L67" si="130">IF(X67="",I139,X67)</f>
        <v>0</v>
      </c>
      <c r="J67" s="10">
        <f t="shared" si="130"/>
        <v>0</v>
      </c>
      <c r="K67" s="10">
        <f t="shared" si="130"/>
        <v>0</v>
      </c>
      <c r="L67" s="10">
        <f t="shared" si="130"/>
        <v>0</v>
      </c>
      <c r="M67" s="17">
        <f t="shared" si="104"/>
        <v>0</v>
      </c>
      <c r="N67" s="10">
        <f t="shared" ref="N67:Q67" si="131">IF(AC67="",N139,AC67)</f>
        <v>0</v>
      </c>
      <c r="O67" s="10">
        <f t="shared" si="131"/>
        <v>0</v>
      </c>
      <c r="P67" s="10">
        <f t="shared" si="131"/>
        <v>0</v>
      </c>
      <c r="Q67" s="10">
        <f t="shared" si="131"/>
        <v>0</v>
      </c>
      <c r="R67" s="22">
        <f t="shared" si="106"/>
        <v>0</v>
      </c>
      <c r="S67" s="23">
        <f t="shared" ref="S67:U67" si="132">IF(AH67="",S139,AH67)</f>
        <v>0</v>
      </c>
      <c r="T67" s="23">
        <f t="shared" si="132"/>
        <v>0</v>
      </c>
      <c r="U67" s="23">
        <f t="shared" si="132"/>
        <v>0</v>
      </c>
      <c r="W67" s="78" t="str">
        <f t="shared" si="108"/>
        <v>Global IT</v>
      </c>
      <c r="X67" s="64"/>
      <c r="Y67" s="64"/>
      <c r="Z67" s="64"/>
      <c r="AA67" s="64"/>
      <c r="AB67" s="60"/>
      <c r="AC67" s="64"/>
      <c r="AD67" s="64"/>
      <c r="AE67" s="64"/>
      <c r="AF67" s="64"/>
      <c r="AG67" s="60"/>
      <c r="AH67" s="64"/>
      <c r="AI67" s="64"/>
      <c r="AJ67" s="64"/>
    </row>
    <row r="68" spans="2:36" hidden="1" outlineLevel="1" x14ac:dyDescent="0.25">
      <c r="B68" s="229" t="s">
        <v>195</v>
      </c>
      <c r="C68" s="229" t="s">
        <v>195</v>
      </c>
      <c r="E68" s="78" t="s">
        <v>29</v>
      </c>
      <c r="F68" s="21">
        <f t="shared" ref="F68:H68" si="133">F140</f>
        <v>0</v>
      </c>
      <c r="G68" s="21">
        <f t="shared" si="133"/>
        <v>0</v>
      </c>
      <c r="H68" s="21">
        <f t="shared" si="133"/>
        <v>0</v>
      </c>
      <c r="I68" s="10">
        <f t="shared" ref="I68:L68" si="134">IF(X68="",I140,X68)</f>
        <v>0</v>
      </c>
      <c r="J68" s="10">
        <f t="shared" si="134"/>
        <v>0</v>
      </c>
      <c r="K68" s="10">
        <f t="shared" si="134"/>
        <v>0</v>
      </c>
      <c r="L68" s="10">
        <f t="shared" si="134"/>
        <v>0</v>
      </c>
      <c r="M68" s="17">
        <f t="shared" si="104"/>
        <v>0</v>
      </c>
      <c r="N68" s="10">
        <f t="shared" ref="N68:Q68" si="135">IF(AC68="",N140,AC68)</f>
        <v>0</v>
      </c>
      <c r="O68" s="10">
        <f t="shared" si="135"/>
        <v>0</v>
      </c>
      <c r="P68" s="10">
        <f t="shared" si="135"/>
        <v>0</v>
      </c>
      <c r="Q68" s="10">
        <f t="shared" si="135"/>
        <v>0</v>
      </c>
      <c r="R68" s="22">
        <f t="shared" si="106"/>
        <v>0</v>
      </c>
      <c r="S68" s="23">
        <f t="shared" ref="S68:U68" si="136">IF(AH68="",S140,AH68)</f>
        <v>0</v>
      </c>
      <c r="T68" s="23">
        <f t="shared" si="136"/>
        <v>0</v>
      </c>
      <c r="U68" s="23">
        <f t="shared" si="136"/>
        <v>0</v>
      </c>
      <c r="W68" s="78" t="str">
        <f t="shared" si="108"/>
        <v>All other Period Expenses</v>
      </c>
      <c r="X68" s="64"/>
      <c r="Y68" s="64"/>
      <c r="Z68" s="64"/>
      <c r="AA68" s="64"/>
      <c r="AB68" s="60"/>
      <c r="AC68" s="64"/>
      <c r="AD68" s="64"/>
      <c r="AE68" s="64"/>
      <c r="AF68" s="64"/>
      <c r="AG68" s="60"/>
      <c r="AH68" s="64"/>
      <c r="AI68" s="64"/>
      <c r="AJ68" s="64"/>
    </row>
    <row r="69" spans="2:36" hidden="1" outlineLevel="1" x14ac:dyDescent="0.25">
      <c r="B69" s="229" t="s">
        <v>195</v>
      </c>
      <c r="C69" s="229" t="s">
        <v>195</v>
      </c>
      <c r="E69" s="78" t="s">
        <v>80</v>
      </c>
      <c r="F69" s="21">
        <f t="shared" ref="F69:H69" si="137">F141</f>
        <v>0</v>
      </c>
      <c r="G69" s="21">
        <f t="shared" si="137"/>
        <v>0</v>
      </c>
      <c r="H69" s="21">
        <f t="shared" si="137"/>
        <v>0</v>
      </c>
      <c r="I69" s="10">
        <f t="shared" ref="I69:L69" si="138">IF(X69="",I141,X69)</f>
        <v>0</v>
      </c>
      <c r="J69" s="10">
        <f t="shared" si="138"/>
        <v>0</v>
      </c>
      <c r="K69" s="10">
        <f t="shared" si="138"/>
        <v>0</v>
      </c>
      <c r="L69" s="10">
        <f t="shared" si="138"/>
        <v>0</v>
      </c>
      <c r="M69" s="17">
        <f t="shared" si="104"/>
        <v>0</v>
      </c>
      <c r="N69" s="10">
        <f t="shared" ref="N69:Q69" si="139">IF(AC69="",N141,AC69)</f>
        <v>0</v>
      </c>
      <c r="O69" s="10">
        <f t="shared" si="139"/>
        <v>0</v>
      </c>
      <c r="P69" s="10">
        <f t="shared" si="139"/>
        <v>0</v>
      </c>
      <c r="Q69" s="10">
        <f t="shared" si="139"/>
        <v>0</v>
      </c>
      <c r="R69" s="22">
        <f t="shared" si="106"/>
        <v>0</v>
      </c>
      <c r="S69" s="23">
        <f t="shared" ref="S69:U69" si="140">IF(AH69="",S141,AH69)</f>
        <v>0</v>
      </c>
      <c r="T69" s="23">
        <f t="shared" si="140"/>
        <v>0</v>
      </c>
      <c r="U69" s="23">
        <f t="shared" si="140"/>
        <v>0</v>
      </c>
      <c r="W69" s="78" t="str">
        <f t="shared" si="108"/>
        <v>Blank</v>
      </c>
      <c r="X69" s="64"/>
      <c r="Y69" s="64"/>
      <c r="Z69" s="64"/>
      <c r="AA69" s="64"/>
      <c r="AB69" s="60"/>
      <c r="AC69" s="64"/>
      <c r="AD69" s="64"/>
      <c r="AE69" s="64"/>
      <c r="AF69" s="64"/>
      <c r="AG69" s="60"/>
      <c r="AH69" s="64"/>
      <c r="AI69" s="64"/>
      <c r="AJ69" s="64"/>
    </row>
    <row r="70" spans="2:36" hidden="1" outlineLevel="1" x14ac:dyDescent="0.25">
      <c r="B70" s="229" t="s">
        <v>195</v>
      </c>
      <c r="C70" s="229" t="s">
        <v>195</v>
      </c>
      <c r="E70" s="78" t="s">
        <v>80</v>
      </c>
      <c r="F70" s="21">
        <f t="shared" ref="F70:H70" si="141">F142</f>
        <v>0</v>
      </c>
      <c r="G70" s="21">
        <f t="shared" si="141"/>
        <v>0</v>
      </c>
      <c r="H70" s="21">
        <f t="shared" si="141"/>
        <v>0</v>
      </c>
      <c r="I70" s="10">
        <f t="shared" ref="I70:L70" si="142">IF(X70="",I142,X70)</f>
        <v>0</v>
      </c>
      <c r="J70" s="10">
        <f t="shared" si="142"/>
        <v>0</v>
      </c>
      <c r="K70" s="10">
        <f t="shared" si="142"/>
        <v>0</v>
      </c>
      <c r="L70" s="10">
        <f t="shared" si="142"/>
        <v>0</v>
      </c>
      <c r="M70" s="17">
        <f t="shared" si="104"/>
        <v>0</v>
      </c>
      <c r="N70" s="10">
        <f t="shared" ref="N70:Q70" si="143">IF(AC70="",N142,AC70)</f>
        <v>0</v>
      </c>
      <c r="O70" s="10">
        <f t="shared" si="143"/>
        <v>0</v>
      </c>
      <c r="P70" s="10">
        <f t="shared" si="143"/>
        <v>0</v>
      </c>
      <c r="Q70" s="10">
        <f t="shared" si="143"/>
        <v>0</v>
      </c>
      <c r="R70" s="22">
        <f t="shared" si="106"/>
        <v>0</v>
      </c>
      <c r="S70" s="23">
        <f t="shared" ref="S70:U70" si="144">IF(AH70="",S142,AH70)</f>
        <v>0</v>
      </c>
      <c r="T70" s="23">
        <f t="shared" si="144"/>
        <v>0</v>
      </c>
      <c r="U70" s="23">
        <f t="shared" si="144"/>
        <v>0</v>
      </c>
      <c r="W70" s="78" t="str">
        <f t="shared" si="108"/>
        <v>Blank</v>
      </c>
      <c r="X70" s="64"/>
      <c r="Y70" s="64"/>
      <c r="Z70" s="64"/>
      <c r="AA70" s="64"/>
      <c r="AB70" s="60"/>
      <c r="AC70" s="64"/>
      <c r="AD70" s="64"/>
      <c r="AE70" s="64"/>
      <c r="AF70" s="64"/>
      <c r="AG70" s="60"/>
      <c r="AH70" s="64"/>
      <c r="AI70" s="64"/>
      <c r="AJ70" s="64"/>
    </row>
    <row r="71" spans="2:36" ht="15.75" hidden="1" outlineLevel="1" thickBot="1" x14ac:dyDescent="0.3">
      <c r="E71" s="8" t="s">
        <v>27</v>
      </c>
      <c r="F71" s="9">
        <f t="shared" ref="F71:H71" si="145">SUM(F60:F70)</f>
        <v>0</v>
      </c>
      <c r="G71" s="9">
        <f t="shared" si="145"/>
        <v>0</v>
      </c>
      <c r="H71" s="9">
        <f t="shared" si="145"/>
        <v>0</v>
      </c>
      <c r="I71" s="11">
        <f>SUM(I60:I70)</f>
        <v>0</v>
      </c>
      <c r="J71" s="11">
        <f t="shared" ref="J71:U71" si="146">SUM(J60:J70)</f>
        <v>0</v>
      </c>
      <c r="K71" s="11">
        <f t="shared" si="146"/>
        <v>0</v>
      </c>
      <c r="L71" s="11">
        <f t="shared" si="146"/>
        <v>0</v>
      </c>
      <c r="M71" s="18">
        <f t="shared" si="146"/>
        <v>0</v>
      </c>
      <c r="N71" s="11">
        <f t="shared" si="146"/>
        <v>0</v>
      </c>
      <c r="O71" s="11">
        <f t="shared" si="146"/>
        <v>0</v>
      </c>
      <c r="P71" s="11">
        <f t="shared" si="146"/>
        <v>0</v>
      </c>
      <c r="Q71" s="11">
        <f t="shared" si="146"/>
        <v>0</v>
      </c>
      <c r="R71" s="19">
        <f t="shared" si="146"/>
        <v>0</v>
      </c>
      <c r="S71" s="20">
        <f t="shared" si="146"/>
        <v>0</v>
      </c>
      <c r="T71" s="20">
        <f t="shared" si="146"/>
        <v>0</v>
      </c>
      <c r="U71" s="20">
        <f t="shared" si="146"/>
        <v>0</v>
      </c>
    </row>
    <row r="72" spans="2:36" ht="15.75" hidden="1" outlineLevel="1" thickTop="1" x14ac:dyDescent="0.25"/>
    <row r="73" spans="2:36" hidden="1" outlineLevel="1" x14ac:dyDescent="0.25"/>
    <row r="74" spans="2:36" hidden="1" outlineLevel="1" x14ac:dyDescent="0.25"/>
    <row r="75" spans="2:36" ht="18.75" collapsed="1" x14ac:dyDescent="0.3">
      <c r="B75" s="4" t="s">
        <v>34</v>
      </c>
      <c r="C75" s="4" t="s">
        <v>387</v>
      </c>
      <c r="E75" s="53" t="str">
        <f>"Scenario 4: "&amp;Inputs!B25</f>
        <v>Scenario 4: Scenario 4</v>
      </c>
      <c r="F75" s="49"/>
      <c r="G75" s="49"/>
      <c r="H75" s="49"/>
      <c r="I75" s="49"/>
      <c r="J75" s="49"/>
      <c r="K75" s="49"/>
      <c r="L75" s="49"/>
      <c r="M75" s="49"/>
      <c r="N75" s="49"/>
      <c r="O75" s="49"/>
      <c r="P75" s="49"/>
      <c r="Q75" s="49"/>
      <c r="R75" s="49"/>
      <c r="S75" s="49"/>
      <c r="T75" s="49"/>
      <c r="U75" s="49"/>
    </row>
    <row r="76" spans="2:36" hidden="1" outlineLevel="1" x14ac:dyDescent="0.25">
      <c r="E76" s="52" t="str">
        <f>Inputs!C25</f>
        <v>Scenario 4 Description</v>
      </c>
    </row>
    <row r="77" spans="2:36" hidden="1" outlineLevel="1" x14ac:dyDescent="0.25"/>
    <row r="78" spans="2:36" hidden="1" outlineLevel="1" x14ac:dyDescent="0.25"/>
    <row r="79" spans="2:36" hidden="1" outlineLevel="1" x14ac:dyDescent="0.25">
      <c r="E79" s="4" t="s">
        <v>81</v>
      </c>
      <c r="W79" s="4" t="s">
        <v>81</v>
      </c>
    </row>
    <row r="80" spans="2:36" hidden="1" outlineLevel="1" x14ac:dyDescent="0.25">
      <c r="E80" t="s">
        <v>25</v>
      </c>
      <c r="W80" t="s">
        <v>25</v>
      </c>
    </row>
    <row r="81" spans="2:36" hidden="1" outlineLevel="1" x14ac:dyDescent="0.25"/>
    <row r="82" spans="2:36" hidden="1" outlineLevel="1" x14ac:dyDescent="0.25">
      <c r="F82" s="12">
        <f>Inputs!$C$7</f>
        <v>2023</v>
      </c>
      <c r="G82" s="12">
        <f>Inputs!$C$8</f>
        <v>2024</v>
      </c>
      <c r="H82" s="12">
        <f>Inputs!$C$9</f>
        <v>2025</v>
      </c>
      <c r="I82" s="13" t="s">
        <v>1</v>
      </c>
      <c r="J82" s="13" t="s">
        <v>2</v>
      </c>
      <c r="K82" s="13" t="s">
        <v>3</v>
      </c>
      <c r="L82" s="13" t="s">
        <v>4</v>
      </c>
      <c r="M82" s="13">
        <f>Inputs!$C$10</f>
        <v>2026</v>
      </c>
      <c r="N82" s="14" t="s">
        <v>1</v>
      </c>
      <c r="O82" s="14" t="s">
        <v>2</v>
      </c>
      <c r="P82" s="14" t="s">
        <v>3</v>
      </c>
      <c r="Q82" s="14" t="s">
        <v>4</v>
      </c>
      <c r="R82" s="15">
        <f>Inputs!$C$11</f>
        <v>2027</v>
      </c>
      <c r="S82" s="16">
        <f>Inputs!$C$12</f>
        <v>2028</v>
      </c>
      <c r="T82" s="16">
        <f>Inputs!$C$13</f>
        <v>2029</v>
      </c>
      <c r="U82" s="16">
        <f>Inputs!$C$14</f>
        <v>2030</v>
      </c>
      <c r="X82" s="13" t="s">
        <v>1</v>
      </c>
      <c r="Y82" s="13" t="s">
        <v>2</v>
      </c>
      <c r="Z82" s="13" t="s">
        <v>3</v>
      </c>
      <c r="AA82" s="13" t="s">
        <v>4</v>
      </c>
      <c r="AB82" s="13">
        <f>Inputs!$C$10</f>
        <v>2026</v>
      </c>
      <c r="AC82" s="14" t="s">
        <v>1</v>
      </c>
      <c r="AD82" s="14" t="s">
        <v>2</v>
      </c>
      <c r="AE82" s="14" t="s">
        <v>3</v>
      </c>
      <c r="AF82" s="14" t="s">
        <v>4</v>
      </c>
      <c r="AG82" s="15">
        <f>Inputs!$C$11</f>
        <v>2027</v>
      </c>
      <c r="AH82" s="16">
        <f>Inputs!$C$12</f>
        <v>2028</v>
      </c>
      <c r="AI82" s="16">
        <f>Inputs!$C$13</f>
        <v>2029</v>
      </c>
      <c r="AJ82" s="16">
        <f>Inputs!$C$14</f>
        <v>2030</v>
      </c>
    </row>
    <row r="83" spans="2:36" hidden="1" outlineLevel="1" x14ac:dyDescent="0.25">
      <c r="F83" s="71" t="s">
        <v>63</v>
      </c>
      <c r="G83" s="71" t="s">
        <v>63</v>
      </c>
      <c r="H83" s="71" t="s">
        <v>63</v>
      </c>
      <c r="I83" s="71" t="s">
        <v>63</v>
      </c>
      <c r="J83" s="71" t="s">
        <v>63</v>
      </c>
      <c r="K83" s="71" t="s">
        <v>63</v>
      </c>
      <c r="L83" s="71" t="s">
        <v>63</v>
      </c>
      <c r="M83" s="71" t="s">
        <v>63</v>
      </c>
      <c r="N83" s="71" t="s">
        <v>63</v>
      </c>
      <c r="O83" s="71" t="s">
        <v>63</v>
      </c>
      <c r="P83" s="71" t="s">
        <v>63</v>
      </c>
      <c r="Q83" s="71" t="s">
        <v>63</v>
      </c>
      <c r="R83" s="71" t="s">
        <v>63</v>
      </c>
      <c r="S83" s="71" t="s">
        <v>63</v>
      </c>
      <c r="T83" s="71" t="s">
        <v>63</v>
      </c>
      <c r="U83" s="71" t="s">
        <v>63</v>
      </c>
      <c r="X83" s="63" t="s">
        <v>30</v>
      </c>
      <c r="Y83" s="63" t="s">
        <v>30</v>
      </c>
      <c r="Z83" s="63" t="s">
        <v>30</v>
      </c>
      <c r="AA83" s="63" t="s">
        <v>30</v>
      </c>
      <c r="AB83" s="62"/>
      <c r="AC83" s="63" t="s">
        <v>30</v>
      </c>
      <c r="AD83" s="63" t="s">
        <v>30</v>
      </c>
      <c r="AE83" s="63" t="s">
        <v>30</v>
      </c>
      <c r="AF83" s="63" t="s">
        <v>30</v>
      </c>
      <c r="AG83" s="62"/>
      <c r="AH83" s="63" t="s">
        <v>30</v>
      </c>
      <c r="AI83" s="63" t="s">
        <v>30</v>
      </c>
      <c r="AJ83" s="63" t="s">
        <v>30</v>
      </c>
    </row>
    <row r="84" spans="2:36" hidden="1" outlineLevel="1" x14ac:dyDescent="0.25">
      <c r="B84" s="229" t="s">
        <v>195</v>
      </c>
      <c r="C84" s="229" t="s">
        <v>195</v>
      </c>
      <c r="E84" s="78" t="s">
        <v>12</v>
      </c>
      <c r="F84" s="21">
        <f>F132</f>
        <v>0</v>
      </c>
      <c r="G84" s="21">
        <f t="shared" ref="G84:H84" si="147">G132</f>
        <v>0</v>
      </c>
      <c r="H84" s="21">
        <f t="shared" si="147"/>
        <v>0</v>
      </c>
      <c r="I84" s="10">
        <f>IF(X84="",I132,X84)</f>
        <v>0</v>
      </c>
      <c r="J84" s="10">
        <f t="shared" ref="J84:L84" si="148">IF(Y84="",J132,Y84)</f>
        <v>0</v>
      </c>
      <c r="K84" s="10">
        <f t="shared" si="148"/>
        <v>0</v>
      </c>
      <c r="L84" s="10">
        <f t="shared" si="148"/>
        <v>0</v>
      </c>
      <c r="M84" s="17">
        <f>SUM(I84:L84)</f>
        <v>0</v>
      </c>
      <c r="N84" s="10">
        <f t="shared" ref="N84:Q84" si="149">IF(AC84="",N132,AC84)</f>
        <v>0</v>
      </c>
      <c r="O84" s="10">
        <f t="shared" si="149"/>
        <v>0</v>
      </c>
      <c r="P84" s="10">
        <f t="shared" si="149"/>
        <v>0</v>
      </c>
      <c r="Q84" s="10">
        <f t="shared" si="149"/>
        <v>0</v>
      </c>
      <c r="R84" s="22">
        <f>SUM(N84:Q84)</f>
        <v>0</v>
      </c>
      <c r="S84" s="23">
        <f t="shared" ref="S84:U84" si="150">IF(AH84="",S132,AH84)</f>
        <v>0</v>
      </c>
      <c r="T84" s="23">
        <f t="shared" si="150"/>
        <v>0</v>
      </c>
      <c r="U84" s="23">
        <f t="shared" si="150"/>
        <v>0</v>
      </c>
      <c r="W84" s="78" t="str">
        <f>E84</f>
        <v>R&amp;D</v>
      </c>
      <c r="X84" s="64"/>
      <c r="Y84" s="64"/>
      <c r="Z84" s="64"/>
      <c r="AA84" s="64"/>
      <c r="AB84" s="60"/>
      <c r="AC84" s="64"/>
      <c r="AD84" s="64"/>
      <c r="AE84" s="64"/>
      <c r="AF84" s="64"/>
      <c r="AG84" s="60"/>
      <c r="AH84" s="64"/>
      <c r="AI84" s="64"/>
      <c r="AJ84" s="64"/>
    </row>
    <row r="85" spans="2:36" hidden="1" outlineLevel="1" x14ac:dyDescent="0.25">
      <c r="B85" s="229" t="s">
        <v>195</v>
      </c>
      <c r="C85" s="229" t="s">
        <v>195</v>
      </c>
      <c r="E85" s="78" t="s">
        <v>78</v>
      </c>
      <c r="F85" s="21">
        <f t="shared" ref="F85:H85" si="151">F133</f>
        <v>0</v>
      </c>
      <c r="G85" s="21">
        <f t="shared" si="151"/>
        <v>0</v>
      </c>
      <c r="H85" s="21">
        <f t="shared" si="151"/>
        <v>0</v>
      </c>
      <c r="I85" s="10">
        <f t="shared" ref="I85:L85" si="152">IF(X85="",I133,X85)</f>
        <v>0</v>
      </c>
      <c r="J85" s="10">
        <f t="shared" si="152"/>
        <v>0</v>
      </c>
      <c r="K85" s="10">
        <f t="shared" si="152"/>
        <v>0</v>
      </c>
      <c r="L85" s="10">
        <f t="shared" si="152"/>
        <v>0</v>
      </c>
      <c r="M85" s="17">
        <f t="shared" ref="M85:M94" si="153">SUM(I85:L85)</f>
        <v>0</v>
      </c>
      <c r="N85" s="10">
        <f t="shared" ref="N85:Q85" si="154">IF(AC85="",N133,AC85)</f>
        <v>0</v>
      </c>
      <c r="O85" s="10">
        <f t="shared" si="154"/>
        <v>0</v>
      </c>
      <c r="P85" s="10">
        <f t="shared" si="154"/>
        <v>0</v>
      </c>
      <c r="Q85" s="10">
        <f t="shared" si="154"/>
        <v>0</v>
      </c>
      <c r="R85" s="22">
        <f t="shared" ref="R85:R94" si="155">SUM(N85:Q85)</f>
        <v>0</v>
      </c>
      <c r="S85" s="23">
        <f t="shared" ref="S85:U85" si="156">IF(AH85="",S133,AH85)</f>
        <v>0</v>
      </c>
      <c r="T85" s="23">
        <f t="shared" si="156"/>
        <v>0</v>
      </c>
      <c r="U85" s="23">
        <f t="shared" si="156"/>
        <v>0</v>
      </c>
      <c r="W85" s="78" t="str">
        <f t="shared" ref="W85:W94" si="157">E85</f>
        <v>Marketing</v>
      </c>
      <c r="X85" s="64"/>
      <c r="Y85" s="64"/>
      <c r="Z85" s="64"/>
      <c r="AA85" s="64"/>
      <c r="AB85" s="60"/>
      <c r="AC85" s="64"/>
      <c r="AD85" s="64"/>
      <c r="AE85" s="64"/>
      <c r="AF85" s="64"/>
      <c r="AG85" s="60"/>
      <c r="AH85" s="64"/>
      <c r="AI85" s="64"/>
      <c r="AJ85" s="64"/>
    </row>
    <row r="86" spans="2:36" hidden="1" outlineLevel="1" x14ac:dyDescent="0.25">
      <c r="B86" s="229" t="s">
        <v>195</v>
      </c>
      <c r="C86" s="229" t="s">
        <v>195</v>
      </c>
      <c r="E86" s="78" t="s">
        <v>79</v>
      </c>
      <c r="F86" s="21">
        <f t="shared" ref="F86:H86" si="158">F134</f>
        <v>0</v>
      </c>
      <c r="G86" s="21">
        <f t="shared" si="158"/>
        <v>0</v>
      </c>
      <c r="H86" s="21">
        <f t="shared" si="158"/>
        <v>0</v>
      </c>
      <c r="I86" s="10">
        <f t="shared" ref="I86:L86" si="159">IF(X86="",I134,X86)</f>
        <v>0</v>
      </c>
      <c r="J86" s="10">
        <f t="shared" si="159"/>
        <v>0</v>
      </c>
      <c r="K86" s="10">
        <f t="shared" si="159"/>
        <v>0</v>
      </c>
      <c r="L86" s="10">
        <f t="shared" si="159"/>
        <v>0</v>
      </c>
      <c r="M86" s="17">
        <f t="shared" si="153"/>
        <v>0</v>
      </c>
      <c r="N86" s="10">
        <f t="shared" ref="N86:Q86" si="160">IF(AC86="",N134,AC86)</f>
        <v>0</v>
      </c>
      <c r="O86" s="10">
        <f t="shared" si="160"/>
        <v>0</v>
      </c>
      <c r="P86" s="10">
        <f t="shared" si="160"/>
        <v>0</v>
      </c>
      <c r="Q86" s="10">
        <f t="shared" si="160"/>
        <v>0</v>
      </c>
      <c r="R86" s="22">
        <f t="shared" si="155"/>
        <v>0</v>
      </c>
      <c r="S86" s="23">
        <f t="shared" ref="S86:U86" si="161">IF(AH86="",S134,AH86)</f>
        <v>0</v>
      </c>
      <c r="T86" s="23">
        <f t="shared" si="161"/>
        <v>0</v>
      </c>
      <c r="U86" s="23">
        <f t="shared" si="161"/>
        <v>0</v>
      </c>
      <c r="W86" s="78" t="str">
        <f t="shared" si="157"/>
        <v>Sales</v>
      </c>
      <c r="X86" s="64"/>
      <c r="Y86" s="64"/>
      <c r="Z86" s="64"/>
      <c r="AA86" s="64"/>
      <c r="AB86" s="60"/>
      <c r="AC86" s="64"/>
      <c r="AD86" s="64"/>
      <c r="AE86" s="64"/>
      <c r="AF86" s="64"/>
      <c r="AG86" s="60"/>
      <c r="AH86" s="64"/>
      <c r="AI86" s="64"/>
      <c r="AJ86" s="64"/>
    </row>
    <row r="87" spans="2:36" hidden="1" outlineLevel="1" x14ac:dyDescent="0.25">
      <c r="B87" s="229" t="s">
        <v>195</v>
      </c>
      <c r="C87" s="229" t="s">
        <v>195</v>
      </c>
      <c r="E87" s="78" t="s">
        <v>14</v>
      </c>
      <c r="F87" s="21">
        <f t="shared" ref="F87:H87" si="162">F135</f>
        <v>0</v>
      </c>
      <c r="G87" s="21">
        <f t="shared" si="162"/>
        <v>0</v>
      </c>
      <c r="H87" s="21">
        <f t="shared" si="162"/>
        <v>0</v>
      </c>
      <c r="I87" s="10">
        <f t="shared" ref="I87:L87" si="163">IF(X87="",I135,X87)</f>
        <v>0</v>
      </c>
      <c r="J87" s="10">
        <f t="shared" si="163"/>
        <v>0</v>
      </c>
      <c r="K87" s="10">
        <f t="shared" si="163"/>
        <v>0</v>
      </c>
      <c r="L87" s="10">
        <f t="shared" si="163"/>
        <v>0</v>
      </c>
      <c r="M87" s="17">
        <f t="shared" si="153"/>
        <v>0</v>
      </c>
      <c r="N87" s="10">
        <f t="shared" ref="N87:Q87" si="164">IF(AC87="",N135,AC87)</f>
        <v>0</v>
      </c>
      <c r="O87" s="10">
        <f t="shared" si="164"/>
        <v>0</v>
      </c>
      <c r="P87" s="10">
        <f t="shared" si="164"/>
        <v>0</v>
      </c>
      <c r="Q87" s="10">
        <f t="shared" si="164"/>
        <v>0</v>
      </c>
      <c r="R87" s="22">
        <f t="shared" si="155"/>
        <v>0</v>
      </c>
      <c r="S87" s="23">
        <f t="shared" ref="S87:U87" si="165">IF(AH87="",S135,AH87)</f>
        <v>0</v>
      </c>
      <c r="T87" s="23">
        <f t="shared" si="165"/>
        <v>0</v>
      </c>
      <c r="U87" s="23">
        <f t="shared" si="165"/>
        <v>0</v>
      </c>
      <c r="W87" s="78" t="str">
        <f t="shared" si="157"/>
        <v>G&amp;A</v>
      </c>
      <c r="X87" s="64"/>
      <c r="Y87" s="64"/>
      <c r="Z87" s="64"/>
      <c r="AA87" s="64"/>
      <c r="AB87" s="60"/>
      <c r="AC87" s="64"/>
      <c r="AD87" s="64"/>
      <c r="AE87" s="64"/>
      <c r="AF87" s="64"/>
      <c r="AG87" s="60"/>
      <c r="AH87" s="64"/>
      <c r="AI87" s="64"/>
      <c r="AJ87" s="64"/>
    </row>
    <row r="88" spans="2:36" hidden="1" outlineLevel="1" x14ac:dyDescent="0.25">
      <c r="B88" s="229" t="s">
        <v>195</v>
      </c>
      <c r="C88" s="229" t="s">
        <v>195</v>
      </c>
      <c r="E88" s="78" t="s">
        <v>36</v>
      </c>
      <c r="F88" s="21">
        <f t="shared" ref="F88:H88" si="166">F136</f>
        <v>0</v>
      </c>
      <c r="G88" s="21">
        <f t="shared" si="166"/>
        <v>0</v>
      </c>
      <c r="H88" s="21">
        <f t="shared" si="166"/>
        <v>0</v>
      </c>
      <c r="I88" s="10">
        <f t="shared" ref="I88:L88" si="167">IF(X88="",I136,X88)</f>
        <v>0</v>
      </c>
      <c r="J88" s="10">
        <f t="shared" si="167"/>
        <v>0</v>
      </c>
      <c r="K88" s="10">
        <f t="shared" si="167"/>
        <v>0</v>
      </c>
      <c r="L88" s="10">
        <f t="shared" si="167"/>
        <v>0</v>
      </c>
      <c r="M88" s="17">
        <f t="shared" si="153"/>
        <v>0</v>
      </c>
      <c r="N88" s="10">
        <f t="shared" ref="N88:Q88" si="168">IF(AC88="",N136,AC88)</f>
        <v>0</v>
      </c>
      <c r="O88" s="10">
        <f t="shared" si="168"/>
        <v>0</v>
      </c>
      <c r="P88" s="10">
        <f t="shared" si="168"/>
        <v>0</v>
      </c>
      <c r="Q88" s="10">
        <f t="shared" si="168"/>
        <v>0</v>
      </c>
      <c r="R88" s="22">
        <f t="shared" si="155"/>
        <v>0</v>
      </c>
      <c r="S88" s="23">
        <f t="shared" ref="S88:U88" si="169">IF(AH88="",S136,AH88)</f>
        <v>0</v>
      </c>
      <c r="T88" s="23">
        <f t="shared" si="169"/>
        <v>0</v>
      </c>
      <c r="U88" s="23">
        <f t="shared" si="169"/>
        <v>0</v>
      </c>
      <c r="W88" s="78" t="str">
        <f t="shared" si="157"/>
        <v>Finance</v>
      </c>
      <c r="X88" s="64"/>
      <c r="Y88" s="64"/>
      <c r="Z88" s="64"/>
      <c r="AA88" s="64"/>
      <c r="AB88" s="60"/>
      <c r="AC88" s="64"/>
      <c r="AD88" s="64"/>
      <c r="AE88" s="64"/>
      <c r="AF88" s="64"/>
      <c r="AG88" s="60"/>
      <c r="AH88" s="64"/>
      <c r="AI88" s="64"/>
      <c r="AJ88" s="64"/>
    </row>
    <row r="89" spans="2:36" hidden="1" outlineLevel="1" x14ac:dyDescent="0.25">
      <c r="B89" s="229" t="s">
        <v>195</v>
      </c>
      <c r="C89" s="229" t="s">
        <v>195</v>
      </c>
      <c r="E89" s="78" t="s">
        <v>37</v>
      </c>
      <c r="F89" s="21">
        <f t="shared" ref="F89:H89" si="170">F137</f>
        <v>0</v>
      </c>
      <c r="G89" s="21">
        <f t="shared" si="170"/>
        <v>0</v>
      </c>
      <c r="H89" s="21">
        <f t="shared" si="170"/>
        <v>0</v>
      </c>
      <c r="I89" s="10">
        <f t="shared" ref="I89:L89" si="171">IF(X89="",I137,X89)</f>
        <v>0</v>
      </c>
      <c r="J89" s="10">
        <f t="shared" si="171"/>
        <v>0</v>
      </c>
      <c r="K89" s="10">
        <f t="shared" si="171"/>
        <v>0</v>
      </c>
      <c r="L89" s="10">
        <f t="shared" si="171"/>
        <v>0</v>
      </c>
      <c r="M89" s="17">
        <f t="shared" si="153"/>
        <v>0</v>
      </c>
      <c r="N89" s="10">
        <f t="shared" ref="N89:Q89" si="172">IF(AC89="",N137,AC89)</f>
        <v>0</v>
      </c>
      <c r="O89" s="10">
        <f t="shared" si="172"/>
        <v>0</v>
      </c>
      <c r="P89" s="10">
        <f t="shared" si="172"/>
        <v>0</v>
      </c>
      <c r="Q89" s="10">
        <f t="shared" si="172"/>
        <v>0</v>
      </c>
      <c r="R89" s="22">
        <f t="shared" si="155"/>
        <v>0</v>
      </c>
      <c r="S89" s="23">
        <f t="shared" ref="S89:U89" si="173">IF(AH89="",S137,AH89)</f>
        <v>0</v>
      </c>
      <c r="T89" s="23">
        <f t="shared" si="173"/>
        <v>0</v>
      </c>
      <c r="U89" s="23">
        <f t="shared" si="173"/>
        <v>0</v>
      </c>
      <c r="W89" s="78" t="str">
        <f t="shared" si="157"/>
        <v>IT</v>
      </c>
      <c r="X89" s="64"/>
      <c r="Y89" s="64"/>
      <c r="Z89" s="64"/>
      <c r="AA89" s="64"/>
      <c r="AB89" s="60"/>
      <c r="AC89" s="64"/>
      <c r="AD89" s="64"/>
      <c r="AE89" s="64"/>
      <c r="AF89" s="64"/>
      <c r="AG89" s="60"/>
      <c r="AH89" s="64"/>
      <c r="AI89" s="64"/>
      <c r="AJ89" s="64"/>
    </row>
    <row r="90" spans="2:36" hidden="1" outlineLevel="1" x14ac:dyDescent="0.25">
      <c r="B90" s="229" t="s">
        <v>195</v>
      </c>
      <c r="C90" s="229" t="s">
        <v>195</v>
      </c>
      <c r="E90" s="78" t="s">
        <v>38</v>
      </c>
      <c r="F90" s="21">
        <f t="shared" ref="F90:H90" si="174">F138</f>
        <v>0</v>
      </c>
      <c r="G90" s="21">
        <f t="shared" si="174"/>
        <v>0</v>
      </c>
      <c r="H90" s="21">
        <f t="shared" si="174"/>
        <v>0</v>
      </c>
      <c r="I90" s="10">
        <f t="shared" ref="I90:L90" si="175">IF(X90="",I138,X90)</f>
        <v>0</v>
      </c>
      <c r="J90" s="10">
        <f t="shared" si="175"/>
        <v>0</v>
      </c>
      <c r="K90" s="10">
        <f t="shared" si="175"/>
        <v>0</v>
      </c>
      <c r="L90" s="10">
        <f t="shared" si="175"/>
        <v>0</v>
      </c>
      <c r="M90" s="17">
        <f t="shared" si="153"/>
        <v>0</v>
      </c>
      <c r="N90" s="10">
        <f t="shared" ref="N90:Q90" si="176">IF(AC90="",N138,AC90)</f>
        <v>0</v>
      </c>
      <c r="O90" s="10">
        <f t="shared" si="176"/>
        <v>0</v>
      </c>
      <c r="P90" s="10">
        <f t="shared" si="176"/>
        <v>0</v>
      </c>
      <c r="Q90" s="10">
        <f t="shared" si="176"/>
        <v>0</v>
      </c>
      <c r="R90" s="22">
        <f t="shared" si="155"/>
        <v>0</v>
      </c>
      <c r="S90" s="23">
        <f t="shared" ref="S90:U90" si="177">IF(AH90="",S138,AH90)</f>
        <v>0</v>
      </c>
      <c r="T90" s="23">
        <f t="shared" si="177"/>
        <v>0</v>
      </c>
      <c r="U90" s="23">
        <f t="shared" si="177"/>
        <v>0</v>
      </c>
      <c r="W90" s="78" t="str">
        <f t="shared" si="157"/>
        <v>HR</v>
      </c>
      <c r="X90" s="64"/>
      <c r="Y90" s="64"/>
      <c r="Z90" s="64"/>
      <c r="AA90" s="64"/>
      <c r="AB90" s="60"/>
      <c r="AC90" s="64"/>
      <c r="AD90" s="64"/>
      <c r="AE90" s="64"/>
      <c r="AF90" s="64"/>
      <c r="AG90" s="60"/>
      <c r="AH90" s="64"/>
      <c r="AI90" s="64"/>
      <c r="AJ90" s="64"/>
    </row>
    <row r="91" spans="2:36" hidden="1" outlineLevel="1" x14ac:dyDescent="0.25">
      <c r="B91" s="229" t="s">
        <v>195</v>
      </c>
      <c r="C91" s="229" t="s">
        <v>195</v>
      </c>
      <c r="E91" s="78" t="s">
        <v>39</v>
      </c>
      <c r="F91" s="21">
        <f t="shared" ref="F91:H91" si="178">F139</f>
        <v>0</v>
      </c>
      <c r="G91" s="21">
        <f t="shared" si="178"/>
        <v>0</v>
      </c>
      <c r="H91" s="21">
        <f t="shared" si="178"/>
        <v>0</v>
      </c>
      <c r="I91" s="10">
        <f t="shared" ref="I91:L91" si="179">IF(X91="",I139,X91)</f>
        <v>0</v>
      </c>
      <c r="J91" s="10">
        <f t="shared" si="179"/>
        <v>0</v>
      </c>
      <c r="K91" s="10">
        <f t="shared" si="179"/>
        <v>0</v>
      </c>
      <c r="L91" s="10">
        <f t="shared" si="179"/>
        <v>0</v>
      </c>
      <c r="M91" s="17">
        <f t="shared" si="153"/>
        <v>0</v>
      </c>
      <c r="N91" s="10">
        <f t="shared" ref="N91:Q91" si="180">IF(AC91="",N139,AC91)</f>
        <v>0</v>
      </c>
      <c r="O91" s="10">
        <f t="shared" si="180"/>
        <v>0</v>
      </c>
      <c r="P91" s="10">
        <f t="shared" si="180"/>
        <v>0</v>
      </c>
      <c r="Q91" s="10">
        <f t="shared" si="180"/>
        <v>0</v>
      </c>
      <c r="R91" s="22">
        <f t="shared" si="155"/>
        <v>0</v>
      </c>
      <c r="S91" s="23">
        <f t="shared" ref="S91:U91" si="181">IF(AH91="",S139,AH91)</f>
        <v>0</v>
      </c>
      <c r="T91" s="23">
        <f t="shared" si="181"/>
        <v>0</v>
      </c>
      <c r="U91" s="23">
        <f t="shared" si="181"/>
        <v>0</v>
      </c>
      <c r="W91" s="78" t="str">
        <f t="shared" si="157"/>
        <v>Global IT</v>
      </c>
      <c r="X91" s="64"/>
      <c r="Y91" s="64"/>
      <c r="Z91" s="64"/>
      <c r="AA91" s="64"/>
      <c r="AB91" s="60"/>
      <c r="AC91" s="64"/>
      <c r="AD91" s="64"/>
      <c r="AE91" s="64"/>
      <c r="AF91" s="64"/>
      <c r="AG91" s="60"/>
      <c r="AH91" s="64"/>
      <c r="AI91" s="64"/>
      <c r="AJ91" s="64"/>
    </row>
    <row r="92" spans="2:36" hidden="1" outlineLevel="1" x14ac:dyDescent="0.25">
      <c r="B92" s="229" t="s">
        <v>195</v>
      </c>
      <c r="C92" s="229" t="s">
        <v>195</v>
      </c>
      <c r="E92" s="78" t="s">
        <v>29</v>
      </c>
      <c r="F92" s="21">
        <f t="shared" ref="F92:H92" si="182">F140</f>
        <v>0</v>
      </c>
      <c r="G92" s="21">
        <f t="shared" si="182"/>
        <v>0</v>
      </c>
      <c r="H92" s="21">
        <f t="shared" si="182"/>
        <v>0</v>
      </c>
      <c r="I92" s="10">
        <f t="shared" ref="I92:L92" si="183">IF(X92="",I140,X92)</f>
        <v>0</v>
      </c>
      <c r="J92" s="10">
        <f t="shared" si="183"/>
        <v>0</v>
      </c>
      <c r="K92" s="10">
        <f t="shared" si="183"/>
        <v>0</v>
      </c>
      <c r="L92" s="10">
        <f t="shared" si="183"/>
        <v>0</v>
      </c>
      <c r="M92" s="17">
        <f t="shared" si="153"/>
        <v>0</v>
      </c>
      <c r="N92" s="10">
        <f t="shared" ref="N92:Q92" si="184">IF(AC92="",N140,AC92)</f>
        <v>0</v>
      </c>
      <c r="O92" s="10">
        <f t="shared" si="184"/>
        <v>0</v>
      </c>
      <c r="P92" s="10">
        <f t="shared" si="184"/>
        <v>0</v>
      </c>
      <c r="Q92" s="10">
        <f t="shared" si="184"/>
        <v>0</v>
      </c>
      <c r="R92" s="22">
        <f t="shared" si="155"/>
        <v>0</v>
      </c>
      <c r="S92" s="23">
        <f t="shared" ref="S92:U92" si="185">IF(AH92="",S140,AH92)</f>
        <v>0</v>
      </c>
      <c r="T92" s="23">
        <f t="shared" si="185"/>
        <v>0</v>
      </c>
      <c r="U92" s="23">
        <f t="shared" si="185"/>
        <v>0</v>
      </c>
      <c r="W92" s="78" t="str">
        <f t="shared" si="157"/>
        <v>All other Period Expenses</v>
      </c>
      <c r="X92" s="64"/>
      <c r="Y92" s="64"/>
      <c r="Z92" s="64"/>
      <c r="AA92" s="64"/>
      <c r="AB92" s="60"/>
      <c r="AC92" s="64"/>
      <c r="AD92" s="64"/>
      <c r="AE92" s="64"/>
      <c r="AF92" s="64"/>
      <c r="AG92" s="60"/>
      <c r="AH92" s="64"/>
      <c r="AI92" s="64"/>
      <c r="AJ92" s="64"/>
    </row>
    <row r="93" spans="2:36" hidden="1" outlineLevel="1" x14ac:dyDescent="0.25">
      <c r="B93" s="229" t="s">
        <v>195</v>
      </c>
      <c r="C93" s="229" t="s">
        <v>195</v>
      </c>
      <c r="E93" s="78" t="s">
        <v>80</v>
      </c>
      <c r="F93" s="21">
        <f t="shared" ref="F93:H93" si="186">F141</f>
        <v>0</v>
      </c>
      <c r="G93" s="21">
        <f t="shared" si="186"/>
        <v>0</v>
      </c>
      <c r="H93" s="21">
        <f t="shared" si="186"/>
        <v>0</v>
      </c>
      <c r="I93" s="10">
        <f t="shared" ref="I93:L93" si="187">IF(X93="",I141,X93)</f>
        <v>0</v>
      </c>
      <c r="J93" s="10">
        <f t="shared" si="187"/>
        <v>0</v>
      </c>
      <c r="K93" s="10">
        <f t="shared" si="187"/>
        <v>0</v>
      </c>
      <c r="L93" s="10">
        <f t="shared" si="187"/>
        <v>0</v>
      </c>
      <c r="M93" s="17">
        <f t="shared" si="153"/>
        <v>0</v>
      </c>
      <c r="N93" s="10">
        <f t="shared" ref="N93:Q93" si="188">IF(AC93="",N141,AC93)</f>
        <v>0</v>
      </c>
      <c r="O93" s="10">
        <f t="shared" si="188"/>
        <v>0</v>
      </c>
      <c r="P93" s="10">
        <f t="shared" si="188"/>
        <v>0</v>
      </c>
      <c r="Q93" s="10">
        <f t="shared" si="188"/>
        <v>0</v>
      </c>
      <c r="R93" s="22">
        <f t="shared" si="155"/>
        <v>0</v>
      </c>
      <c r="S93" s="23">
        <f t="shared" ref="S93:U93" si="189">IF(AH93="",S141,AH93)</f>
        <v>0</v>
      </c>
      <c r="T93" s="23">
        <f t="shared" si="189"/>
        <v>0</v>
      </c>
      <c r="U93" s="23">
        <f t="shared" si="189"/>
        <v>0</v>
      </c>
      <c r="W93" s="78" t="str">
        <f t="shared" si="157"/>
        <v>Blank</v>
      </c>
      <c r="X93" s="64"/>
      <c r="Y93" s="64"/>
      <c r="Z93" s="64"/>
      <c r="AA93" s="64"/>
      <c r="AB93" s="60"/>
      <c r="AC93" s="64"/>
      <c r="AD93" s="64"/>
      <c r="AE93" s="64"/>
      <c r="AF93" s="64"/>
      <c r="AG93" s="60"/>
      <c r="AH93" s="64"/>
      <c r="AI93" s="64"/>
      <c r="AJ93" s="64"/>
    </row>
    <row r="94" spans="2:36" hidden="1" outlineLevel="1" x14ac:dyDescent="0.25">
      <c r="B94" s="229" t="s">
        <v>195</v>
      </c>
      <c r="C94" s="229" t="s">
        <v>195</v>
      </c>
      <c r="E94" s="78" t="s">
        <v>80</v>
      </c>
      <c r="F94" s="21">
        <f t="shared" ref="F94:H94" si="190">F142</f>
        <v>0</v>
      </c>
      <c r="G94" s="21">
        <f t="shared" si="190"/>
        <v>0</v>
      </c>
      <c r="H94" s="21">
        <f t="shared" si="190"/>
        <v>0</v>
      </c>
      <c r="I94" s="10">
        <f t="shared" ref="I94:L94" si="191">IF(X94="",I142,X94)</f>
        <v>0</v>
      </c>
      <c r="J94" s="10">
        <f t="shared" si="191"/>
        <v>0</v>
      </c>
      <c r="K94" s="10">
        <f t="shared" si="191"/>
        <v>0</v>
      </c>
      <c r="L94" s="10">
        <f t="shared" si="191"/>
        <v>0</v>
      </c>
      <c r="M94" s="17">
        <f t="shared" si="153"/>
        <v>0</v>
      </c>
      <c r="N94" s="10">
        <f t="shared" ref="N94:Q94" si="192">IF(AC94="",N142,AC94)</f>
        <v>0</v>
      </c>
      <c r="O94" s="10">
        <f t="shared" si="192"/>
        <v>0</v>
      </c>
      <c r="P94" s="10">
        <f t="shared" si="192"/>
        <v>0</v>
      </c>
      <c r="Q94" s="10">
        <f t="shared" si="192"/>
        <v>0</v>
      </c>
      <c r="R94" s="22">
        <f t="shared" si="155"/>
        <v>0</v>
      </c>
      <c r="S94" s="23">
        <f t="shared" ref="S94:U94" si="193">IF(AH94="",S142,AH94)</f>
        <v>0</v>
      </c>
      <c r="T94" s="23">
        <f t="shared" si="193"/>
        <v>0</v>
      </c>
      <c r="U94" s="23">
        <f t="shared" si="193"/>
        <v>0</v>
      </c>
      <c r="W94" s="78" t="str">
        <f t="shared" si="157"/>
        <v>Blank</v>
      </c>
      <c r="X94" s="64"/>
      <c r="Y94" s="64"/>
      <c r="Z94" s="64"/>
      <c r="AA94" s="64"/>
      <c r="AB94" s="60"/>
      <c r="AC94" s="64"/>
      <c r="AD94" s="64"/>
      <c r="AE94" s="64"/>
      <c r="AF94" s="64"/>
      <c r="AG94" s="60"/>
      <c r="AH94" s="64"/>
      <c r="AI94" s="64"/>
      <c r="AJ94" s="64"/>
    </row>
    <row r="95" spans="2:36" ht="15.75" hidden="1" outlineLevel="1" thickBot="1" x14ac:dyDescent="0.3">
      <c r="E95" s="8" t="s">
        <v>27</v>
      </c>
      <c r="F95" s="9">
        <f t="shared" ref="F95:H95" si="194">SUM(F84:F94)</f>
        <v>0</v>
      </c>
      <c r="G95" s="9">
        <f t="shared" si="194"/>
        <v>0</v>
      </c>
      <c r="H95" s="9">
        <f t="shared" si="194"/>
        <v>0</v>
      </c>
      <c r="I95" s="11">
        <f>SUM(I84:I94)</f>
        <v>0</v>
      </c>
      <c r="J95" s="11">
        <f t="shared" ref="J95:U95" si="195">SUM(J84:J94)</f>
        <v>0</v>
      </c>
      <c r="K95" s="11">
        <f t="shared" si="195"/>
        <v>0</v>
      </c>
      <c r="L95" s="11">
        <f t="shared" si="195"/>
        <v>0</v>
      </c>
      <c r="M95" s="18">
        <f t="shared" si="195"/>
        <v>0</v>
      </c>
      <c r="N95" s="11">
        <f t="shared" si="195"/>
        <v>0</v>
      </c>
      <c r="O95" s="11">
        <f t="shared" si="195"/>
        <v>0</v>
      </c>
      <c r="P95" s="11">
        <f t="shared" si="195"/>
        <v>0</v>
      </c>
      <c r="Q95" s="11">
        <f t="shared" si="195"/>
        <v>0</v>
      </c>
      <c r="R95" s="19">
        <f t="shared" si="195"/>
        <v>0</v>
      </c>
      <c r="S95" s="20">
        <f t="shared" si="195"/>
        <v>0</v>
      </c>
      <c r="T95" s="20">
        <f t="shared" si="195"/>
        <v>0</v>
      </c>
      <c r="U95" s="20">
        <f t="shared" si="195"/>
        <v>0</v>
      </c>
    </row>
    <row r="96" spans="2:36" ht="15.75" hidden="1" outlineLevel="1" thickTop="1" x14ac:dyDescent="0.25"/>
    <row r="97" spans="2:36" hidden="1" outlineLevel="1" x14ac:dyDescent="0.25"/>
    <row r="98" spans="2:36" hidden="1" outlineLevel="1" x14ac:dyDescent="0.25"/>
    <row r="99" spans="2:36" ht="18.75" collapsed="1" x14ac:dyDescent="0.3">
      <c r="B99" s="4" t="s">
        <v>34</v>
      </c>
      <c r="C99" s="4" t="s">
        <v>387</v>
      </c>
      <c r="E99" s="53" t="str">
        <f>"Scenario 5: "&amp;Inputs!B26</f>
        <v>Scenario 5: Scenario 5</v>
      </c>
      <c r="F99" s="49"/>
      <c r="G99" s="49"/>
      <c r="H99" s="49"/>
      <c r="I99" s="49"/>
      <c r="J99" s="49"/>
      <c r="K99" s="49"/>
      <c r="L99" s="49"/>
      <c r="M99" s="49"/>
      <c r="N99" s="49"/>
      <c r="O99" s="49"/>
      <c r="P99" s="49"/>
      <c r="Q99" s="49"/>
      <c r="R99" s="49"/>
      <c r="S99" s="49"/>
      <c r="T99" s="49"/>
      <c r="U99" s="49"/>
    </row>
    <row r="100" spans="2:36" hidden="1" outlineLevel="1" x14ac:dyDescent="0.25">
      <c r="E100" s="52" t="str">
        <f>Inputs!C26</f>
        <v>Scenario 5 Description</v>
      </c>
    </row>
    <row r="101" spans="2:36" hidden="1" outlineLevel="1" x14ac:dyDescent="0.25"/>
    <row r="102" spans="2:36" hidden="1" outlineLevel="1" x14ac:dyDescent="0.25"/>
    <row r="103" spans="2:36" hidden="1" outlineLevel="1" x14ac:dyDescent="0.25">
      <c r="E103" s="4" t="s">
        <v>81</v>
      </c>
      <c r="W103" s="4" t="s">
        <v>81</v>
      </c>
    </row>
    <row r="104" spans="2:36" hidden="1" outlineLevel="1" x14ac:dyDescent="0.25">
      <c r="E104" t="s">
        <v>25</v>
      </c>
      <c r="W104" t="s">
        <v>25</v>
      </c>
    </row>
    <row r="105" spans="2:36" hidden="1" outlineLevel="1" x14ac:dyDescent="0.25"/>
    <row r="106" spans="2:36" hidden="1" outlineLevel="1" x14ac:dyDescent="0.25">
      <c r="F106" s="12">
        <f>Inputs!$C$7</f>
        <v>2023</v>
      </c>
      <c r="G106" s="12">
        <f>Inputs!$C$8</f>
        <v>2024</v>
      </c>
      <c r="H106" s="12">
        <f>Inputs!$C$9</f>
        <v>2025</v>
      </c>
      <c r="I106" s="13" t="s">
        <v>1</v>
      </c>
      <c r="J106" s="13" t="s">
        <v>2</v>
      </c>
      <c r="K106" s="13" t="s">
        <v>3</v>
      </c>
      <c r="L106" s="13" t="s">
        <v>4</v>
      </c>
      <c r="M106" s="13">
        <f>Inputs!$C$10</f>
        <v>2026</v>
      </c>
      <c r="N106" s="14" t="s">
        <v>1</v>
      </c>
      <c r="O106" s="14" t="s">
        <v>2</v>
      </c>
      <c r="P106" s="14" t="s">
        <v>3</v>
      </c>
      <c r="Q106" s="14" t="s">
        <v>4</v>
      </c>
      <c r="R106" s="15">
        <f>Inputs!$C$11</f>
        <v>2027</v>
      </c>
      <c r="S106" s="16">
        <f>Inputs!$C$12</f>
        <v>2028</v>
      </c>
      <c r="T106" s="16">
        <f>Inputs!$C$13</f>
        <v>2029</v>
      </c>
      <c r="U106" s="16">
        <f>Inputs!$C$14</f>
        <v>2030</v>
      </c>
      <c r="X106" s="13" t="s">
        <v>1</v>
      </c>
      <c r="Y106" s="13" t="s">
        <v>2</v>
      </c>
      <c r="Z106" s="13" t="s">
        <v>3</v>
      </c>
      <c r="AA106" s="13" t="s">
        <v>4</v>
      </c>
      <c r="AB106" s="13">
        <f>Inputs!$C$10</f>
        <v>2026</v>
      </c>
      <c r="AC106" s="14" t="s">
        <v>1</v>
      </c>
      <c r="AD106" s="14" t="s">
        <v>2</v>
      </c>
      <c r="AE106" s="14" t="s">
        <v>3</v>
      </c>
      <c r="AF106" s="14" t="s">
        <v>4</v>
      </c>
      <c r="AG106" s="15">
        <f>Inputs!$C$11</f>
        <v>2027</v>
      </c>
      <c r="AH106" s="16">
        <f>Inputs!$C$12</f>
        <v>2028</v>
      </c>
      <c r="AI106" s="16">
        <f>Inputs!$C$13</f>
        <v>2029</v>
      </c>
      <c r="AJ106" s="16">
        <f>Inputs!$C$14</f>
        <v>2030</v>
      </c>
    </row>
    <row r="107" spans="2:36" hidden="1" outlineLevel="1" x14ac:dyDescent="0.25">
      <c r="F107" s="71" t="s">
        <v>63</v>
      </c>
      <c r="G107" s="71" t="s">
        <v>63</v>
      </c>
      <c r="H107" s="71" t="s">
        <v>63</v>
      </c>
      <c r="I107" s="71" t="s">
        <v>63</v>
      </c>
      <c r="J107" s="71" t="s">
        <v>63</v>
      </c>
      <c r="K107" s="71" t="s">
        <v>63</v>
      </c>
      <c r="L107" s="71" t="s">
        <v>63</v>
      </c>
      <c r="M107" s="71" t="s">
        <v>63</v>
      </c>
      <c r="N107" s="71" t="s">
        <v>63</v>
      </c>
      <c r="O107" s="71" t="s">
        <v>63</v>
      </c>
      <c r="P107" s="71" t="s">
        <v>63</v>
      </c>
      <c r="Q107" s="71" t="s">
        <v>63</v>
      </c>
      <c r="R107" s="71" t="s">
        <v>63</v>
      </c>
      <c r="S107" s="71" t="s">
        <v>63</v>
      </c>
      <c r="T107" s="71" t="s">
        <v>63</v>
      </c>
      <c r="U107" s="71" t="s">
        <v>63</v>
      </c>
      <c r="X107" s="63" t="s">
        <v>30</v>
      </c>
      <c r="Y107" s="63" t="s">
        <v>30</v>
      </c>
      <c r="Z107" s="63" t="s">
        <v>30</v>
      </c>
      <c r="AA107" s="63" t="s">
        <v>30</v>
      </c>
      <c r="AB107" s="62"/>
      <c r="AC107" s="63" t="s">
        <v>30</v>
      </c>
      <c r="AD107" s="63" t="s">
        <v>30</v>
      </c>
      <c r="AE107" s="63" t="s">
        <v>30</v>
      </c>
      <c r="AF107" s="63" t="s">
        <v>30</v>
      </c>
      <c r="AG107" s="62"/>
      <c r="AH107" s="63" t="s">
        <v>30</v>
      </c>
      <c r="AI107" s="63" t="s">
        <v>30</v>
      </c>
      <c r="AJ107" s="63" t="s">
        <v>30</v>
      </c>
    </row>
    <row r="108" spans="2:36" hidden="1" outlineLevel="1" x14ac:dyDescent="0.25">
      <c r="B108" s="229" t="s">
        <v>195</v>
      </c>
      <c r="C108" s="229" t="s">
        <v>195</v>
      </c>
      <c r="E108" s="78" t="s">
        <v>12</v>
      </c>
      <c r="F108" s="21">
        <f>F132</f>
        <v>0</v>
      </c>
      <c r="G108" s="21">
        <f t="shared" ref="G108:H108" si="196">G132</f>
        <v>0</v>
      </c>
      <c r="H108" s="21">
        <f t="shared" si="196"/>
        <v>0</v>
      </c>
      <c r="I108" s="10">
        <f>IF(X108="",I132,X108)</f>
        <v>0</v>
      </c>
      <c r="J108" s="10">
        <f t="shared" ref="J108:L108" si="197">IF(Y108="",J132,Y108)</f>
        <v>0</v>
      </c>
      <c r="K108" s="10">
        <f t="shared" si="197"/>
        <v>0</v>
      </c>
      <c r="L108" s="10">
        <f t="shared" si="197"/>
        <v>0</v>
      </c>
      <c r="M108" s="17">
        <f>SUM(I108:L108)</f>
        <v>0</v>
      </c>
      <c r="N108" s="10">
        <f t="shared" ref="N108:Q108" si="198">IF(AC108="",N132,AC108)</f>
        <v>0</v>
      </c>
      <c r="O108" s="10">
        <f t="shared" si="198"/>
        <v>0</v>
      </c>
      <c r="P108" s="10">
        <f t="shared" si="198"/>
        <v>0</v>
      </c>
      <c r="Q108" s="10">
        <f t="shared" si="198"/>
        <v>0</v>
      </c>
      <c r="R108" s="22">
        <f>SUM(N108:Q108)</f>
        <v>0</v>
      </c>
      <c r="S108" s="23">
        <f t="shared" ref="S108:U108" si="199">IF(AH108="",S132,AH108)</f>
        <v>0</v>
      </c>
      <c r="T108" s="23">
        <f t="shared" si="199"/>
        <v>0</v>
      </c>
      <c r="U108" s="23">
        <f t="shared" si="199"/>
        <v>0</v>
      </c>
      <c r="W108" s="78" t="str">
        <f>E108</f>
        <v>R&amp;D</v>
      </c>
      <c r="X108" s="64"/>
      <c r="Y108" s="64"/>
      <c r="Z108" s="64"/>
      <c r="AA108" s="64"/>
      <c r="AB108" s="60"/>
      <c r="AC108" s="64"/>
      <c r="AD108" s="64"/>
      <c r="AE108" s="64"/>
      <c r="AF108" s="64"/>
      <c r="AG108" s="60"/>
      <c r="AH108" s="64"/>
      <c r="AI108" s="64"/>
      <c r="AJ108" s="64"/>
    </row>
    <row r="109" spans="2:36" hidden="1" outlineLevel="1" x14ac:dyDescent="0.25">
      <c r="B109" s="229" t="s">
        <v>195</v>
      </c>
      <c r="C109" s="229" t="s">
        <v>195</v>
      </c>
      <c r="E109" s="78" t="s">
        <v>78</v>
      </c>
      <c r="F109" s="21">
        <f t="shared" ref="F109:H109" si="200">F133</f>
        <v>0</v>
      </c>
      <c r="G109" s="21">
        <f t="shared" si="200"/>
        <v>0</v>
      </c>
      <c r="H109" s="21">
        <f t="shared" si="200"/>
        <v>0</v>
      </c>
      <c r="I109" s="10">
        <f t="shared" ref="I109:L109" si="201">IF(X109="",I133,X109)</f>
        <v>0</v>
      </c>
      <c r="J109" s="10">
        <f t="shared" si="201"/>
        <v>0</v>
      </c>
      <c r="K109" s="10">
        <f t="shared" si="201"/>
        <v>0</v>
      </c>
      <c r="L109" s="10">
        <f t="shared" si="201"/>
        <v>0</v>
      </c>
      <c r="M109" s="17">
        <f t="shared" ref="M109:M118" si="202">SUM(I109:L109)</f>
        <v>0</v>
      </c>
      <c r="N109" s="10">
        <f t="shared" ref="N109:Q109" si="203">IF(AC109="",N133,AC109)</f>
        <v>0</v>
      </c>
      <c r="O109" s="10">
        <f t="shared" si="203"/>
        <v>0</v>
      </c>
      <c r="P109" s="10">
        <f t="shared" si="203"/>
        <v>0</v>
      </c>
      <c r="Q109" s="10">
        <f t="shared" si="203"/>
        <v>0</v>
      </c>
      <c r="R109" s="22">
        <f t="shared" ref="R109:R118" si="204">SUM(N109:Q109)</f>
        <v>0</v>
      </c>
      <c r="S109" s="23">
        <f t="shared" ref="S109:U109" si="205">IF(AH109="",S133,AH109)</f>
        <v>0</v>
      </c>
      <c r="T109" s="23">
        <f t="shared" si="205"/>
        <v>0</v>
      </c>
      <c r="U109" s="23">
        <f t="shared" si="205"/>
        <v>0</v>
      </c>
      <c r="W109" s="78" t="str">
        <f t="shared" ref="W109:W118" si="206">E109</f>
        <v>Marketing</v>
      </c>
      <c r="X109" s="64"/>
      <c r="Y109" s="64"/>
      <c r="Z109" s="64"/>
      <c r="AA109" s="64"/>
      <c r="AB109" s="60"/>
      <c r="AC109" s="64"/>
      <c r="AD109" s="64"/>
      <c r="AE109" s="64"/>
      <c r="AF109" s="64"/>
      <c r="AG109" s="60"/>
      <c r="AH109" s="64"/>
      <c r="AI109" s="64"/>
      <c r="AJ109" s="64"/>
    </row>
    <row r="110" spans="2:36" hidden="1" outlineLevel="1" x14ac:dyDescent="0.25">
      <c r="B110" s="229" t="s">
        <v>195</v>
      </c>
      <c r="C110" s="229" t="s">
        <v>195</v>
      </c>
      <c r="E110" s="78" t="s">
        <v>79</v>
      </c>
      <c r="F110" s="21">
        <f t="shared" ref="F110:H110" si="207">F134</f>
        <v>0</v>
      </c>
      <c r="G110" s="21">
        <f t="shared" si="207"/>
        <v>0</v>
      </c>
      <c r="H110" s="21">
        <f t="shared" si="207"/>
        <v>0</v>
      </c>
      <c r="I110" s="10">
        <f t="shared" ref="I110:L110" si="208">IF(X110="",I134,X110)</f>
        <v>0</v>
      </c>
      <c r="J110" s="10">
        <f t="shared" si="208"/>
        <v>0</v>
      </c>
      <c r="K110" s="10">
        <f t="shared" si="208"/>
        <v>0</v>
      </c>
      <c r="L110" s="10">
        <f t="shared" si="208"/>
        <v>0</v>
      </c>
      <c r="M110" s="17">
        <f t="shared" si="202"/>
        <v>0</v>
      </c>
      <c r="N110" s="10">
        <f t="shared" ref="N110:Q110" si="209">IF(AC110="",N134,AC110)</f>
        <v>0</v>
      </c>
      <c r="O110" s="10">
        <f t="shared" si="209"/>
        <v>0</v>
      </c>
      <c r="P110" s="10">
        <f t="shared" si="209"/>
        <v>0</v>
      </c>
      <c r="Q110" s="10">
        <f t="shared" si="209"/>
        <v>0</v>
      </c>
      <c r="R110" s="22">
        <f t="shared" si="204"/>
        <v>0</v>
      </c>
      <c r="S110" s="23">
        <f t="shared" ref="S110:U110" si="210">IF(AH110="",S134,AH110)</f>
        <v>0</v>
      </c>
      <c r="T110" s="23">
        <f t="shared" si="210"/>
        <v>0</v>
      </c>
      <c r="U110" s="23">
        <f t="shared" si="210"/>
        <v>0</v>
      </c>
      <c r="W110" s="78" t="str">
        <f t="shared" si="206"/>
        <v>Sales</v>
      </c>
      <c r="X110" s="64"/>
      <c r="Y110" s="64"/>
      <c r="Z110" s="64"/>
      <c r="AA110" s="64"/>
      <c r="AB110" s="60"/>
      <c r="AC110" s="64"/>
      <c r="AD110" s="64"/>
      <c r="AE110" s="64"/>
      <c r="AF110" s="64"/>
      <c r="AG110" s="60"/>
      <c r="AH110" s="64"/>
      <c r="AI110" s="64"/>
      <c r="AJ110" s="64"/>
    </row>
    <row r="111" spans="2:36" hidden="1" outlineLevel="1" x14ac:dyDescent="0.25">
      <c r="B111" s="229" t="s">
        <v>195</v>
      </c>
      <c r="C111" s="229" t="s">
        <v>195</v>
      </c>
      <c r="E111" s="78" t="s">
        <v>14</v>
      </c>
      <c r="F111" s="21">
        <f t="shared" ref="F111:H111" si="211">F135</f>
        <v>0</v>
      </c>
      <c r="G111" s="21">
        <f t="shared" si="211"/>
        <v>0</v>
      </c>
      <c r="H111" s="21">
        <f t="shared" si="211"/>
        <v>0</v>
      </c>
      <c r="I111" s="10">
        <f t="shared" ref="I111:L111" si="212">IF(X111="",I135,X111)</f>
        <v>0</v>
      </c>
      <c r="J111" s="10">
        <f t="shared" si="212"/>
        <v>0</v>
      </c>
      <c r="K111" s="10">
        <f t="shared" si="212"/>
        <v>0</v>
      </c>
      <c r="L111" s="10">
        <f t="shared" si="212"/>
        <v>0</v>
      </c>
      <c r="M111" s="17">
        <f t="shared" si="202"/>
        <v>0</v>
      </c>
      <c r="N111" s="10">
        <f t="shared" ref="N111:Q111" si="213">IF(AC111="",N135,AC111)</f>
        <v>0</v>
      </c>
      <c r="O111" s="10">
        <f t="shared" si="213"/>
        <v>0</v>
      </c>
      <c r="P111" s="10">
        <f t="shared" si="213"/>
        <v>0</v>
      </c>
      <c r="Q111" s="10">
        <f t="shared" si="213"/>
        <v>0</v>
      </c>
      <c r="R111" s="22">
        <f t="shared" si="204"/>
        <v>0</v>
      </c>
      <c r="S111" s="23">
        <f t="shared" ref="S111:U111" si="214">IF(AH111="",S135,AH111)</f>
        <v>0</v>
      </c>
      <c r="T111" s="23">
        <f t="shared" si="214"/>
        <v>0</v>
      </c>
      <c r="U111" s="23">
        <f t="shared" si="214"/>
        <v>0</v>
      </c>
      <c r="W111" s="78" t="str">
        <f t="shared" si="206"/>
        <v>G&amp;A</v>
      </c>
      <c r="X111" s="64"/>
      <c r="Y111" s="64"/>
      <c r="Z111" s="64"/>
      <c r="AA111" s="64"/>
      <c r="AB111" s="60"/>
      <c r="AC111" s="64"/>
      <c r="AD111" s="64"/>
      <c r="AE111" s="64"/>
      <c r="AF111" s="64"/>
      <c r="AG111" s="60"/>
      <c r="AH111" s="64"/>
      <c r="AI111" s="64"/>
      <c r="AJ111" s="64"/>
    </row>
    <row r="112" spans="2:36" hidden="1" outlineLevel="1" x14ac:dyDescent="0.25">
      <c r="B112" s="229" t="s">
        <v>195</v>
      </c>
      <c r="C112" s="229" t="s">
        <v>195</v>
      </c>
      <c r="E112" s="78" t="s">
        <v>36</v>
      </c>
      <c r="F112" s="21">
        <f t="shared" ref="F112:H112" si="215">F136</f>
        <v>0</v>
      </c>
      <c r="G112" s="21">
        <f t="shared" si="215"/>
        <v>0</v>
      </c>
      <c r="H112" s="21">
        <f t="shared" si="215"/>
        <v>0</v>
      </c>
      <c r="I112" s="10">
        <f t="shared" ref="I112:L112" si="216">IF(X112="",I136,X112)</f>
        <v>0</v>
      </c>
      <c r="J112" s="10">
        <f t="shared" si="216"/>
        <v>0</v>
      </c>
      <c r="K112" s="10">
        <f t="shared" si="216"/>
        <v>0</v>
      </c>
      <c r="L112" s="10">
        <f t="shared" si="216"/>
        <v>0</v>
      </c>
      <c r="M112" s="17">
        <f t="shared" si="202"/>
        <v>0</v>
      </c>
      <c r="N112" s="10">
        <f t="shared" ref="N112:Q112" si="217">IF(AC112="",N136,AC112)</f>
        <v>0</v>
      </c>
      <c r="O112" s="10">
        <f t="shared" si="217"/>
        <v>0</v>
      </c>
      <c r="P112" s="10">
        <f t="shared" si="217"/>
        <v>0</v>
      </c>
      <c r="Q112" s="10">
        <f t="shared" si="217"/>
        <v>0</v>
      </c>
      <c r="R112" s="22">
        <f t="shared" si="204"/>
        <v>0</v>
      </c>
      <c r="S112" s="23">
        <f t="shared" ref="S112:U112" si="218">IF(AH112="",S136,AH112)</f>
        <v>0</v>
      </c>
      <c r="T112" s="23">
        <f t="shared" si="218"/>
        <v>0</v>
      </c>
      <c r="U112" s="23">
        <f t="shared" si="218"/>
        <v>0</v>
      </c>
      <c r="W112" s="78" t="str">
        <f t="shared" si="206"/>
        <v>Finance</v>
      </c>
      <c r="X112" s="64"/>
      <c r="Y112" s="64"/>
      <c r="Z112" s="64"/>
      <c r="AA112" s="64"/>
      <c r="AB112" s="60"/>
      <c r="AC112" s="64"/>
      <c r="AD112" s="64"/>
      <c r="AE112" s="64"/>
      <c r="AF112" s="64"/>
      <c r="AG112" s="60"/>
      <c r="AH112" s="64"/>
      <c r="AI112" s="64"/>
      <c r="AJ112" s="64"/>
    </row>
    <row r="113" spans="2:36" hidden="1" outlineLevel="1" x14ac:dyDescent="0.25">
      <c r="B113" s="229" t="s">
        <v>195</v>
      </c>
      <c r="C113" s="229" t="s">
        <v>195</v>
      </c>
      <c r="E113" s="78" t="s">
        <v>37</v>
      </c>
      <c r="F113" s="21">
        <f t="shared" ref="F113:H113" si="219">F137</f>
        <v>0</v>
      </c>
      <c r="G113" s="21">
        <f t="shared" si="219"/>
        <v>0</v>
      </c>
      <c r="H113" s="21">
        <f t="shared" si="219"/>
        <v>0</v>
      </c>
      <c r="I113" s="10">
        <f t="shared" ref="I113:L113" si="220">IF(X113="",I137,X113)</f>
        <v>0</v>
      </c>
      <c r="J113" s="10">
        <f t="shared" si="220"/>
        <v>0</v>
      </c>
      <c r="K113" s="10">
        <f t="shared" si="220"/>
        <v>0</v>
      </c>
      <c r="L113" s="10">
        <f t="shared" si="220"/>
        <v>0</v>
      </c>
      <c r="M113" s="17">
        <f t="shared" si="202"/>
        <v>0</v>
      </c>
      <c r="N113" s="10">
        <f t="shared" ref="N113:Q113" si="221">IF(AC113="",N137,AC113)</f>
        <v>0</v>
      </c>
      <c r="O113" s="10">
        <f t="shared" si="221"/>
        <v>0</v>
      </c>
      <c r="P113" s="10">
        <f t="shared" si="221"/>
        <v>0</v>
      </c>
      <c r="Q113" s="10">
        <f t="shared" si="221"/>
        <v>0</v>
      </c>
      <c r="R113" s="22">
        <f t="shared" si="204"/>
        <v>0</v>
      </c>
      <c r="S113" s="23">
        <f t="shared" ref="S113:U113" si="222">IF(AH113="",S137,AH113)</f>
        <v>0</v>
      </c>
      <c r="T113" s="23">
        <f t="shared" si="222"/>
        <v>0</v>
      </c>
      <c r="U113" s="23">
        <f t="shared" si="222"/>
        <v>0</v>
      </c>
      <c r="W113" s="78" t="str">
        <f t="shared" si="206"/>
        <v>IT</v>
      </c>
      <c r="X113" s="64"/>
      <c r="Y113" s="64"/>
      <c r="Z113" s="64"/>
      <c r="AA113" s="64"/>
      <c r="AB113" s="60"/>
      <c r="AC113" s="64"/>
      <c r="AD113" s="64"/>
      <c r="AE113" s="64"/>
      <c r="AF113" s="64"/>
      <c r="AG113" s="60"/>
      <c r="AH113" s="64"/>
      <c r="AI113" s="64"/>
      <c r="AJ113" s="64"/>
    </row>
    <row r="114" spans="2:36" hidden="1" outlineLevel="1" x14ac:dyDescent="0.25">
      <c r="B114" s="229" t="s">
        <v>195</v>
      </c>
      <c r="C114" s="229" t="s">
        <v>195</v>
      </c>
      <c r="E114" s="78" t="s">
        <v>38</v>
      </c>
      <c r="F114" s="21">
        <f t="shared" ref="F114:H114" si="223">F138</f>
        <v>0</v>
      </c>
      <c r="G114" s="21">
        <f t="shared" si="223"/>
        <v>0</v>
      </c>
      <c r="H114" s="21">
        <f t="shared" si="223"/>
        <v>0</v>
      </c>
      <c r="I114" s="10">
        <f t="shared" ref="I114:L114" si="224">IF(X114="",I138,X114)</f>
        <v>0</v>
      </c>
      <c r="J114" s="10">
        <f t="shared" si="224"/>
        <v>0</v>
      </c>
      <c r="K114" s="10">
        <f t="shared" si="224"/>
        <v>0</v>
      </c>
      <c r="L114" s="10">
        <f t="shared" si="224"/>
        <v>0</v>
      </c>
      <c r="M114" s="17">
        <f t="shared" si="202"/>
        <v>0</v>
      </c>
      <c r="N114" s="10">
        <f t="shared" ref="N114:Q114" si="225">IF(AC114="",N138,AC114)</f>
        <v>0</v>
      </c>
      <c r="O114" s="10">
        <f t="shared" si="225"/>
        <v>0</v>
      </c>
      <c r="P114" s="10">
        <f t="shared" si="225"/>
        <v>0</v>
      </c>
      <c r="Q114" s="10">
        <f t="shared" si="225"/>
        <v>0</v>
      </c>
      <c r="R114" s="22">
        <f t="shared" si="204"/>
        <v>0</v>
      </c>
      <c r="S114" s="23">
        <f t="shared" ref="S114:U114" si="226">IF(AH114="",S138,AH114)</f>
        <v>0</v>
      </c>
      <c r="T114" s="23">
        <f t="shared" si="226"/>
        <v>0</v>
      </c>
      <c r="U114" s="23">
        <f t="shared" si="226"/>
        <v>0</v>
      </c>
      <c r="W114" s="78" t="str">
        <f t="shared" si="206"/>
        <v>HR</v>
      </c>
      <c r="X114" s="64"/>
      <c r="Y114" s="64"/>
      <c r="Z114" s="64"/>
      <c r="AA114" s="64"/>
      <c r="AB114" s="60"/>
      <c r="AC114" s="64"/>
      <c r="AD114" s="64"/>
      <c r="AE114" s="64"/>
      <c r="AF114" s="64"/>
      <c r="AG114" s="60"/>
      <c r="AH114" s="64"/>
      <c r="AI114" s="64"/>
      <c r="AJ114" s="64"/>
    </row>
    <row r="115" spans="2:36" hidden="1" outlineLevel="1" x14ac:dyDescent="0.25">
      <c r="B115" s="229" t="s">
        <v>195</v>
      </c>
      <c r="C115" s="229" t="s">
        <v>195</v>
      </c>
      <c r="E115" s="78" t="s">
        <v>39</v>
      </c>
      <c r="F115" s="21">
        <f t="shared" ref="F115:H115" si="227">F139</f>
        <v>0</v>
      </c>
      <c r="G115" s="21">
        <f t="shared" si="227"/>
        <v>0</v>
      </c>
      <c r="H115" s="21">
        <f t="shared" si="227"/>
        <v>0</v>
      </c>
      <c r="I115" s="10">
        <f t="shared" ref="I115:L115" si="228">IF(X115="",I139,X115)</f>
        <v>0</v>
      </c>
      <c r="J115" s="10">
        <f t="shared" si="228"/>
        <v>0</v>
      </c>
      <c r="K115" s="10">
        <f t="shared" si="228"/>
        <v>0</v>
      </c>
      <c r="L115" s="10">
        <f t="shared" si="228"/>
        <v>0</v>
      </c>
      <c r="M115" s="17">
        <f t="shared" si="202"/>
        <v>0</v>
      </c>
      <c r="N115" s="10">
        <f t="shared" ref="N115:Q115" si="229">IF(AC115="",N139,AC115)</f>
        <v>0</v>
      </c>
      <c r="O115" s="10">
        <f t="shared" si="229"/>
        <v>0</v>
      </c>
      <c r="P115" s="10">
        <f t="shared" si="229"/>
        <v>0</v>
      </c>
      <c r="Q115" s="10">
        <f t="shared" si="229"/>
        <v>0</v>
      </c>
      <c r="R115" s="22">
        <f t="shared" si="204"/>
        <v>0</v>
      </c>
      <c r="S115" s="23">
        <f t="shared" ref="S115:U115" si="230">IF(AH115="",S139,AH115)</f>
        <v>0</v>
      </c>
      <c r="T115" s="23">
        <f t="shared" si="230"/>
        <v>0</v>
      </c>
      <c r="U115" s="23">
        <f t="shared" si="230"/>
        <v>0</v>
      </c>
      <c r="W115" s="78" t="str">
        <f t="shared" si="206"/>
        <v>Global IT</v>
      </c>
      <c r="X115" s="64"/>
      <c r="Y115" s="64"/>
      <c r="Z115" s="64"/>
      <c r="AA115" s="64"/>
      <c r="AB115" s="60"/>
      <c r="AC115" s="64"/>
      <c r="AD115" s="64"/>
      <c r="AE115" s="64"/>
      <c r="AF115" s="64"/>
      <c r="AG115" s="60"/>
      <c r="AH115" s="64"/>
      <c r="AI115" s="64"/>
      <c r="AJ115" s="64"/>
    </row>
    <row r="116" spans="2:36" hidden="1" outlineLevel="1" x14ac:dyDescent="0.25">
      <c r="B116" s="229" t="s">
        <v>195</v>
      </c>
      <c r="C116" s="229" t="s">
        <v>195</v>
      </c>
      <c r="E116" s="78" t="s">
        <v>29</v>
      </c>
      <c r="F116" s="21">
        <f t="shared" ref="F116:H116" si="231">F140</f>
        <v>0</v>
      </c>
      <c r="G116" s="21">
        <f t="shared" si="231"/>
        <v>0</v>
      </c>
      <c r="H116" s="21">
        <f t="shared" si="231"/>
        <v>0</v>
      </c>
      <c r="I116" s="10">
        <f t="shared" ref="I116:L116" si="232">IF(X116="",I140,X116)</f>
        <v>0</v>
      </c>
      <c r="J116" s="10">
        <f t="shared" si="232"/>
        <v>0</v>
      </c>
      <c r="K116" s="10">
        <f t="shared" si="232"/>
        <v>0</v>
      </c>
      <c r="L116" s="10">
        <f t="shared" si="232"/>
        <v>0</v>
      </c>
      <c r="M116" s="17">
        <f t="shared" si="202"/>
        <v>0</v>
      </c>
      <c r="N116" s="10">
        <f t="shared" ref="N116:Q116" si="233">IF(AC116="",N140,AC116)</f>
        <v>0</v>
      </c>
      <c r="O116" s="10">
        <f t="shared" si="233"/>
        <v>0</v>
      </c>
      <c r="P116" s="10">
        <f t="shared" si="233"/>
        <v>0</v>
      </c>
      <c r="Q116" s="10">
        <f t="shared" si="233"/>
        <v>0</v>
      </c>
      <c r="R116" s="22">
        <f t="shared" si="204"/>
        <v>0</v>
      </c>
      <c r="S116" s="23">
        <f t="shared" ref="S116:U116" si="234">IF(AH116="",S140,AH116)</f>
        <v>0</v>
      </c>
      <c r="T116" s="23">
        <f t="shared" si="234"/>
        <v>0</v>
      </c>
      <c r="U116" s="23">
        <f t="shared" si="234"/>
        <v>0</v>
      </c>
      <c r="W116" s="78" t="str">
        <f t="shared" si="206"/>
        <v>All other Period Expenses</v>
      </c>
      <c r="X116" s="64"/>
      <c r="Y116" s="64"/>
      <c r="Z116" s="64"/>
      <c r="AA116" s="64"/>
      <c r="AB116" s="60"/>
      <c r="AC116" s="64"/>
      <c r="AD116" s="64"/>
      <c r="AE116" s="64"/>
      <c r="AF116" s="64"/>
      <c r="AG116" s="60"/>
      <c r="AH116" s="64"/>
      <c r="AI116" s="64"/>
      <c r="AJ116" s="64"/>
    </row>
    <row r="117" spans="2:36" hidden="1" outlineLevel="1" x14ac:dyDescent="0.25">
      <c r="B117" s="229" t="s">
        <v>195</v>
      </c>
      <c r="C117" s="229" t="s">
        <v>195</v>
      </c>
      <c r="E117" s="78" t="s">
        <v>80</v>
      </c>
      <c r="F117" s="21">
        <f t="shared" ref="F117:H117" si="235">F141</f>
        <v>0</v>
      </c>
      <c r="G117" s="21">
        <f t="shared" si="235"/>
        <v>0</v>
      </c>
      <c r="H117" s="21">
        <f t="shared" si="235"/>
        <v>0</v>
      </c>
      <c r="I117" s="10">
        <f t="shared" ref="I117:L117" si="236">IF(X117="",I141,X117)</f>
        <v>0</v>
      </c>
      <c r="J117" s="10">
        <f t="shared" si="236"/>
        <v>0</v>
      </c>
      <c r="K117" s="10">
        <f t="shared" si="236"/>
        <v>0</v>
      </c>
      <c r="L117" s="10">
        <f t="shared" si="236"/>
        <v>0</v>
      </c>
      <c r="M117" s="17">
        <f t="shared" si="202"/>
        <v>0</v>
      </c>
      <c r="N117" s="10">
        <f t="shared" ref="N117:Q117" si="237">IF(AC117="",N141,AC117)</f>
        <v>0</v>
      </c>
      <c r="O117" s="10">
        <f t="shared" si="237"/>
        <v>0</v>
      </c>
      <c r="P117" s="10">
        <f t="shared" si="237"/>
        <v>0</v>
      </c>
      <c r="Q117" s="10">
        <f t="shared" si="237"/>
        <v>0</v>
      </c>
      <c r="R117" s="22">
        <f t="shared" si="204"/>
        <v>0</v>
      </c>
      <c r="S117" s="23">
        <f t="shared" ref="S117:U117" si="238">IF(AH117="",S141,AH117)</f>
        <v>0</v>
      </c>
      <c r="T117" s="23">
        <f t="shared" si="238"/>
        <v>0</v>
      </c>
      <c r="U117" s="23">
        <f t="shared" si="238"/>
        <v>0</v>
      </c>
      <c r="W117" s="78" t="str">
        <f t="shared" si="206"/>
        <v>Blank</v>
      </c>
      <c r="X117" s="64"/>
      <c r="Y117" s="64"/>
      <c r="Z117" s="64"/>
      <c r="AA117" s="64"/>
      <c r="AB117" s="60"/>
      <c r="AC117" s="64"/>
      <c r="AD117" s="64"/>
      <c r="AE117" s="64"/>
      <c r="AF117" s="64"/>
      <c r="AG117" s="60"/>
      <c r="AH117" s="64"/>
      <c r="AI117" s="64"/>
      <c r="AJ117" s="64"/>
    </row>
    <row r="118" spans="2:36" hidden="1" outlineLevel="1" x14ac:dyDescent="0.25">
      <c r="B118" s="229" t="s">
        <v>195</v>
      </c>
      <c r="C118" s="229" t="s">
        <v>195</v>
      </c>
      <c r="E118" s="78" t="s">
        <v>80</v>
      </c>
      <c r="F118" s="21">
        <f t="shared" ref="F118:H118" si="239">F142</f>
        <v>0</v>
      </c>
      <c r="G118" s="21">
        <f t="shared" si="239"/>
        <v>0</v>
      </c>
      <c r="H118" s="21">
        <f t="shared" si="239"/>
        <v>0</v>
      </c>
      <c r="I118" s="10">
        <f t="shared" ref="I118:L118" si="240">IF(X118="",I142,X118)</f>
        <v>0</v>
      </c>
      <c r="J118" s="10">
        <f t="shared" si="240"/>
        <v>0</v>
      </c>
      <c r="K118" s="10">
        <f t="shared" si="240"/>
        <v>0</v>
      </c>
      <c r="L118" s="10">
        <f t="shared" si="240"/>
        <v>0</v>
      </c>
      <c r="M118" s="17">
        <f t="shared" si="202"/>
        <v>0</v>
      </c>
      <c r="N118" s="10">
        <f t="shared" ref="N118:Q118" si="241">IF(AC118="",N142,AC118)</f>
        <v>0</v>
      </c>
      <c r="O118" s="10">
        <f t="shared" si="241"/>
        <v>0</v>
      </c>
      <c r="P118" s="10">
        <f t="shared" si="241"/>
        <v>0</v>
      </c>
      <c r="Q118" s="10">
        <f t="shared" si="241"/>
        <v>0</v>
      </c>
      <c r="R118" s="22">
        <f t="shared" si="204"/>
        <v>0</v>
      </c>
      <c r="S118" s="23">
        <f t="shared" ref="S118:U118" si="242">IF(AH118="",S142,AH118)</f>
        <v>0</v>
      </c>
      <c r="T118" s="23">
        <f t="shared" si="242"/>
        <v>0</v>
      </c>
      <c r="U118" s="23">
        <f t="shared" si="242"/>
        <v>0</v>
      </c>
      <c r="W118" s="78" t="str">
        <f t="shared" si="206"/>
        <v>Blank</v>
      </c>
      <c r="X118" s="64"/>
      <c r="Y118" s="64"/>
      <c r="Z118" s="64"/>
      <c r="AA118" s="64"/>
      <c r="AB118" s="60"/>
      <c r="AC118" s="64"/>
      <c r="AD118" s="64"/>
      <c r="AE118" s="64"/>
      <c r="AF118" s="64"/>
      <c r="AG118" s="60"/>
      <c r="AH118" s="64"/>
      <c r="AI118" s="64"/>
      <c r="AJ118" s="64"/>
    </row>
    <row r="119" spans="2:36" ht="15.75" hidden="1" outlineLevel="1" thickBot="1" x14ac:dyDescent="0.3">
      <c r="E119" s="8" t="s">
        <v>27</v>
      </c>
      <c r="F119" s="9">
        <f t="shared" ref="F119:H119" si="243">SUM(F108:F118)</f>
        <v>0</v>
      </c>
      <c r="G119" s="9">
        <f t="shared" si="243"/>
        <v>0</v>
      </c>
      <c r="H119" s="9">
        <f t="shared" si="243"/>
        <v>0</v>
      </c>
      <c r="I119" s="11">
        <f>SUM(I108:I118)</f>
        <v>0</v>
      </c>
      <c r="J119" s="11">
        <f t="shared" ref="J119:U119" si="244">SUM(J108:J118)</f>
        <v>0</v>
      </c>
      <c r="K119" s="11">
        <f t="shared" si="244"/>
        <v>0</v>
      </c>
      <c r="L119" s="11">
        <f t="shared" si="244"/>
        <v>0</v>
      </c>
      <c r="M119" s="18">
        <f t="shared" si="244"/>
        <v>0</v>
      </c>
      <c r="N119" s="11">
        <f t="shared" si="244"/>
        <v>0</v>
      </c>
      <c r="O119" s="11">
        <f t="shared" si="244"/>
        <v>0</v>
      </c>
      <c r="P119" s="11">
        <f t="shared" si="244"/>
        <v>0</v>
      </c>
      <c r="Q119" s="11">
        <f t="shared" si="244"/>
        <v>0</v>
      </c>
      <c r="R119" s="19">
        <f t="shared" si="244"/>
        <v>0</v>
      </c>
      <c r="S119" s="20">
        <f t="shared" si="244"/>
        <v>0</v>
      </c>
      <c r="T119" s="20">
        <f t="shared" si="244"/>
        <v>0</v>
      </c>
      <c r="U119" s="20">
        <f t="shared" si="244"/>
        <v>0</v>
      </c>
    </row>
    <row r="120" spans="2:36" ht="15.75" hidden="1" outlineLevel="1" thickTop="1" x14ac:dyDescent="0.25"/>
    <row r="121" spans="2:36" hidden="1" outlineLevel="1" x14ac:dyDescent="0.25"/>
    <row r="122" spans="2:36" hidden="1" outlineLevel="1" x14ac:dyDescent="0.25"/>
    <row r="123" spans="2:36" ht="18.75" collapsed="1" x14ac:dyDescent="0.3">
      <c r="E123" s="70" t="s">
        <v>61</v>
      </c>
      <c r="F123" s="70"/>
      <c r="G123" s="70"/>
      <c r="H123" s="70"/>
      <c r="I123" s="70"/>
      <c r="J123" s="70"/>
      <c r="K123" s="70"/>
      <c r="L123" s="70"/>
      <c r="M123" s="70"/>
      <c r="N123" s="70"/>
      <c r="O123" s="70"/>
      <c r="P123" s="70"/>
      <c r="Q123" s="70"/>
      <c r="R123" s="70"/>
      <c r="S123" s="70"/>
      <c r="T123" s="70"/>
      <c r="U123" s="70"/>
    </row>
    <row r="124" spans="2:36" x14ac:dyDescent="0.25">
      <c r="E124" s="52" t="s">
        <v>65</v>
      </c>
    </row>
    <row r="127" spans="2:36" x14ac:dyDescent="0.25">
      <c r="E127" s="4" t="s">
        <v>81</v>
      </c>
    </row>
    <row r="128" spans="2:36" x14ac:dyDescent="0.25">
      <c r="E128" t="s">
        <v>25</v>
      </c>
    </row>
    <row r="130" spans="5:21" x14ac:dyDescent="0.25">
      <c r="F130" s="12">
        <f>Inputs!$C$7</f>
        <v>2023</v>
      </c>
      <c r="G130" s="12">
        <f>Inputs!$C$8</f>
        <v>2024</v>
      </c>
      <c r="H130" s="12">
        <f>Inputs!$C$9</f>
        <v>2025</v>
      </c>
      <c r="I130" s="13" t="s">
        <v>1</v>
      </c>
      <c r="J130" s="13" t="s">
        <v>2</v>
      </c>
      <c r="K130" s="13" t="s">
        <v>3</v>
      </c>
      <c r="L130" s="13" t="s">
        <v>4</v>
      </c>
      <c r="M130" s="13">
        <f>Inputs!$C$10</f>
        <v>2026</v>
      </c>
      <c r="N130" s="14" t="s">
        <v>1</v>
      </c>
      <c r="O130" s="14" t="s">
        <v>2</v>
      </c>
      <c r="P130" s="14" t="s">
        <v>3</v>
      </c>
      <c r="Q130" s="14" t="s">
        <v>4</v>
      </c>
      <c r="R130" s="15">
        <f>Inputs!$C$11</f>
        <v>2027</v>
      </c>
      <c r="S130" s="16">
        <f>Inputs!$C$12</f>
        <v>2028</v>
      </c>
      <c r="T130" s="16">
        <f>Inputs!$C$13</f>
        <v>2029</v>
      </c>
      <c r="U130" s="16">
        <f>Inputs!$C$14</f>
        <v>2030</v>
      </c>
    </row>
    <row r="131" spans="5:21" x14ac:dyDescent="0.25">
      <c r="F131" s="71" t="s">
        <v>63</v>
      </c>
      <c r="G131" s="71" t="s">
        <v>63</v>
      </c>
      <c r="H131" s="71" t="s">
        <v>63</v>
      </c>
      <c r="I131" s="71" t="s">
        <v>63</v>
      </c>
      <c r="J131" s="71" t="s">
        <v>63</v>
      </c>
      <c r="K131" s="71" t="s">
        <v>63</v>
      </c>
      <c r="L131" s="71" t="s">
        <v>63</v>
      </c>
      <c r="M131" s="71" t="s">
        <v>63</v>
      </c>
      <c r="N131" s="71" t="s">
        <v>63</v>
      </c>
      <c r="O131" s="71" t="s">
        <v>63</v>
      </c>
      <c r="P131" s="71" t="s">
        <v>63</v>
      </c>
      <c r="Q131" s="71" t="s">
        <v>63</v>
      </c>
      <c r="R131" s="71" t="s">
        <v>63</v>
      </c>
      <c r="S131" s="71" t="s">
        <v>63</v>
      </c>
      <c r="T131" s="71" t="s">
        <v>63</v>
      </c>
      <c r="U131" s="71" t="s">
        <v>63</v>
      </c>
    </row>
    <row r="132" spans="5:21" x14ac:dyDescent="0.25">
      <c r="E132" s="78" t="s">
        <v>12</v>
      </c>
      <c r="F132" s="65"/>
      <c r="G132" s="65"/>
      <c r="H132" s="65"/>
      <c r="I132" s="84"/>
      <c r="J132" s="84"/>
      <c r="K132" s="84"/>
      <c r="L132" s="84"/>
      <c r="M132" s="65">
        <f>SUM(I132:L132)</f>
        <v>0</v>
      </c>
      <c r="N132" s="84"/>
      <c r="O132" s="84"/>
      <c r="P132" s="84"/>
      <c r="Q132" s="84"/>
      <c r="R132" s="66">
        <f>SUM(N132:Q132)</f>
        <v>0</v>
      </c>
      <c r="S132" s="66"/>
      <c r="T132" s="66"/>
      <c r="U132" s="66"/>
    </row>
    <row r="133" spans="5:21" x14ac:dyDescent="0.25">
      <c r="E133" s="78" t="s">
        <v>78</v>
      </c>
      <c r="F133" s="65"/>
      <c r="G133" s="65"/>
      <c r="H133" s="65"/>
      <c r="I133" s="84"/>
      <c r="J133" s="84"/>
      <c r="K133" s="84"/>
      <c r="L133" s="84"/>
      <c r="M133" s="65">
        <f t="shared" ref="M133:M142" si="245">SUM(I133:L133)</f>
        <v>0</v>
      </c>
      <c r="N133" s="84"/>
      <c r="O133" s="84"/>
      <c r="P133" s="84"/>
      <c r="Q133" s="84"/>
      <c r="R133" s="66">
        <f t="shared" ref="R133:R142" si="246">SUM(N133:Q133)</f>
        <v>0</v>
      </c>
      <c r="S133" s="66"/>
      <c r="T133" s="66"/>
      <c r="U133" s="66"/>
    </row>
    <row r="134" spans="5:21" x14ac:dyDescent="0.25">
      <c r="E134" s="78" t="s">
        <v>79</v>
      </c>
      <c r="F134" s="65"/>
      <c r="G134" s="65"/>
      <c r="H134" s="65"/>
      <c r="I134" s="84"/>
      <c r="J134" s="84"/>
      <c r="K134" s="84"/>
      <c r="L134" s="84"/>
      <c r="M134" s="65">
        <f t="shared" si="245"/>
        <v>0</v>
      </c>
      <c r="N134" s="84"/>
      <c r="O134" s="84"/>
      <c r="P134" s="84"/>
      <c r="Q134" s="84"/>
      <c r="R134" s="66">
        <f t="shared" si="246"/>
        <v>0</v>
      </c>
      <c r="S134" s="66"/>
      <c r="T134" s="66"/>
      <c r="U134" s="66"/>
    </row>
    <row r="135" spans="5:21" x14ac:dyDescent="0.25">
      <c r="E135" s="78" t="s">
        <v>14</v>
      </c>
      <c r="F135" s="65"/>
      <c r="G135" s="65"/>
      <c r="H135" s="65"/>
      <c r="I135" s="84"/>
      <c r="J135" s="84"/>
      <c r="K135" s="84"/>
      <c r="L135" s="84"/>
      <c r="M135" s="65">
        <f t="shared" si="245"/>
        <v>0</v>
      </c>
      <c r="N135" s="84"/>
      <c r="O135" s="84"/>
      <c r="P135" s="84"/>
      <c r="Q135" s="84"/>
      <c r="R135" s="66">
        <f t="shared" si="246"/>
        <v>0</v>
      </c>
      <c r="S135" s="66"/>
      <c r="T135" s="66"/>
      <c r="U135" s="66"/>
    </row>
    <row r="136" spans="5:21" x14ac:dyDescent="0.25">
      <c r="E136" s="78" t="s">
        <v>36</v>
      </c>
      <c r="F136" s="65"/>
      <c r="G136" s="65"/>
      <c r="H136" s="65"/>
      <c r="I136" s="84"/>
      <c r="J136" s="84"/>
      <c r="K136" s="84"/>
      <c r="L136" s="84"/>
      <c r="M136" s="65">
        <f t="shared" si="245"/>
        <v>0</v>
      </c>
      <c r="N136" s="84"/>
      <c r="O136" s="84"/>
      <c r="P136" s="84"/>
      <c r="Q136" s="84"/>
      <c r="R136" s="66">
        <f t="shared" si="246"/>
        <v>0</v>
      </c>
      <c r="S136" s="66"/>
      <c r="T136" s="66"/>
      <c r="U136" s="66"/>
    </row>
    <row r="137" spans="5:21" x14ac:dyDescent="0.25">
      <c r="E137" s="78" t="s">
        <v>37</v>
      </c>
      <c r="F137" s="65"/>
      <c r="G137" s="65"/>
      <c r="H137" s="65"/>
      <c r="I137" s="84"/>
      <c r="J137" s="84"/>
      <c r="K137" s="84"/>
      <c r="L137" s="84"/>
      <c r="M137" s="65">
        <f t="shared" si="245"/>
        <v>0</v>
      </c>
      <c r="N137" s="84"/>
      <c r="O137" s="84"/>
      <c r="P137" s="84"/>
      <c r="Q137" s="84"/>
      <c r="R137" s="66">
        <f t="shared" si="246"/>
        <v>0</v>
      </c>
      <c r="S137" s="66"/>
      <c r="T137" s="66"/>
      <c r="U137" s="66"/>
    </row>
    <row r="138" spans="5:21" x14ac:dyDescent="0.25">
      <c r="E138" s="78" t="s">
        <v>38</v>
      </c>
      <c r="F138" s="65"/>
      <c r="G138" s="65"/>
      <c r="H138" s="65"/>
      <c r="I138" s="84"/>
      <c r="J138" s="84"/>
      <c r="K138" s="84"/>
      <c r="L138" s="84"/>
      <c r="M138" s="65">
        <f t="shared" si="245"/>
        <v>0</v>
      </c>
      <c r="N138" s="84"/>
      <c r="O138" s="84"/>
      <c r="P138" s="84"/>
      <c r="Q138" s="84"/>
      <c r="R138" s="66">
        <f t="shared" si="246"/>
        <v>0</v>
      </c>
      <c r="S138" s="66"/>
      <c r="T138" s="66"/>
      <c r="U138" s="66"/>
    </row>
    <row r="139" spans="5:21" x14ac:dyDescent="0.25">
      <c r="E139" s="78" t="s">
        <v>39</v>
      </c>
      <c r="F139" s="65"/>
      <c r="G139" s="65"/>
      <c r="H139" s="65"/>
      <c r="I139" s="84"/>
      <c r="J139" s="84"/>
      <c r="K139" s="84"/>
      <c r="L139" s="84"/>
      <c r="M139" s="65">
        <f t="shared" si="245"/>
        <v>0</v>
      </c>
      <c r="N139" s="84"/>
      <c r="O139" s="84"/>
      <c r="P139" s="84"/>
      <c r="Q139" s="84"/>
      <c r="R139" s="66">
        <f t="shared" si="246"/>
        <v>0</v>
      </c>
      <c r="S139" s="66"/>
      <c r="T139" s="66"/>
      <c r="U139" s="66"/>
    </row>
    <row r="140" spans="5:21" x14ac:dyDescent="0.25">
      <c r="E140" s="78" t="s">
        <v>29</v>
      </c>
      <c r="F140" s="65"/>
      <c r="G140" s="65"/>
      <c r="H140" s="65"/>
      <c r="I140" s="84"/>
      <c r="J140" s="84"/>
      <c r="K140" s="84"/>
      <c r="L140" s="84"/>
      <c r="M140" s="65">
        <f t="shared" si="245"/>
        <v>0</v>
      </c>
      <c r="N140" s="84"/>
      <c r="O140" s="84"/>
      <c r="P140" s="84"/>
      <c r="Q140" s="84"/>
      <c r="R140" s="66">
        <f t="shared" si="246"/>
        <v>0</v>
      </c>
      <c r="S140" s="66"/>
      <c r="T140" s="66"/>
      <c r="U140" s="66"/>
    </row>
    <row r="141" spans="5:21" x14ac:dyDescent="0.25">
      <c r="E141" s="78" t="s">
        <v>80</v>
      </c>
      <c r="F141" s="65"/>
      <c r="G141" s="65"/>
      <c r="H141" s="65"/>
      <c r="I141" s="84"/>
      <c r="J141" s="84"/>
      <c r="K141" s="84"/>
      <c r="L141" s="84"/>
      <c r="M141" s="65">
        <f t="shared" si="245"/>
        <v>0</v>
      </c>
      <c r="N141" s="84"/>
      <c r="O141" s="84"/>
      <c r="P141" s="84"/>
      <c r="Q141" s="84"/>
      <c r="R141" s="66">
        <f t="shared" si="246"/>
        <v>0</v>
      </c>
      <c r="S141" s="66"/>
      <c r="T141" s="66"/>
      <c r="U141" s="66"/>
    </row>
    <row r="142" spans="5:21" x14ac:dyDescent="0.25">
      <c r="E142" s="78" t="s">
        <v>80</v>
      </c>
      <c r="F142" s="65"/>
      <c r="G142" s="65"/>
      <c r="H142" s="65"/>
      <c r="I142" s="84"/>
      <c r="J142" s="84"/>
      <c r="K142" s="84"/>
      <c r="L142" s="84"/>
      <c r="M142" s="65">
        <f t="shared" si="245"/>
        <v>0</v>
      </c>
      <c r="N142" s="84"/>
      <c r="O142" s="84"/>
      <c r="P142" s="84"/>
      <c r="Q142" s="84"/>
      <c r="R142" s="66">
        <f t="shared" si="246"/>
        <v>0</v>
      </c>
      <c r="S142" s="66"/>
      <c r="T142" s="66"/>
      <c r="U142" s="66"/>
    </row>
    <row r="143" spans="5:21" ht="15.75" thickBot="1" x14ac:dyDescent="0.3">
      <c r="E143" s="8" t="s">
        <v>27</v>
      </c>
      <c r="F143" s="67">
        <f t="shared" ref="F143:H143" si="247">SUM(F132:F142)</f>
        <v>0</v>
      </c>
      <c r="G143" s="67">
        <f t="shared" si="247"/>
        <v>0</v>
      </c>
      <c r="H143" s="67">
        <f t="shared" si="247"/>
        <v>0</v>
      </c>
      <c r="I143" s="43">
        <f>SUM(I132:I142)</f>
        <v>0</v>
      </c>
      <c r="J143" s="43">
        <f t="shared" ref="J143:U143" si="248">SUM(J132:J142)</f>
        <v>0</v>
      </c>
      <c r="K143" s="43">
        <f t="shared" si="248"/>
        <v>0</v>
      </c>
      <c r="L143" s="43">
        <f t="shared" si="248"/>
        <v>0</v>
      </c>
      <c r="M143" s="68">
        <f t="shared" si="248"/>
        <v>0</v>
      </c>
      <c r="N143" s="43">
        <f t="shared" si="248"/>
        <v>0</v>
      </c>
      <c r="O143" s="43">
        <f t="shared" si="248"/>
        <v>0</v>
      </c>
      <c r="P143" s="43">
        <f t="shared" si="248"/>
        <v>0</v>
      </c>
      <c r="Q143" s="43">
        <f t="shared" si="248"/>
        <v>0</v>
      </c>
      <c r="R143" s="69">
        <f t="shared" si="248"/>
        <v>0</v>
      </c>
      <c r="S143" s="69">
        <f t="shared" si="248"/>
        <v>0</v>
      </c>
      <c r="T143" s="69">
        <f t="shared" si="248"/>
        <v>0</v>
      </c>
      <c r="U143" s="69">
        <f t="shared" si="248"/>
        <v>0</v>
      </c>
    </row>
    <row r="144" spans="5:21" ht="15.75" thickTop="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5BB40-88FC-49A4-B1D7-F7DC6BF40397}">
  <sheetPr>
    <tabColor theme="9" tint="0.79998168889431442"/>
  </sheetPr>
  <dimension ref="B3:AJ462"/>
  <sheetViews>
    <sheetView showGridLines="0" zoomScale="80" zoomScaleNormal="80" workbookViewId="0">
      <selection activeCell="G2" sqref="G2"/>
    </sheetView>
  </sheetViews>
  <sheetFormatPr defaultRowHeight="15" outlineLevelRow="1" outlineLevelCol="1" x14ac:dyDescent="0.25"/>
  <cols>
    <col min="1" max="1" width="3.85546875" customWidth="1"/>
    <col min="2" max="2" width="5.28515625" bestFit="1" customWidth="1"/>
    <col min="3" max="4" width="3.85546875" customWidth="1"/>
    <col min="5" max="5" width="21.85546875" customWidth="1"/>
    <col min="6" max="8" width="7.7109375" customWidth="1"/>
    <col min="9" max="12" width="7.7109375" customWidth="1" outlineLevel="1"/>
    <col min="13" max="13" width="7.7109375" customWidth="1"/>
    <col min="14" max="17" width="7.7109375" customWidth="1" outlineLevel="1"/>
    <col min="18" max="21" width="8.5703125" bestFit="1" customWidth="1"/>
    <col min="23" max="23" width="21.85546875" customWidth="1"/>
  </cols>
  <sheetData>
    <row r="3" spans="2:36" ht="18.75" x14ac:dyDescent="0.3">
      <c r="B3" s="4" t="s">
        <v>34</v>
      </c>
      <c r="C3" s="4" t="s">
        <v>387</v>
      </c>
      <c r="E3" s="53" t="str">
        <f>"Scenario 1: "&amp;Inputs!B22</f>
        <v>Scenario 1: Scenario 1</v>
      </c>
      <c r="F3" s="49"/>
      <c r="G3" s="49"/>
      <c r="H3" s="49"/>
      <c r="I3" s="49"/>
      <c r="J3" s="49"/>
      <c r="K3" s="49"/>
      <c r="L3" s="49"/>
      <c r="M3" s="49"/>
      <c r="N3" s="49"/>
      <c r="O3" s="49"/>
      <c r="P3" s="49"/>
      <c r="Q3" s="49"/>
      <c r="R3" s="49"/>
      <c r="S3" s="49"/>
      <c r="T3" s="49"/>
      <c r="U3" s="49"/>
    </row>
    <row r="4" spans="2:36" hidden="1" outlineLevel="1" x14ac:dyDescent="0.25">
      <c r="E4" s="52" t="str">
        <f>Inputs!C22</f>
        <v>Scenario 1 Description</v>
      </c>
    </row>
    <row r="5" spans="2:36" hidden="1" outlineLevel="1" x14ac:dyDescent="0.25"/>
    <row r="6" spans="2:36" hidden="1" outlineLevel="1" x14ac:dyDescent="0.25"/>
    <row r="7" spans="2:36" hidden="1" outlineLevel="1" x14ac:dyDescent="0.25">
      <c r="E7" s="4" t="s">
        <v>82</v>
      </c>
      <c r="W7" s="4" t="s">
        <v>82</v>
      </c>
    </row>
    <row r="8" spans="2:36" hidden="1" outlineLevel="1" x14ac:dyDescent="0.25">
      <c r="E8" s="6" t="s">
        <v>25</v>
      </c>
      <c r="W8" s="61" t="s">
        <v>62</v>
      </c>
    </row>
    <row r="9" spans="2:36" hidden="1" outlineLevel="1" x14ac:dyDescent="0.25"/>
    <row r="10" spans="2:36" hidden="1" outlineLevel="1" x14ac:dyDescent="0.25">
      <c r="F10" s="12">
        <f>Inputs!$C$7</f>
        <v>2023</v>
      </c>
      <c r="G10" s="12">
        <f>Inputs!$C$8</f>
        <v>2024</v>
      </c>
      <c r="H10" s="12">
        <f>Inputs!$C$9</f>
        <v>2025</v>
      </c>
      <c r="I10" s="13" t="s">
        <v>1</v>
      </c>
      <c r="J10" s="13" t="s">
        <v>2</v>
      </c>
      <c r="K10" s="13" t="s">
        <v>3</v>
      </c>
      <c r="L10" s="13" t="s">
        <v>4</v>
      </c>
      <c r="M10" s="13">
        <f>Inputs!$C$10</f>
        <v>2026</v>
      </c>
      <c r="N10" s="14" t="s">
        <v>1</v>
      </c>
      <c r="O10" s="14" t="s">
        <v>2</v>
      </c>
      <c r="P10" s="14" t="s">
        <v>3</v>
      </c>
      <c r="Q10" s="14" t="s">
        <v>4</v>
      </c>
      <c r="R10" s="15">
        <f>Inputs!$C$11</f>
        <v>2027</v>
      </c>
      <c r="S10" s="16">
        <f>Inputs!$C$12</f>
        <v>2028</v>
      </c>
      <c r="T10" s="16">
        <f>Inputs!$C$13</f>
        <v>2029</v>
      </c>
      <c r="U10" s="16">
        <f>Inputs!$C$14</f>
        <v>2030</v>
      </c>
      <c r="X10" s="13" t="s">
        <v>1</v>
      </c>
      <c r="Y10" s="13" t="s">
        <v>2</v>
      </c>
      <c r="Z10" s="13" t="s">
        <v>3</v>
      </c>
      <c r="AA10" s="13" t="s">
        <v>4</v>
      </c>
      <c r="AB10" s="13">
        <f>Inputs!$C$10</f>
        <v>2026</v>
      </c>
      <c r="AC10" s="14" t="s">
        <v>1</v>
      </c>
      <c r="AD10" s="14" t="s">
        <v>2</v>
      </c>
      <c r="AE10" s="14" t="s">
        <v>3</v>
      </c>
      <c r="AF10" s="14" t="s">
        <v>4</v>
      </c>
      <c r="AG10" s="15">
        <f>Inputs!$C$11</f>
        <v>2027</v>
      </c>
      <c r="AH10" s="16">
        <f>Inputs!$C$12</f>
        <v>2028</v>
      </c>
      <c r="AI10" s="16">
        <f>Inputs!$C$13</f>
        <v>2029</v>
      </c>
      <c r="AJ10" s="16">
        <f>Inputs!$C$14</f>
        <v>2030</v>
      </c>
    </row>
    <row r="11" spans="2:36" hidden="1" outlineLevel="1" x14ac:dyDescent="0.25">
      <c r="F11" s="71" t="s">
        <v>63</v>
      </c>
      <c r="G11" s="71" t="s">
        <v>63</v>
      </c>
      <c r="H11" s="71" t="s">
        <v>63</v>
      </c>
      <c r="I11" s="71" t="s">
        <v>63</v>
      </c>
      <c r="J11" s="71" t="s">
        <v>63</v>
      </c>
      <c r="K11" s="71" t="s">
        <v>63</v>
      </c>
      <c r="L11" s="71" t="s">
        <v>63</v>
      </c>
      <c r="M11" s="71" t="s">
        <v>63</v>
      </c>
      <c r="N11" s="71" t="s">
        <v>63</v>
      </c>
      <c r="O11" s="71" t="s">
        <v>63</v>
      </c>
      <c r="P11" s="71" t="s">
        <v>63</v>
      </c>
      <c r="Q11" s="71" t="s">
        <v>63</v>
      </c>
      <c r="R11" s="71" t="s">
        <v>63</v>
      </c>
      <c r="S11" s="71" t="s">
        <v>63</v>
      </c>
      <c r="T11" s="71" t="s">
        <v>63</v>
      </c>
      <c r="U11" s="71" t="s">
        <v>63</v>
      </c>
      <c r="X11" s="63" t="s">
        <v>30</v>
      </c>
      <c r="Y11" s="63" t="s">
        <v>30</v>
      </c>
      <c r="Z11" s="63" t="s">
        <v>30</v>
      </c>
      <c r="AA11" s="63" t="s">
        <v>30</v>
      </c>
      <c r="AB11" s="62"/>
      <c r="AC11" s="63" t="s">
        <v>30</v>
      </c>
      <c r="AD11" s="63" t="s">
        <v>30</v>
      </c>
      <c r="AE11" s="63" t="s">
        <v>30</v>
      </c>
      <c r="AF11" s="63" t="s">
        <v>30</v>
      </c>
      <c r="AG11" s="62"/>
      <c r="AH11" s="63" t="s">
        <v>30</v>
      </c>
      <c r="AI11" s="63" t="s">
        <v>30</v>
      </c>
      <c r="AJ11" s="63" t="s">
        <v>30</v>
      </c>
    </row>
    <row r="12" spans="2:36" hidden="1" outlineLevel="1" x14ac:dyDescent="0.25">
      <c r="B12" s="229" t="s">
        <v>195</v>
      </c>
      <c r="C12" s="229" t="s">
        <v>195</v>
      </c>
      <c r="E12" s="78" t="s">
        <v>102</v>
      </c>
      <c r="F12" s="21">
        <f>F397</f>
        <v>0</v>
      </c>
      <c r="G12" s="21">
        <f t="shared" ref="G12:H12" si="0">G397</f>
        <v>0</v>
      </c>
      <c r="H12" s="21">
        <f t="shared" si="0"/>
        <v>0</v>
      </c>
      <c r="I12" s="10">
        <f t="shared" ref="I12:L18" si="1">IF(X12="",I397,X12)</f>
        <v>0</v>
      </c>
      <c r="J12" s="10">
        <f t="shared" si="1"/>
        <v>0</v>
      </c>
      <c r="K12" s="10">
        <f t="shared" si="1"/>
        <v>0</v>
      </c>
      <c r="L12" s="10">
        <f t="shared" si="1"/>
        <v>0</v>
      </c>
      <c r="M12" s="17">
        <f t="shared" ref="M12:M18" si="2">SUM(I12:L12)</f>
        <v>0</v>
      </c>
      <c r="N12" s="10">
        <f t="shared" ref="N12:Q18" si="3">IF(AC12="",N397,AC12)</f>
        <v>0</v>
      </c>
      <c r="O12" s="10">
        <f t="shared" si="3"/>
        <v>0</v>
      </c>
      <c r="P12" s="10">
        <f t="shared" si="3"/>
        <v>0</v>
      </c>
      <c r="Q12" s="10">
        <f t="shared" si="3"/>
        <v>0</v>
      </c>
      <c r="R12" s="22">
        <f t="shared" ref="R12:R18" si="4">SUM(N12:Q12)</f>
        <v>0</v>
      </c>
      <c r="S12" s="23">
        <f t="shared" ref="S12:U18" si="5">IF(AH12="",S397,AH12)</f>
        <v>0</v>
      </c>
      <c r="T12" s="23">
        <f t="shared" si="5"/>
        <v>0</v>
      </c>
      <c r="U12" s="23">
        <f t="shared" si="5"/>
        <v>0</v>
      </c>
      <c r="W12" s="78" t="str">
        <f>E12</f>
        <v>3rd Party Expenses 1</v>
      </c>
      <c r="X12" s="64"/>
      <c r="Y12" s="64"/>
      <c r="Z12" s="64"/>
      <c r="AA12" s="64"/>
      <c r="AB12" s="60"/>
      <c r="AC12" s="64"/>
      <c r="AD12" s="64"/>
      <c r="AE12" s="64"/>
      <c r="AF12" s="64"/>
      <c r="AG12" s="60"/>
      <c r="AH12" s="64"/>
      <c r="AI12" s="64"/>
      <c r="AJ12" s="64"/>
    </row>
    <row r="13" spans="2:36" hidden="1" outlineLevel="1" x14ac:dyDescent="0.25">
      <c r="B13" s="229" t="s">
        <v>195</v>
      </c>
      <c r="C13" s="229" t="s">
        <v>195</v>
      </c>
      <c r="E13" s="78" t="s">
        <v>103</v>
      </c>
      <c r="F13" s="21">
        <f t="shared" ref="F13:H13" si="6">F398</f>
        <v>0</v>
      </c>
      <c r="G13" s="21">
        <f t="shared" si="6"/>
        <v>0</v>
      </c>
      <c r="H13" s="21">
        <f t="shared" si="6"/>
        <v>0</v>
      </c>
      <c r="I13" s="10">
        <f t="shared" si="1"/>
        <v>0</v>
      </c>
      <c r="J13" s="10">
        <f t="shared" si="1"/>
        <v>0</v>
      </c>
      <c r="K13" s="10">
        <f t="shared" si="1"/>
        <v>0</v>
      </c>
      <c r="L13" s="10">
        <f t="shared" si="1"/>
        <v>0</v>
      </c>
      <c r="M13" s="17">
        <f t="shared" si="2"/>
        <v>0</v>
      </c>
      <c r="N13" s="10">
        <f t="shared" si="3"/>
        <v>0</v>
      </c>
      <c r="O13" s="10">
        <f t="shared" si="3"/>
        <v>0</v>
      </c>
      <c r="P13" s="10">
        <f t="shared" si="3"/>
        <v>0</v>
      </c>
      <c r="Q13" s="10">
        <f t="shared" si="3"/>
        <v>0</v>
      </c>
      <c r="R13" s="22">
        <f t="shared" si="4"/>
        <v>0</v>
      </c>
      <c r="S13" s="23">
        <f t="shared" si="5"/>
        <v>0</v>
      </c>
      <c r="T13" s="23">
        <f t="shared" si="5"/>
        <v>0</v>
      </c>
      <c r="U13" s="23">
        <f t="shared" si="5"/>
        <v>0</v>
      </c>
      <c r="W13" s="78" t="str">
        <f t="shared" ref="W13:W18" si="7">E13</f>
        <v>3rd Party Expenses 2</v>
      </c>
      <c r="X13" s="64"/>
      <c r="Y13" s="64"/>
      <c r="Z13" s="64"/>
      <c r="AA13" s="64"/>
      <c r="AB13" s="60"/>
      <c r="AC13" s="64"/>
      <c r="AD13" s="64"/>
      <c r="AE13" s="64"/>
      <c r="AF13" s="64"/>
      <c r="AG13" s="60"/>
      <c r="AH13" s="64"/>
      <c r="AI13" s="64"/>
      <c r="AJ13" s="64"/>
    </row>
    <row r="14" spans="2:36" hidden="1" outlineLevel="1" x14ac:dyDescent="0.25">
      <c r="B14" s="229" t="s">
        <v>195</v>
      </c>
      <c r="C14" s="229" t="s">
        <v>195</v>
      </c>
      <c r="E14" s="78" t="s">
        <v>104</v>
      </c>
      <c r="F14" s="21">
        <f t="shared" ref="F14:H14" si="8">F399</f>
        <v>0</v>
      </c>
      <c r="G14" s="21">
        <f t="shared" si="8"/>
        <v>0</v>
      </c>
      <c r="H14" s="21">
        <f t="shared" si="8"/>
        <v>0</v>
      </c>
      <c r="I14" s="10">
        <f t="shared" si="1"/>
        <v>0</v>
      </c>
      <c r="J14" s="10">
        <f t="shared" si="1"/>
        <v>0</v>
      </c>
      <c r="K14" s="10">
        <f t="shared" si="1"/>
        <v>0</v>
      </c>
      <c r="L14" s="10">
        <f t="shared" si="1"/>
        <v>0</v>
      </c>
      <c r="M14" s="17">
        <f t="shared" si="2"/>
        <v>0</v>
      </c>
      <c r="N14" s="10">
        <f t="shared" si="3"/>
        <v>0</v>
      </c>
      <c r="O14" s="10">
        <f t="shared" si="3"/>
        <v>0</v>
      </c>
      <c r="P14" s="10">
        <f t="shared" si="3"/>
        <v>0</v>
      </c>
      <c r="Q14" s="10">
        <f t="shared" si="3"/>
        <v>0</v>
      </c>
      <c r="R14" s="22">
        <f t="shared" si="4"/>
        <v>0</v>
      </c>
      <c r="S14" s="23">
        <f t="shared" si="5"/>
        <v>0</v>
      </c>
      <c r="T14" s="23">
        <f t="shared" si="5"/>
        <v>0</v>
      </c>
      <c r="U14" s="23">
        <f t="shared" si="5"/>
        <v>0</v>
      </c>
      <c r="W14" s="78" t="str">
        <f t="shared" si="7"/>
        <v>3rd Party Expenses 3</v>
      </c>
      <c r="X14" s="64"/>
      <c r="Y14" s="64"/>
      <c r="Z14" s="64"/>
      <c r="AA14" s="64"/>
      <c r="AB14" s="60"/>
      <c r="AC14" s="64"/>
      <c r="AD14" s="64"/>
      <c r="AE14" s="64"/>
      <c r="AF14" s="64"/>
      <c r="AG14" s="60"/>
      <c r="AH14" s="64"/>
      <c r="AI14" s="64"/>
      <c r="AJ14" s="64"/>
    </row>
    <row r="15" spans="2:36" hidden="1" outlineLevel="1" x14ac:dyDescent="0.25">
      <c r="B15" s="229" t="s">
        <v>195</v>
      </c>
      <c r="C15" s="229" t="s">
        <v>195</v>
      </c>
      <c r="E15" s="78" t="s">
        <v>108</v>
      </c>
      <c r="F15" s="21">
        <f t="shared" ref="F15:H15" si="9">F400</f>
        <v>0</v>
      </c>
      <c r="G15" s="21">
        <f t="shared" si="9"/>
        <v>0</v>
      </c>
      <c r="H15" s="21">
        <f t="shared" si="9"/>
        <v>0</v>
      </c>
      <c r="I15" s="10">
        <f t="shared" si="1"/>
        <v>0</v>
      </c>
      <c r="J15" s="10">
        <f t="shared" si="1"/>
        <v>0</v>
      </c>
      <c r="K15" s="10">
        <f t="shared" si="1"/>
        <v>0</v>
      </c>
      <c r="L15" s="10">
        <f t="shared" si="1"/>
        <v>0</v>
      </c>
      <c r="M15" s="17">
        <f t="shared" si="2"/>
        <v>0</v>
      </c>
      <c r="N15" s="10">
        <f t="shared" si="3"/>
        <v>0</v>
      </c>
      <c r="O15" s="10">
        <f t="shared" si="3"/>
        <v>0</v>
      </c>
      <c r="P15" s="10">
        <f t="shared" si="3"/>
        <v>0</v>
      </c>
      <c r="Q15" s="10">
        <f t="shared" si="3"/>
        <v>0</v>
      </c>
      <c r="R15" s="22">
        <f t="shared" si="4"/>
        <v>0</v>
      </c>
      <c r="S15" s="23">
        <f t="shared" si="5"/>
        <v>0</v>
      </c>
      <c r="T15" s="23">
        <f t="shared" si="5"/>
        <v>0</v>
      </c>
      <c r="U15" s="23">
        <f t="shared" si="5"/>
        <v>0</v>
      </c>
      <c r="W15" s="78" t="str">
        <f t="shared" si="7"/>
        <v>3rd Party Expenses 4</v>
      </c>
      <c r="X15" s="64"/>
      <c r="Y15" s="64"/>
      <c r="Z15" s="64"/>
      <c r="AA15" s="64"/>
      <c r="AB15" s="60"/>
      <c r="AC15" s="64"/>
      <c r="AD15" s="64"/>
      <c r="AE15" s="64"/>
      <c r="AF15" s="64"/>
      <c r="AG15" s="60"/>
      <c r="AH15" s="64"/>
      <c r="AI15" s="64"/>
      <c r="AJ15" s="64"/>
    </row>
    <row r="16" spans="2:36" hidden="1" outlineLevel="1" x14ac:dyDescent="0.25">
      <c r="B16" s="229" t="s">
        <v>195</v>
      </c>
      <c r="C16" s="229" t="s">
        <v>195</v>
      </c>
      <c r="E16" s="78" t="s">
        <v>88</v>
      </c>
      <c r="F16" s="21">
        <f t="shared" ref="F16:H16" si="10">F401</f>
        <v>0</v>
      </c>
      <c r="G16" s="21">
        <f t="shared" si="10"/>
        <v>0</v>
      </c>
      <c r="H16" s="21">
        <f t="shared" si="10"/>
        <v>0</v>
      </c>
      <c r="I16" s="10">
        <f t="shared" si="1"/>
        <v>0</v>
      </c>
      <c r="J16" s="10">
        <f t="shared" si="1"/>
        <v>0</v>
      </c>
      <c r="K16" s="10">
        <f t="shared" si="1"/>
        <v>0</v>
      </c>
      <c r="L16" s="10">
        <f t="shared" si="1"/>
        <v>0</v>
      </c>
      <c r="M16" s="17">
        <f t="shared" si="2"/>
        <v>0</v>
      </c>
      <c r="N16" s="10">
        <f t="shared" si="3"/>
        <v>0</v>
      </c>
      <c r="O16" s="10">
        <f t="shared" si="3"/>
        <v>0</v>
      </c>
      <c r="P16" s="10">
        <f t="shared" si="3"/>
        <v>0</v>
      </c>
      <c r="Q16" s="10">
        <f t="shared" si="3"/>
        <v>0</v>
      </c>
      <c r="R16" s="22">
        <f t="shared" si="4"/>
        <v>0</v>
      </c>
      <c r="S16" s="23">
        <f t="shared" si="5"/>
        <v>0</v>
      </c>
      <c r="T16" s="23">
        <f t="shared" si="5"/>
        <v>0</v>
      </c>
      <c r="U16" s="23">
        <f t="shared" si="5"/>
        <v>0</v>
      </c>
      <c r="W16" s="78" t="str">
        <f t="shared" si="7"/>
        <v>All Other</v>
      </c>
      <c r="X16" s="64"/>
      <c r="Y16" s="64"/>
      <c r="Z16" s="64"/>
      <c r="AA16" s="64"/>
      <c r="AB16" s="60"/>
      <c r="AC16" s="64"/>
      <c r="AD16" s="64"/>
      <c r="AE16" s="64"/>
      <c r="AF16" s="64"/>
      <c r="AG16" s="60"/>
      <c r="AH16" s="64"/>
      <c r="AI16" s="64"/>
      <c r="AJ16" s="64"/>
    </row>
    <row r="17" spans="2:36" hidden="1" outlineLevel="1" x14ac:dyDescent="0.25">
      <c r="B17" s="229" t="s">
        <v>195</v>
      </c>
      <c r="C17" s="229" t="s">
        <v>195</v>
      </c>
      <c r="E17" s="78" t="s">
        <v>77</v>
      </c>
      <c r="F17" s="21">
        <f t="shared" ref="F17:H17" si="11">F402</f>
        <v>0</v>
      </c>
      <c r="G17" s="21">
        <f t="shared" si="11"/>
        <v>0</v>
      </c>
      <c r="H17" s="21">
        <f t="shared" si="11"/>
        <v>0</v>
      </c>
      <c r="I17" s="10">
        <f t="shared" si="1"/>
        <v>0</v>
      </c>
      <c r="J17" s="10">
        <f t="shared" si="1"/>
        <v>0</v>
      </c>
      <c r="K17" s="10">
        <f t="shared" si="1"/>
        <v>0</v>
      </c>
      <c r="L17" s="10">
        <f t="shared" si="1"/>
        <v>0</v>
      </c>
      <c r="M17" s="17">
        <f t="shared" si="2"/>
        <v>0</v>
      </c>
      <c r="N17" s="10">
        <f t="shared" si="3"/>
        <v>0</v>
      </c>
      <c r="O17" s="10">
        <f t="shared" si="3"/>
        <v>0</v>
      </c>
      <c r="P17" s="10">
        <f t="shared" si="3"/>
        <v>0</v>
      </c>
      <c r="Q17" s="10">
        <f t="shared" si="3"/>
        <v>0</v>
      </c>
      <c r="R17" s="22">
        <f t="shared" si="4"/>
        <v>0</v>
      </c>
      <c r="S17" s="23">
        <f t="shared" si="5"/>
        <v>0</v>
      </c>
      <c r="T17" s="23">
        <f t="shared" si="5"/>
        <v>0</v>
      </c>
      <c r="U17" s="23">
        <f t="shared" si="5"/>
        <v>0</v>
      </c>
      <c r="W17" s="78" t="str">
        <f t="shared" si="7"/>
        <v>blank</v>
      </c>
      <c r="X17" s="64"/>
      <c r="Y17" s="64"/>
      <c r="Z17" s="64"/>
      <c r="AA17" s="64"/>
      <c r="AB17" s="60"/>
      <c r="AC17" s="64"/>
      <c r="AD17" s="64"/>
      <c r="AE17" s="64"/>
      <c r="AF17" s="64"/>
      <c r="AG17" s="60"/>
      <c r="AH17" s="64"/>
      <c r="AI17" s="64"/>
      <c r="AJ17" s="64"/>
    </row>
    <row r="18" spans="2:36" hidden="1" outlineLevel="1" x14ac:dyDescent="0.25">
      <c r="B18" s="229" t="s">
        <v>195</v>
      </c>
      <c r="C18" s="229" t="s">
        <v>195</v>
      </c>
      <c r="E18" s="78" t="s">
        <v>77</v>
      </c>
      <c r="F18" s="21">
        <f t="shared" ref="F18:H18" si="12">F403</f>
        <v>0</v>
      </c>
      <c r="G18" s="21">
        <f t="shared" si="12"/>
        <v>0</v>
      </c>
      <c r="H18" s="21">
        <f t="shared" si="12"/>
        <v>0</v>
      </c>
      <c r="I18" s="10">
        <f t="shared" si="1"/>
        <v>0</v>
      </c>
      <c r="J18" s="10">
        <f t="shared" si="1"/>
        <v>0</v>
      </c>
      <c r="K18" s="10">
        <f t="shared" si="1"/>
        <v>0</v>
      </c>
      <c r="L18" s="10">
        <f t="shared" si="1"/>
        <v>0</v>
      </c>
      <c r="M18" s="17">
        <f t="shared" si="2"/>
        <v>0</v>
      </c>
      <c r="N18" s="10">
        <f t="shared" si="3"/>
        <v>0</v>
      </c>
      <c r="O18" s="10">
        <f t="shared" si="3"/>
        <v>0</v>
      </c>
      <c r="P18" s="10">
        <f t="shared" si="3"/>
        <v>0</v>
      </c>
      <c r="Q18" s="10">
        <f t="shared" si="3"/>
        <v>0</v>
      </c>
      <c r="R18" s="22">
        <f t="shared" si="4"/>
        <v>0</v>
      </c>
      <c r="S18" s="23">
        <f t="shared" si="5"/>
        <v>0</v>
      </c>
      <c r="T18" s="23">
        <f t="shared" si="5"/>
        <v>0</v>
      </c>
      <c r="U18" s="23">
        <f t="shared" si="5"/>
        <v>0</v>
      </c>
      <c r="W18" s="78" t="str">
        <f t="shared" si="7"/>
        <v>blank</v>
      </c>
      <c r="X18" s="64"/>
      <c r="Y18" s="64"/>
      <c r="Z18" s="64"/>
      <c r="AA18" s="64"/>
      <c r="AB18" s="60"/>
      <c r="AC18" s="64"/>
      <c r="AD18" s="64"/>
      <c r="AE18" s="64"/>
      <c r="AF18" s="64"/>
      <c r="AG18" s="60"/>
      <c r="AH18" s="64"/>
      <c r="AI18" s="64"/>
      <c r="AJ18" s="64"/>
    </row>
    <row r="19" spans="2:36" ht="15.75" hidden="1" outlineLevel="1" thickBot="1" x14ac:dyDescent="0.3">
      <c r="E19" s="8" t="s">
        <v>27</v>
      </c>
      <c r="F19" s="9">
        <f t="shared" ref="F19:U19" si="13">SUM(F12:F18)</f>
        <v>0</v>
      </c>
      <c r="G19" s="9">
        <f t="shared" si="13"/>
        <v>0</v>
      </c>
      <c r="H19" s="9">
        <f t="shared" si="13"/>
        <v>0</v>
      </c>
      <c r="I19" s="11">
        <f t="shared" si="13"/>
        <v>0</v>
      </c>
      <c r="J19" s="11">
        <f t="shared" si="13"/>
        <v>0</v>
      </c>
      <c r="K19" s="11">
        <f t="shared" si="13"/>
        <v>0</v>
      </c>
      <c r="L19" s="11">
        <f t="shared" si="13"/>
        <v>0</v>
      </c>
      <c r="M19" s="18">
        <f t="shared" si="13"/>
        <v>0</v>
      </c>
      <c r="N19" s="11">
        <f t="shared" si="13"/>
        <v>0</v>
      </c>
      <c r="O19" s="11">
        <f t="shared" si="13"/>
        <v>0</v>
      </c>
      <c r="P19" s="11">
        <f t="shared" si="13"/>
        <v>0</v>
      </c>
      <c r="Q19" s="11">
        <f t="shared" si="13"/>
        <v>0</v>
      </c>
      <c r="R19" s="19">
        <f t="shared" si="13"/>
        <v>0</v>
      </c>
      <c r="S19" s="20">
        <f t="shared" si="13"/>
        <v>0</v>
      </c>
      <c r="T19" s="20">
        <f t="shared" si="13"/>
        <v>0</v>
      </c>
      <c r="U19" s="20">
        <f t="shared" si="13"/>
        <v>0</v>
      </c>
    </row>
    <row r="20" spans="2:36" ht="15.75" hidden="1" outlineLevel="1" thickTop="1" x14ac:dyDescent="0.25">
      <c r="M20" s="3"/>
    </row>
    <row r="21" spans="2:36" hidden="1" outlineLevel="1" x14ac:dyDescent="0.25">
      <c r="M21" s="3"/>
    </row>
    <row r="22" spans="2:36" hidden="1" outlineLevel="1" x14ac:dyDescent="0.25">
      <c r="M22" s="3"/>
    </row>
    <row r="23" spans="2:36" hidden="1" outlineLevel="1" x14ac:dyDescent="0.25">
      <c r="E23" s="4" t="s">
        <v>28</v>
      </c>
      <c r="W23" s="4" t="s">
        <v>28</v>
      </c>
    </row>
    <row r="24" spans="2:36" hidden="1" outlineLevel="1" x14ac:dyDescent="0.25">
      <c r="E24" s="6" t="s">
        <v>25</v>
      </c>
      <c r="W24" s="61" t="s">
        <v>62</v>
      </c>
    </row>
    <row r="25" spans="2:36" hidden="1" outlineLevel="1" x14ac:dyDescent="0.25"/>
    <row r="26" spans="2:36" hidden="1" outlineLevel="1" x14ac:dyDescent="0.25">
      <c r="F26" s="12">
        <f>Inputs!$C$7</f>
        <v>2023</v>
      </c>
      <c r="G26" s="12">
        <f>Inputs!$C$8</f>
        <v>2024</v>
      </c>
      <c r="H26" s="12">
        <f>Inputs!$C$9</f>
        <v>2025</v>
      </c>
      <c r="I26" s="13" t="s">
        <v>1</v>
      </c>
      <c r="J26" s="13" t="s">
        <v>2</v>
      </c>
      <c r="K26" s="13" t="s">
        <v>3</v>
      </c>
      <c r="L26" s="13" t="s">
        <v>4</v>
      </c>
      <c r="M26" s="13">
        <f>Inputs!$C$10</f>
        <v>2026</v>
      </c>
      <c r="N26" s="14" t="s">
        <v>1</v>
      </c>
      <c r="O26" s="14" t="s">
        <v>2</v>
      </c>
      <c r="P26" s="14" t="s">
        <v>3</v>
      </c>
      <c r="Q26" s="14" t="s">
        <v>4</v>
      </c>
      <c r="R26" s="15">
        <f>Inputs!$C$11</f>
        <v>2027</v>
      </c>
      <c r="S26" s="16">
        <f>Inputs!$C$12</f>
        <v>2028</v>
      </c>
      <c r="T26" s="16">
        <f>Inputs!$C$13</f>
        <v>2029</v>
      </c>
      <c r="U26" s="16">
        <f>Inputs!$C$14</f>
        <v>2030</v>
      </c>
      <c r="X26" s="13" t="s">
        <v>1</v>
      </c>
      <c r="Y26" s="13" t="s">
        <v>2</v>
      </c>
      <c r="Z26" s="13" t="s">
        <v>3</v>
      </c>
      <c r="AA26" s="13" t="s">
        <v>4</v>
      </c>
      <c r="AB26" s="13">
        <f>Inputs!$C$10</f>
        <v>2026</v>
      </c>
      <c r="AC26" s="14" t="s">
        <v>1</v>
      </c>
      <c r="AD26" s="14" t="s">
        <v>2</v>
      </c>
      <c r="AE26" s="14" t="s">
        <v>3</v>
      </c>
      <c r="AF26" s="14" t="s">
        <v>4</v>
      </c>
      <c r="AG26" s="15">
        <f>Inputs!$C$11</f>
        <v>2027</v>
      </c>
      <c r="AH26" s="16">
        <f>Inputs!$C$12</f>
        <v>2028</v>
      </c>
      <c r="AI26" s="16">
        <f>Inputs!$C$13</f>
        <v>2029</v>
      </c>
      <c r="AJ26" s="16">
        <f>Inputs!$C$14</f>
        <v>2030</v>
      </c>
    </row>
    <row r="27" spans="2:36" hidden="1" outlineLevel="1" x14ac:dyDescent="0.25">
      <c r="F27" s="71" t="s">
        <v>63</v>
      </c>
      <c r="G27" s="71" t="s">
        <v>63</v>
      </c>
      <c r="H27" s="71" t="s">
        <v>63</v>
      </c>
      <c r="I27" s="71" t="s">
        <v>63</v>
      </c>
      <c r="J27" s="71" t="s">
        <v>63</v>
      </c>
      <c r="K27" s="71" t="s">
        <v>63</v>
      </c>
      <c r="L27" s="71" t="s">
        <v>63</v>
      </c>
      <c r="M27" s="71" t="s">
        <v>63</v>
      </c>
      <c r="N27" s="71" t="s">
        <v>63</v>
      </c>
      <c r="O27" s="71" t="s">
        <v>63</v>
      </c>
      <c r="P27" s="71" t="s">
        <v>63</v>
      </c>
      <c r="Q27" s="71" t="s">
        <v>63</v>
      </c>
      <c r="R27" s="71" t="s">
        <v>63</v>
      </c>
      <c r="S27" s="71" t="s">
        <v>63</v>
      </c>
      <c r="T27" s="71" t="s">
        <v>63</v>
      </c>
      <c r="U27" s="71" t="s">
        <v>63</v>
      </c>
      <c r="X27" s="63" t="s">
        <v>30</v>
      </c>
      <c r="Y27" s="63" t="s">
        <v>30</v>
      </c>
      <c r="Z27" s="63" t="s">
        <v>30</v>
      </c>
      <c r="AA27" s="63" t="s">
        <v>30</v>
      </c>
      <c r="AB27" s="62"/>
      <c r="AC27" s="63" t="s">
        <v>30</v>
      </c>
      <c r="AD27" s="63" t="s">
        <v>30</v>
      </c>
      <c r="AE27" s="63" t="s">
        <v>30</v>
      </c>
      <c r="AF27" s="63" t="s">
        <v>30</v>
      </c>
      <c r="AG27" s="62"/>
      <c r="AH27" s="63" t="s">
        <v>30</v>
      </c>
      <c r="AI27" s="63" t="s">
        <v>30</v>
      </c>
      <c r="AJ27" s="63" t="s">
        <v>30</v>
      </c>
    </row>
    <row r="28" spans="2:36" hidden="1" outlineLevel="1" x14ac:dyDescent="0.25">
      <c r="B28" s="229" t="s">
        <v>195</v>
      </c>
      <c r="E28" s="78" t="s">
        <v>83</v>
      </c>
      <c r="F28" s="21">
        <f>F413</f>
        <v>0</v>
      </c>
      <c r="G28" s="21">
        <f t="shared" ref="G28:H28" si="14">G413</f>
        <v>0</v>
      </c>
      <c r="H28" s="21">
        <f t="shared" si="14"/>
        <v>0</v>
      </c>
      <c r="I28" s="10">
        <f t="shared" ref="I28:L34" si="15">IF(X28="",I413,X28)</f>
        <v>0</v>
      </c>
      <c r="J28" s="10">
        <f t="shared" si="15"/>
        <v>0</v>
      </c>
      <c r="K28" s="10">
        <f t="shared" si="15"/>
        <v>0</v>
      </c>
      <c r="L28" s="10">
        <f t="shared" si="15"/>
        <v>0</v>
      </c>
      <c r="M28" s="17">
        <f t="shared" ref="M28:M34" si="16">SUM(I28:L28)</f>
        <v>0</v>
      </c>
      <c r="N28" s="10">
        <f t="shared" ref="N28:Q34" si="17">IF(AC28="",N413,AC28)</f>
        <v>0</v>
      </c>
      <c r="O28" s="10">
        <f t="shared" si="17"/>
        <v>0</v>
      </c>
      <c r="P28" s="10">
        <f t="shared" si="17"/>
        <v>0</v>
      </c>
      <c r="Q28" s="10">
        <f t="shared" si="17"/>
        <v>0</v>
      </c>
      <c r="R28" s="22">
        <f t="shared" ref="R28:R34" si="18">SUM(N28:Q28)</f>
        <v>0</v>
      </c>
      <c r="S28" s="23">
        <f t="shared" ref="S28:U34" si="19">IF(AH28="",S413,AH28)</f>
        <v>0</v>
      </c>
      <c r="T28" s="23">
        <f t="shared" si="19"/>
        <v>0</v>
      </c>
      <c r="U28" s="23">
        <f t="shared" si="19"/>
        <v>0</v>
      </c>
      <c r="W28" s="78" t="str">
        <f>E28</f>
        <v>Capital Expenditure 1</v>
      </c>
      <c r="X28" s="64"/>
      <c r="Y28" s="64"/>
      <c r="Z28" s="64"/>
      <c r="AA28" s="64"/>
      <c r="AB28" s="60"/>
      <c r="AC28" s="64"/>
      <c r="AD28" s="64"/>
      <c r="AE28" s="64"/>
      <c r="AF28" s="64"/>
      <c r="AG28" s="60"/>
      <c r="AH28" s="64"/>
      <c r="AI28" s="64"/>
      <c r="AJ28" s="64"/>
    </row>
    <row r="29" spans="2:36" hidden="1" outlineLevel="1" x14ac:dyDescent="0.25">
      <c r="B29" s="229" t="s">
        <v>195</v>
      </c>
      <c r="E29" s="78" t="s">
        <v>84</v>
      </c>
      <c r="F29" s="21">
        <f t="shared" ref="F29:H34" si="20">F414</f>
        <v>0</v>
      </c>
      <c r="G29" s="21">
        <f t="shared" si="20"/>
        <v>0</v>
      </c>
      <c r="H29" s="21">
        <f t="shared" si="20"/>
        <v>0</v>
      </c>
      <c r="I29" s="10">
        <f t="shared" si="15"/>
        <v>0</v>
      </c>
      <c r="J29" s="10">
        <f t="shared" si="15"/>
        <v>0</v>
      </c>
      <c r="K29" s="10">
        <f t="shared" si="15"/>
        <v>0</v>
      </c>
      <c r="L29" s="10">
        <f t="shared" si="15"/>
        <v>0</v>
      </c>
      <c r="M29" s="17">
        <f t="shared" si="16"/>
        <v>0</v>
      </c>
      <c r="N29" s="10">
        <f t="shared" si="17"/>
        <v>0</v>
      </c>
      <c r="O29" s="10">
        <f t="shared" si="17"/>
        <v>0</v>
      </c>
      <c r="P29" s="10">
        <f t="shared" si="17"/>
        <v>0</v>
      </c>
      <c r="Q29" s="10">
        <f t="shared" si="17"/>
        <v>0</v>
      </c>
      <c r="R29" s="22">
        <f t="shared" si="18"/>
        <v>0</v>
      </c>
      <c r="S29" s="23">
        <f t="shared" si="19"/>
        <v>0</v>
      </c>
      <c r="T29" s="23">
        <f t="shared" si="19"/>
        <v>0</v>
      </c>
      <c r="U29" s="23">
        <f t="shared" si="19"/>
        <v>0</v>
      </c>
      <c r="W29" s="78" t="str">
        <f t="shared" ref="W29:W34" si="21">E29</f>
        <v>Capital Expenditure 2</v>
      </c>
      <c r="X29" s="64"/>
      <c r="Y29" s="64"/>
      <c r="Z29" s="64"/>
      <c r="AA29" s="64"/>
      <c r="AB29" s="60"/>
      <c r="AC29" s="64"/>
      <c r="AD29" s="64"/>
      <c r="AE29" s="64"/>
      <c r="AF29" s="64"/>
      <c r="AG29" s="60"/>
      <c r="AH29" s="64"/>
      <c r="AI29" s="64"/>
      <c r="AJ29" s="64"/>
    </row>
    <row r="30" spans="2:36" hidden="1" outlineLevel="1" x14ac:dyDescent="0.25">
      <c r="B30" s="229" t="s">
        <v>195</v>
      </c>
      <c r="E30" s="78" t="s">
        <v>85</v>
      </c>
      <c r="F30" s="21">
        <f t="shared" si="20"/>
        <v>0</v>
      </c>
      <c r="G30" s="21">
        <f t="shared" si="20"/>
        <v>0</v>
      </c>
      <c r="H30" s="21">
        <f t="shared" si="20"/>
        <v>0</v>
      </c>
      <c r="I30" s="10">
        <f t="shared" si="15"/>
        <v>0</v>
      </c>
      <c r="J30" s="10">
        <f t="shared" si="15"/>
        <v>0</v>
      </c>
      <c r="K30" s="10">
        <f t="shared" si="15"/>
        <v>0</v>
      </c>
      <c r="L30" s="10">
        <f t="shared" si="15"/>
        <v>0</v>
      </c>
      <c r="M30" s="17">
        <f t="shared" si="16"/>
        <v>0</v>
      </c>
      <c r="N30" s="10">
        <f t="shared" si="17"/>
        <v>0</v>
      </c>
      <c r="O30" s="10">
        <f t="shared" si="17"/>
        <v>0</v>
      </c>
      <c r="P30" s="10">
        <f t="shared" si="17"/>
        <v>0</v>
      </c>
      <c r="Q30" s="10">
        <f t="shared" si="17"/>
        <v>0</v>
      </c>
      <c r="R30" s="22">
        <f t="shared" si="18"/>
        <v>0</v>
      </c>
      <c r="S30" s="23">
        <f t="shared" si="19"/>
        <v>0</v>
      </c>
      <c r="T30" s="23">
        <f t="shared" si="19"/>
        <v>0</v>
      </c>
      <c r="U30" s="23">
        <f t="shared" si="19"/>
        <v>0</v>
      </c>
      <c r="W30" s="78" t="str">
        <f t="shared" si="21"/>
        <v>Capital Expenditure 3</v>
      </c>
      <c r="X30" s="64"/>
      <c r="Y30" s="64"/>
      <c r="Z30" s="64"/>
      <c r="AA30" s="64"/>
      <c r="AB30" s="60"/>
      <c r="AC30" s="64"/>
      <c r="AD30" s="64"/>
      <c r="AE30" s="64"/>
      <c r="AF30" s="64"/>
      <c r="AG30" s="60"/>
      <c r="AH30" s="64"/>
      <c r="AI30" s="64"/>
      <c r="AJ30" s="64"/>
    </row>
    <row r="31" spans="2:36" hidden="1" outlineLevel="1" x14ac:dyDescent="0.25">
      <c r="B31" s="229" t="s">
        <v>195</v>
      </c>
      <c r="E31" s="78" t="s">
        <v>86</v>
      </c>
      <c r="F31" s="21">
        <f t="shared" si="20"/>
        <v>0</v>
      </c>
      <c r="G31" s="21">
        <f t="shared" si="20"/>
        <v>0</v>
      </c>
      <c r="H31" s="21">
        <f t="shared" si="20"/>
        <v>0</v>
      </c>
      <c r="I31" s="10">
        <f t="shared" si="15"/>
        <v>0</v>
      </c>
      <c r="J31" s="10">
        <f t="shared" si="15"/>
        <v>0</v>
      </c>
      <c r="K31" s="10">
        <f t="shared" si="15"/>
        <v>0</v>
      </c>
      <c r="L31" s="10">
        <f t="shared" si="15"/>
        <v>0</v>
      </c>
      <c r="M31" s="17">
        <f t="shared" si="16"/>
        <v>0</v>
      </c>
      <c r="N31" s="10">
        <f t="shared" si="17"/>
        <v>0</v>
      </c>
      <c r="O31" s="10">
        <f t="shared" si="17"/>
        <v>0</v>
      </c>
      <c r="P31" s="10">
        <f t="shared" si="17"/>
        <v>0</v>
      </c>
      <c r="Q31" s="10">
        <f t="shared" si="17"/>
        <v>0</v>
      </c>
      <c r="R31" s="22">
        <f t="shared" si="18"/>
        <v>0</v>
      </c>
      <c r="S31" s="23">
        <f t="shared" si="19"/>
        <v>0</v>
      </c>
      <c r="T31" s="23">
        <f t="shared" si="19"/>
        <v>0</v>
      </c>
      <c r="U31" s="23">
        <f t="shared" si="19"/>
        <v>0</v>
      </c>
      <c r="W31" s="78" t="str">
        <f t="shared" si="21"/>
        <v>Capital Expenditure 4</v>
      </c>
      <c r="X31" s="64"/>
      <c r="Y31" s="64"/>
      <c r="Z31" s="64"/>
      <c r="AA31" s="64"/>
      <c r="AB31" s="60"/>
      <c r="AC31" s="64"/>
      <c r="AD31" s="64"/>
      <c r="AE31" s="64"/>
      <c r="AF31" s="64"/>
      <c r="AG31" s="60"/>
      <c r="AH31" s="64"/>
      <c r="AI31" s="64"/>
      <c r="AJ31" s="64"/>
    </row>
    <row r="32" spans="2:36" hidden="1" outlineLevel="1" x14ac:dyDescent="0.25">
      <c r="B32" s="229" t="s">
        <v>195</v>
      </c>
      <c r="E32" s="78" t="s">
        <v>87</v>
      </c>
      <c r="F32" s="21">
        <f t="shared" si="20"/>
        <v>0</v>
      </c>
      <c r="G32" s="21">
        <f t="shared" si="20"/>
        <v>0</v>
      </c>
      <c r="H32" s="21">
        <f t="shared" si="20"/>
        <v>0</v>
      </c>
      <c r="I32" s="10">
        <f t="shared" si="15"/>
        <v>0</v>
      </c>
      <c r="J32" s="10">
        <f t="shared" si="15"/>
        <v>0</v>
      </c>
      <c r="K32" s="10">
        <f t="shared" si="15"/>
        <v>0</v>
      </c>
      <c r="L32" s="10">
        <f t="shared" si="15"/>
        <v>0</v>
      </c>
      <c r="M32" s="17">
        <f t="shared" si="16"/>
        <v>0</v>
      </c>
      <c r="N32" s="10">
        <f t="shared" si="17"/>
        <v>0</v>
      </c>
      <c r="O32" s="10">
        <f t="shared" si="17"/>
        <v>0</v>
      </c>
      <c r="P32" s="10">
        <f t="shared" si="17"/>
        <v>0</v>
      </c>
      <c r="Q32" s="10">
        <f t="shared" si="17"/>
        <v>0</v>
      </c>
      <c r="R32" s="22">
        <f t="shared" si="18"/>
        <v>0</v>
      </c>
      <c r="S32" s="23">
        <f t="shared" si="19"/>
        <v>0</v>
      </c>
      <c r="T32" s="23">
        <f t="shared" si="19"/>
        <v>0</v>
      </c>
      <c r="U32" s="23">
        <f t="shared" si="19"/>
        <v>0</v>
      </c>
      <c r="W32" s="78" t="str">
        <f t="shared" si="21"/>
        <v>Capital Expenditure 5</v>
      </c>
      <c r="X32" s="64"/>
      <c r="Y32" s="64"/>
      <c r="Z32" s="64"/>
      <c r="AA32" s="64"/>
      <c r="AB32" s="60"/>
      <c r="AC32" s="64"/>
      <c r="AD32" s="64"/>
      <c r="AE32" s="64"/>
      <c r="AF32" s="64"/>
      <c r="AG32" s="60"/>
      <c r="AH32" s="64"/>
      <c r="AI32" s="64"/>
      <c r="AJ32" s="64"/>
    </row>
    <row r="33" spans="2:36" hidden="1" outlineLevel="1" x14ac:dyDescent="0.25">
      <c r="B33" s="229" t="s">
        <v>195</v>
      </c>
      <c r="E33" s="78" t="s">
        <v>88</v>
      </c>
      <c r="F33" s="21">
        <f t="shared" si="20"/>
        <v>0</v>
      </c>
      <c r="G33" s="21">
        <f t="shared" si="20"/>
        <v>0</v>
      </c>
      <c r="H33" s="21">
        <f t="shared" si="20"/>
        <v>0</v>
      </c>
      <c r="I33" s="10">
        <f t="shared" si="15"/>
        <v>0</v>
      </c>
      <c r="J33" s="10">
        <f t="shared" si="15"/>
        <v>0</v>
      </c>
      <c r="K33" s="10">
        <f t="shared" si="15"/>
        <v>0</v>
      </c>
      <c r="L33" s="10">
        <f t="shared" si="15"/>
        <v>0</v>
      </c>
      <c r="M33" s="17">
        <f t="shared" si="16"/>
        <v>0</v>
      </c>
      <c r="N33" s="10">
        <f t="shared" si="17"/>
        <v>0</v>
      </c>
      <c r="O33" s="10">
        <f t="shared" si="17"/>
        <v>0</v>
      </c>
      <c r="P33" s="10">
        <f t="shared" si="17"/>
        <v>0</v>
      </c>
      <c r="Q33" s="10">
        <f t="shared" si="17"/>
        <v>0</v>
      </c>
      <c r="R33" s="22">
        <f t="shared" si="18"/>
        <v>0</v>
      </c>
      <c r="S33" s="23">
        <f t="shared" si="19"/>
        <v>0</v>
      </c>
      <c r="T33" s="23">
        <f t="shared" si="19"/>
        <v>0</v>
      </c>
      <c r="U33" s="23">
        <f t="shared" si="19"/>
        <v>0</v>
      </c>
      <c r="W33" s="78" t="str">
        <f t="shared" si="21"/>
        <v>All Other</v>
      </c>
      <c r="X33" s="64"/>
      <c r="Y33" s="64"/>
      <c r="Z33" s="64"/>
      <c r="AA33" s="64"/>
      <c r="AB33" s="60"/>
      <c r="AC33" s="64"/>
      <c r="AD33" s="64"/>
      <c r="AE33" s="64"/>
      <c r="AF33" s="64"/>
      <c r="AG33" s="60"/>
      <c r="AH33" s="64"/>
      <c r="AI33" s="64"/>
      <c r="AJ33" s="64"/>
    </row>
    <row r="34" spans="2:36" hidden="1" outlineLevel="1" x14ac:dyDescent="0.25">
      <c r="B34" s="229" t="s">
        <v>195</v>
      </c>
      <c r="E34" s="78" t="s">
        <v>77</v>
      </c>
      <c r="F34" s="21">
        <f t="shared" si="20"/>
        <v>0</v>
      </c>
      <c r="G34" s="21">
        <f t="shared" si="20"/>
        <v>0</v>
      </c>
      <c r="H34" s="21">
        <f t="shared" si="20"/>
        <v>0</v>
      </c>
      <c r="I34" s="10">
        <f t="shared" si="15"/>
        <v>0</v>
      </c>
      <c r="J34" s="10">
        <f t="shared" si="15"/>
        <v>0</v>
      </c>
      <c r="K34" s="10">
        <f t="shared" si="15"/>
        <v>0</v>
      </c>
      <c r="L34" s="10">
        <f t="shared" si="15"/>
        <v>0</v>
      </c>
      <c r="M34" s="17">
        <f t="shared" si="16"/>
        <v>0</v>
      </c>
      <c r="N34" s="10">
        <f t="shared" si="17"/>
        <v>0</v>
      </c>
      <c r="O34" s="10">
        <f t="shared" si="17"/>
        <v>0</v>
      </c>
      <c r="P34" s="10">
        <f t="shared" si="17"/>
        <v>0</v>
      </c>
      <c r="Q34" s="10">
        <f t="shared" si="17"/>
        <v>0</v>
      </c>
      <c r="R34" s="22">
        <f t="shared" si="18"/>
        <v>0</v>
      </c>
      <c r="S34" s="23">
        <f t="shared" si="19"/>
        <v>0</v>
      </c>
      <c r="T34" s="23">
        <f t="shared" si="19"/>
        <v>0</v>
      </c>
      <c r="U34" s="23">
        <f t="shared" si="19"/>
        <v>0</v>
      </c>
      <c r="W34" s="78" t="str">
        <f t="shared" si="21"/>
        <v>blank</v>
      </c>
      <c r="X34" s="64"/>
      <c r="Y34" s="64"/>
      <c r="Z34" s="64"/>
      <c r="AA34" s="64"/>
      <c r="AB34" s="60"/>
      <c r="AC34" s="64"/>
      <c r="AD34" s="64"/>
      <c r="AE34" s="64"/>
      <c r="AF34" s="64"/>
      <c r="AG34" s="60"/>
      <c r="AH34" s="64"/>
      <c r="AI34" s="64"/>
      <c r="AJ34" s="64"/>
    </row>
    <row r="35" spans="2:36" ht="15.75" hidden="1" outlineLevel="1" thickBot="1" x14ac:dyDescent="0.3">
      <c r="E35" s="8" t="s">
        <v>27</v>
      </c>
      <c r="F35" s="9">
        <f t="shared" ref="F35:U35" si="22">SUM(F28:F34)</f>
        <v>0</v>
      </c>
      <c r="G35" s="9">
        <f t="shared" si="22"/>
        <v>0</v>
      </c>
      <c r="H35" s="9">
        <f t="shared" si="22"/>
        <v>0</v>
      </c>
      <c r="I35" s="11">
        <f t="shared" si="22"/>
        <v>0</v>
      </c>
      <c r="J35" s="11">
        <f t="shared" si="22"/>
        <v>0</v>
      </c>
      <c r="K35" s="11">
        <f t="shared" si="22"/>
        <v>0</v>
      </c>
      <c r="L35" s="11">
        <f t="shared" si="22"/>
        <v>0</v>
      </c>
      <c r="M35" s="18">
        <f t="shared" si="22"/>
        <v>0</v>
      </c>
      <c r="N35" s="11">
        <f t="shared" si="22"/>
        <v>0</v>
      </c>
      <c r="O35" s="11">
        <f t="shared" si="22"/>
        <v>0</v>
      </c>
      <c r="P35" s="11">
        <f t="shared" si="22"/>
        <v>0</v>
      </c>
      <c r="Q35" s="11">
        <f t="shared" si="22"/>
        <v>0</v>
      </c>
      <c r="R35" s="19">
        <f t="shared" si="22"/>
        <v>0</v>
      </c>
      <c r="S35" s="20">
        <f t="shared" si="22"/>
        <v>0</v>
      </c>
      <c r="T35" s="20">
        <f t="shared" si="22"/>
        <v>0</v>
      </c>
      <c r="U35" s="20">
        <f t="shared" si="22"/>
        <v>0</v>
      </c>
    </row>
    <row r="36" spans="2:36" ht="15.75" hidden="1" outlineLevel="1" thickTop="1" x14ac:dyDescent="0.25"/>
    <row r="37" spans="2:36" hidden="1" outlineLevel="1" x14ac:dyDescent="0.25">
      <c r="C37" s="229" t="s">
        <v>195</v>
      </c>
      <c r="E37" s="78" t="s">
        <v>89</v>
      </c>
      <c r="F37" s="21">
        <f>F422</f>
        <v>0</v>
      </c>
      <c r="G37" s="21">
        <f t="shared" ref="G37:H37" si="23">G422</f>
        <v>0</v>
      </c>
      <c r="H37" s="21">
        <f t="shared" si="23"/>
        <v>0</v>
      </c>
      <c r="I37" s="10">
        <f t="shared" ref="I37:L43" si="24">IF(X37="",I422,X37)</f>
        <v>0</v>
      </c>
      <c r="J37" s="10">
        <f t="shared" si="24"/>
        <v>0</v>
      </c>
      <c r="K37" s="10">
        <f t="shared" si="24"/>
        <v>0</v>
      </c>
      <c r="L37" s="10">
        <f t="shared" si="24"/>
        <v>0</v>
      </c>
      <c r="M37" s="17">
        <f t="shared" ref="M37:M43" si="25">SUM(I37:L37)</f>
        <v>0</v>
      </c>
      <c r="N37" s="10">
        <f t="shared" ref="N37:Q43" si="26">IF(AC37="",N422,AC37)</f>
        <v>0</v>
      </c>
      <c r="O37" s="10">
        <f t="shared" si="26"/>
        <v>0</v>
      </c>
      <c r="P37" s="10">
        <f t="shared" si="26"/>
        <v>0</v>
      </c>
      <c r="Q37" s="10">
        <f t="shared" si="26"/>
        <v>0</v>
      </c>
      <c r="R37" s="22">
        <f t="shared" ref="R37:R43" si="27">SUM(N37:Q37)</f>
        <v>0</v>
      </c>
      <c r="S37" s="23">
        <f t="shared" ref="S37:U43" si="28">IF(AH37="",S422,AH37)</f>
        <v>0</v>
      </c>
      <c r="T37" s="23">
        <f t="shared" si="28"/>
        <v>0</v>
      </c>
      <c r="U37" s="23">
        <f t="shared" si="28"/>
        <v>0</v>
      </c>
      <c r="W37" s="78" t="str">
        <f>E37</f>
        <v>Depreciation Expense 1</v>
      </c>
      <c r="X37" s="64"/>
      <c r="Y37" s="64"/>
      <c r="Z37" s="64"/>
      <c r="AA37" s="64"/>
      <c r="AB37" s="60"/>
      <c r="AC37" s="64"/>
      <c r="AD37" s="64"/>
      <c r="AE37" s="64"/>
      <c r="AF37" s="64"/>
      <c r="AG37" s="60"/>
      <c r="AH37" s="64"/>
      <c r="AI37" s="64"/>
      <c r="AJ37" s="64"/>
    </row>
    <row r="38" spans="2:36" hidden="1" outlineLevel="1" x14ac:dyDescent="0.25">
      <c r="C38" s="229" t="s">
        <v>195</v>
      </c>
      <c r="E38" s="78" t="s">
        <v>90</v>
      </c>
      <c r="F38" s="21">
        <f t="shared" ref="F38:H43" si="29">F423</f>
        <v>0</v>
      </c>
      <c r="G38" s="21">
        <f t="shared" si="29"/>
        <v>0</v>
      </c>
      <c r="H38" s="21">
        <f t="shared" si="29"/>
        <v>0</v>
      </c>
      <c r="I38" s="10">
        <f t="shared" si="24"/>
        <v>0</v>
      </c>
      <c r="J38" s="10">
        <f t="shared" si="24"/>
        <v>0</v>
      </c>
      <c r="K38" s="10">
        <f t="shared" si="24"/>
        <v>0</v>
      </c>
      <c r="L38" s="10">
        <f t="shared" si="24"/>
        <v>0</v>
      </c>
      <c r="M38" s="17">
        <f t="shared" si="25"/>
        <v>0</v>
      </c>
      <c r="N38" s="10">
        <f t="shared" si="26"/>
        <v>0</v>
      </c>
      <c r="O38" s="10">
        <f t="shared" si="26"/>
        <v>0</v>
      </c>
      <c r="P38" s="10">
        <f t="shared" si="26"/>
        <v>0</v>
      </c>
      <c r="Q38" s="10">
        <f t="shared" si="26"/>
        <v>0</v>
      </c>
      <c r="R38" s="22">
        <f t="shared" si="27"/>
        <v>0</v>
      </c>
      <c r="S38" s="23">
        <f t="shared" si="28"/>
        <v>0</v>
      </c>
      <c r="T38" s="23">
        <f t="shared" si="28"/>
        <v>0</v>
      </c>
      <c r="U38" s="23">
        <f t="shared" si="28"/>
        <v>0</v>
      </c>
      <c r="W38" s="78" t="str">
        <f t="shared" ref="W38:W43" si="30">E38</f>
        <v>Depreciation Expense 2</v>
      </c>
      <c r="X38" s="64"/>
      <c r="Y38" s="64"/>
      <c r="Z38" s="64"/>
      <c r="AA38" s="64"/>
      <c r="AB38" s="60"/>
      <c r="AC38" s="64"/>
      <c r="AD38" s="64"/>
      <c r="AE38" s="64"/>
      <c r="AF38" s="64"/>
      <c r="AG38" s="60"/>
      <c r="AH38" s="64"/>
      <c r="AI38" s="64"/>
      <c r="AJ38" s="64"/>
    </row>
    <row r="39" spans="2:36" hidden="1" outlineLevel="1" x14ac:dyDescent="0.25">
      <c r="C39" s="229" t="s">
        <v>195</v>
      </c>
      <c r="E39" s="78" t="s">
        <v>91</v>
      </c>
      <c r="F39" s="21">
        <f t="shared" si="29"/>
        <v>0</v>
      </c>
      <c r="G39" s="21">
        <f t="shared" si="29"/>
        <v>0</v>
      </c>
      <c r="H39" s="21">
        <f t="shared" si="29"/>
        <v>0</v>
      </c>
      <c r="I39" s="10">
        <f t="shared" si="24"/>
        <v>0</v>
      </c>
      <c r="J39" s="10">
        <f t="shared" si="24"/>
        <v>0</v>
      </c>
      <c r="K39" s="10">
        <f t="shared" si="24"/>
        <v>0</v>
      </c>
      <c r="L39" s="10">
        <f t="shared" si="24"/>
        <v>0</v>
      </c>
      <c r="M39" s="17">
        <f t="shared" si="25"/>
        <v>0</v>
      </c>
      <c r="N39" s="10">
        <f t="shared" si="26"/>
        <v>0</v>
      </c>
      <c r="O39" s="10">
        <f t="shared" si="26"/>
        <v>0</v>
      </c>
      <c r="P39" s="10">
        <f t="shared" si="26"/>
        <v>0</v>
      </c>
      <c r="Q39" s="10">
        <f t="shared" si="26"/>
        <v>0</v>
      </c>
      <c r="R39" s="22">
        <f t="shared" si="27"/>
        <v>0</v>
      </c>
      <c r="S39" s="23">
        <f t="shared" si="28"/>
        <v>0</v>
      </c>
      <c r="T39" s="23">
        <f t="shared" si="28"/>
        <v>0</v>
      </c>
      <c r="U39" s="23">
        <f t="shared" si="28"/>
        <v>0</v>
      </c>
      <c r="W39" s="78" t="str">
        <f t="shared" si="30"/>
        <v>Depreciation Expense 3</v>
      </c>
      <c r="X39" s="64"/>
      <c r="Y39" s="64"/>
      <c r="Z39" s="64"/>
      <c r="AA39" s="64"/>
      <c r="AB39" s="60"/>
      <c r="AC39" s="64"/>
      <c r="AD39" s="64"/>
      <c r="AE39" s="64"/>
      <c r="AF39" s="64"/>
      <c r="AG39" s="60"/>
      <c r="AH39" s="64"/>
      <c r="AI39" s="64"/>
      <c r="AJ39" s="64"/>
    </row>
    <row r="40" spans="2:36" hidden="1" outlineLevel="1" x14ac:dyDescent="0.25">
      <c r="C40" s="229" t="s">
        <v>195</v>
      </c>
      <c r="E40" s="78" t="s">
        <v>92</v>
      </c>
      <c r="F40" s="21">
        <f t="shared" si="29"/>
        <v>0</v>
      </c>
      <c r="G40" s="21">
        <f t="shared" si="29"/>
        <v>0</v>
      </c>
      <c r="H40" s="21">
        <f t="shared" si="29"/>
        <v>0</v>
      </c>
      <c r="I40" s="10">
        <f t="shared" si="24"/>
        <v>0</v>
      </c>
      <c r="J40" s="10">
        <f t="shared" si="24"/>
        <v>0</v>
      </c>
      <c r="K40" s="10">
        <f t="shared" si="24"/>
        <v>0</v>
      </c>
      <c r="L40" s="10">
        <f t="shared" si="24"/>
        <v>0</v>
      </c>
      <c r="M40" s="17">
        <f t="shared" si="25"/>
        <v>0</v>
      </c>
      <c r="N40" s="10">
        <f t="shared" si="26"/>
        <v>0</v>
      </c>
      <c r="O40" s="10">
        <f t="shared" si="26"/>
        <v>0</v>
      </c>
      <c r="P40" s="10">
        <f t="shared" si="26"/>
        <v>0</v>
      </c>
      <c r="Q40" s="10">
        <f t="shared" si="26"/>
        <v>0</v>
      </c>
      <c r="R40" s="22">
        <f t="shared" si="27"/>
        <v>0</v>
      </c>
      <c r="S40" s="23">
        <f t="shared" si="28"/>
        <v>0</v>
      </c>
      <c r="T40" s="23">
        <f t="shared" si="28"/>
        <v>0</v>
      </c>
      <c r="U40" s="23">
        <f t="shared" si="28"/>
        <v>0</v>
      </c>
      <c r="W40" s="78" t="str">
        <f t="shared" si="30"/>
        <v>Depreciation Expense 4</v>
      </c>
      <c r="X40" s="64"/>
      <c r="Y40" s="64"/>
      <c r="Z40" s="64"/>
      <c r="AA40" s="64"/>
      <c r="AB40" s="60"/>
      <c r="AC40" s="64"/>
      <c r="AD40" s="64"/>
      <c r="AE40" s="64"/>
      <c r="AF40" s="64"/>
      <c r="AG40" s="60"/>
      <c r="AH40" s="64"/>
      <c r="AI40" s="64"/>
      <c r="AJ40" s="64"/>
    </row>
    <row r="41" spans="2:36" hidden="1" outlineLevel="1" x14ac:dyDescent="0.25">
      <c r="C41" s="229" t="s">
        <v>195</v>
      </c>
      <c r="E41" s="78" t="s">
        <v>93</v>
      </c>
      <c r="F41" s="21">
        <f t="shared" si="29"/>
        <v>0</v>
      </c>
      <c r="G41" s="21">
        <f t="shared" si="29"/>
        <v>0</v>
      </c>
      <c r="H41" s="21">
        <f t="shared" si="29"/>
        <v>0</v>
      </c>
      <c r="I41" s="10">
        <f t="shared" si="24"/>
        <v>0</v>
      </c>
      <c r="J41" s="10">
        <f t="shared" si="24"/>
        <v>0</v>
      </c>
      <c r="K41" s="10">
        <f t="shared" si="24"/>
        <v>0</v>
      </c>
      <c r="L41" s="10">
        <f t="shared" si="24"/>
        <v>0</v>
      </c>
      <c r="M41" s="17">
        <f t="shared" si="25"/>
        <v>0</v>
      </c>
      <c r="N41" s="10">
        <f t="shared" si="26"/>
        <v>0</v>
      </c>
      <c r="O41" s="10">
        <f t="shared" si="26"/>
        <v>0</v>
      </c>
      <c r="P41" s="10">
        <f t="shared" si="26"/>
        <v>0</v>
      </c>
      <c r="Q41" s="10">
        <f t="shared" si="26"/>
        <v>0</v>
      </c>
      <c r="R41" s="22">
        <f t="shared" si="27"/>
        <v>0</v>
      </c>
      <c r="S41" s="23">
        <f t="shared" si="28"/>
        <v>0</v>
      </c>
      <c r="T41" s="23">
        <f t="shared" si="28"/>
        <v>0</v>
      </c>
      <c r="U41" s="23">
        <f t="shared" si="28"/>
        <v>0</v>
      </c>
      <c r="W41" s="78" t="str">
        <f t="shared" si="30"/>
        <v>Depreciation Expense 5</v>
      </c>
      <c r="X41" s="64"/>
      <c r="Y41" s="64"/>
      <c r="Z41" s="64"/>
      <c r="AA41" s="64"/>
      <c r="AB41" s="60"/>
      <c r="AC41" s="64"/>
      <c r="AD41" s="64"/>
      <c r="AE41" s="64"/>
      <c r="AF41" s="64"/>
      <c r="AG41" s="60"/>
      <c r="AH41" s="64"/>
      <c r="AI41" s="64"/>
      <c r="AJ41" s="64"/>
    </row>
    <row r="42" spans="2:36" hidden="1" outlineLevel="1" x14ac:dyDescent="0.25">
      <c r="C42" s="229" t="s">
        <v>195</v>
      </c>
      <c r="E42" s="78" t="s">
        <v>88</v>
      </c>
      <c r="F42" s="21">
        <f t="shared" si="29"/>
        <v>0</v>
      </c>
      <c r="G42" s="21">
        <f t="shared" si="29"/>
        <v>0</v>
      </c>
      <c r="H42" s="21">
        <f t="shared" si="29"/>
        <v>0</v>
      </c>
      <c r="I42" s="10">
        <f t="shared" si="24"/>
        <v>0</v>
      </c>
      <c r="J42" s="10">
        <f t="shared" si="24"/>
        <v>0</v>
      </c>
      <c r="K42" s="10">
        <f t="shared" si="24"/>
        <v>0</v>
      </c>
      <c r="L42" s="10">
        <f t="shared" si="24"/>
        <v>0</v>
      </c>
      <c r="M42" s="17">
        <f t="shared" si="25"/>
        <v>0</v>
      </c>
      <c r="N42" s="10">
        <f t="shared" si="26"/>
        <v>0</v>
      </c>
      <c r="O42" s="10">
        <f t="shared" si="26"/>
        <v>0</v>
      </c>
      <c r="P42" s="10">
        <f t="shared" si="26"/>
        <v>0</v>
      </c>
      <c r="Q42" s="10">
        <f t="shared" si="26"/>
        <v>0</v>
      </c>
      <c r="R42" s="22">
        <f t="shared" si="27"/>
        <v>0</v>
      </c>
      <c r="S42" s="23">
        <f t="shared" si="28"/>
        <v>0</v>
      </c>
      <c r="T42" s="23">
        <f t="shared" si="28"/>
        <v>0</v>
      </c>
      <c r="U42" s="23">
        <f t="shared" si="28"/>
        <v>0</v>
      </c>
      <c r="W42" s="78" t="str">
        <f t="shared" si="30"/>
        <v>All Other</v>
      </c>
      <c r="X42" s="64"/>
      <c r="Y42" s="64"/>
      <c r="Z42" s="64"/>
      <c r="AA42" s="64"/>
      <c r="AB42" s="60"/>
      <c r="AC42" s="64"/>
      <c r="AD42" s="64"/>
      <c r="AE42" s="64"/>
      <c r="AF42" s="64"/>
      <c r="AG42" s="60"/>
      <c r="AH42" s="64"/>
      <c r="AI42" s="64"/>
      <c r="AJ42" s="64"/>
    </row>
    <row r="43" spans="2:36" hidden="1" outlineLevel="1" x14ac:dyDescent="0.25">
      <c r="C43" s="229" t="s">
        <v>195</v>
      </c>
      <c r="E43" s="78" t="s">
        <v>77</v>
      </c>
      <c r="F43" s="21">
        <f t="shared" si="29"/>
        <v>0</v>
      </c>
      <c r="G43" s="21">
        <f t="shared" si="29"/>
        <v>0</v>
      </c>
      <c r="H43" s="21">
        <f t="shared" si="29"/>
        <v>0</v>
      </c>
      <c r="I43" s="10">
        <f t="shared" si="24"/>
        <v>0</v>
      </c>
      <c r="J43" s="10">
        <f t="shared" si="24"/>
        <v>0</v>
      </c>
      <c r="K43" s="10">
        <f t="shared" si="24"/>
        <v>0</v>
      </c>
      <c r="L43" s="10">
        <f t="shared" si="24"/>
        <v>0</v>
      </c>
      <c r="M43" s="17">
        <f t="shared" si="25"/>
        <v>0</v>
      </c>
      <c r="N43" s="10">
        <f t="shared" si="26"/>
        <v>0</v>
      </c>
      <c r="O43" s="10">
        <f t="shared" si="26"/>
        <v>0</v>
      </c>
      <c r="P43" s="10">
        <f t="shared" si="26"/>
        <v>0</v>
      </c>
      <c r="Q43" s="10">
        <f t="shared" si="26"/>
        <v>0</v>
      </c>
      <c r="R43" s="22">
        <f t="shared" si="27"/>
        <v>0</v>
      </c>
      <c r="S43" s="23">
        <f t="shared" si="28"/>
        <v>0</v>
      </c>
      <c r="T43" s="23">
        <f t="shared" si="28"/>
        <v>0</v>
      </c>
      <c r="U43" s="23">
        <f t="shared" si="28"/>
        <v>0</v>
      </c>
      <c r="W43" s="78" t="str">
        <f t="shared" si="30"/>
        <v>blank</v>
      </c>
      <c r="X43" s="64"/>
      <c r="Y43" s="64"/>
      <c r="Z43" s="64"/>
      <c r="AA43" s="64"/>
      <c r="AB43" s="60"/>
      <c r="AC43" s="64"/>
      <c r="AD43" s="64"/>
      <c r="AE43" s="64"/>
      <c r="AF43" s="64"/>
      <c r="AG43" s="60"/>
      <c r="AH43" s="64"/>
      <c r="AI43" s="64"/>
      <c r="AJ43" s="64"/>
    </row>
    <row r="44" spans="2:36" ht="15.75" hidden="1" outlineLevel="1" thickBot="1" x14ac:dyDescent="0.3">
      <c r="E44" s="8" t="s">
        <v>27</v>
      </c>
      <c r="F44" s="9">
        <f t="shared" ref="F44:U44" si="31">SUM(F37:F43)</f>
        <v>0</v>
      </c>
      <c r="G44" s="9">
        <f t="shared" si="31"/>
        <v>0</v>
      </c>
      <c r="H44" s="9">
        <f t="shared" si="31"/>
        <v>0</v>
      </c>
      <c r="I44" s="11">
        <f t="shared" si="31"/>
        <v>0</v>
      </c>
      <c r="J44" s="11">
        <f t="shared" si="31"/>
        <v>0</v>
      </c>
      <c r="K44" s="11">
        <f t="shared" si="31"/>
        <v>0</v>
      </c>
      <c r="L44" s="11">
        <f t="shared" si="31"/>
        <v>0</v>
      </c>
      <c r="M44" s="18">
        <f t="shared" si="31"/>
        <v>0</v>
      </c>
      <c r="N44" s="11">
        <f t="shared" si="31"/>
        <v>0</v>
      </c>
      <c r="O44" s="11">
        <f t="shared" si="31"/>
        <v>0</v>
      </c>
      <c r="P44" s="11">
        <f t="shared" si="31"/>
        <v>0</v>
      </c>
      <c r="Q44" s="11">
        <f t="shared" si="31"/>
        <v>0</v>
      </c>
      <c r="R44" s="19">
        <f t="shared" si="31"/>
        <v>0</v>
      </c>
      <c r="S44" s="20">
        <f t="shared" si="31"/>
        <v>0</v>
      </c>
      <c r="T44" s="20">
        <f t="shared" si="31"/>
        <v>0</v>
      </c>
      <c r="U44" s="20">
        <f t="shared" si="31"/>
        <v>0</v>
      </c>
    </row>
    <row r="45" spans="2:36" ht="15.75" hidden="1" outlineLevel="1" thickTop="1" x14ac:dyDescent="0.25"/>
    <row r="46" spans="2:36" hidden="1" outlineLevel="1" x14ac:dyDescent="0.25"/>
    <row r="47" spans="2:36" hidden="1" outlineLevel="1" x14ac:dyDescent="0.25"/>
    <row r="48" spans="2:36" hidden="1" outlineLevel="1" x14ac:dyDescent="0.25">
      <c r="E48" s="4" t="s">
        <v>101</v>
      </c>
      <c r="W48" s="4" t="s">
        <v>101</v>
      </c>
    </row>
    <row r="49" spans="2:36" hidden="1" outlineLevel="1" x14ac:dyDescent="0.25">
      <c r="E49" s="6" t="s">
        <v>25</v>
      </c>
      <c r="W49" s="61" t="s">
        <v>62</v>
      </c>
    </row>
    <row r="50" spans="2:36" hidden="1" outlineLevel="1" x14ac:dyDescent="0.25"/>
    <row r="51" spans="2:36" hidden="1" outlineLevel="1" x14ac:dyDescent="0.25">
      <c r="F51" s="12">
        <f>Inputs!$C$7</f>
        <v>2023</v>
      </c>
      <c r="G51" s="12">
        <f>Inputs!$C$8</f>
        <v>2024</v>
      </c>
      <c r="H51" s="12">
        <f>Inputs!$C$9</f>
        <v>2025</v>
      </c>
      <c r="I51" s="13" t="s">
        <v>1</v>
      </c>
      <c r="J51" s="13" t="s">
        <v>2</v>
      </c>
      <c r="K51" s="13" t="s">
        <v>3</v>
      </c>
      <c r="L51" s="13" t="s">
        <v>4</v>
      </c>
      <c r="M51" s="13">
        <f>Inputs!$C$10</f>
        <v>2026</v>
      </c>
      <c r="N51" s="14" t="s">
        <v>1</v>
      </c>
      <c r="O51" s="14" t="s">
        <v>2</v>
      </c>
      <c r="P51" s="14" t="s">
        <v>3</v>
      </c>
      <c r="Q51" s="14" t="s">
        <v>4</v>
      </c>
      <c r="R51" s="15">
        <f>Inputs!$C$11</f>
        <v>2027</v>
      </c>
      <c r="S51" s="16">
        <f>Inputs!$C$12</f>
        <v>2028</v>
      </c>
      <c r="T51" s="16">
        <f>Inputs!$C$13</f>
        <v>2029</v>
      </c>
      <c r="U51" s="16">
        <f>Inputs!$C$14</f>
        <v>2030</v>
      </c>
      <c r="X51" s="13" t="s">
        <v>1</v>
      </c>
      <c r="Y51" s="13" t="s">
        <v>2</v>
      </c>
      <c r="Z51" s="13" t="s">
        <v>3</v>
      </c>
      <c r="AA51" s="13" t="s">
        <v>4</v>
      </c>
      <c r="AB51" s="13">
        <f>Inputs!$C$10</f>
        <v>2026</v>
      </c>
      <c r="AC51" s="14" t="s">
        <v>1</v>
      </c>
      <c r="AD51" s="14" t="s">
        <v>2</v>
      </c>
      <c r="AE51" s="14" t="s">
        <v>3</v>
      </c>
      <c r="AF51" s="14" t="s">
        <v>4</v>
      </c>
      <c r="AG51" s="15">
        <f>Inputs!$C$11</f>
        <v>2027</v>
      </c>
      <c r="AH51" s="16">
        <f>Inputs!$C$12</f>
        <v>2028</v>
      </c>
      <c r="AI51" s="16">
        <f>Inputs!$C$13</f>
        <v>2029</v>
      </c>
      <c r="AJ51" s="16">
        <f>Inputs!$C$14</f>
        <v>2030</v>
      </c>
    </row>
    <row r="52" spans="2:36" hidden="1" outlineLevel="1" x14ac:dyDescent="0.25">
      <c r="F52" s="71" t="s">
        <v>63</v>
      </c>
      <c r="G52" s="71" t="s">
        <v>63</v>
      </c>
      <c r="H52" s="71" t="s">
        <v>63</v>
      </c>
      <c r="I52" s="71" t="s">
        <v>63</v>
      </c>
      <c r="J52" s="71" t="s">
        <v>63</v>
      </c>
      <c r="K52" s="71" t="s">
        <v>63</v>
      </c>
      <c r="L52" s="71" t="s">
        <v>63</v>
      </c>
      <c r="M52" s="71" t="s">
        <v>63</v>
      </c>
      <c r="N52" s="71" t="s">
        <v>63</v>
      </c>
      <c r="O52" s="71" t="s">
        <v>63</v>
      </c>
      <c r="P52" s="71" t="s">
        <v>63</v>
      </c>
      <c r="Q52" s="71" t="s">
        <v>63</v>
      </c>
      <c r="R52" s="71" t="s">
        <v>63</v>
      </c>
      <c r="S52" s="71" t="s">
        <v>63</v>
      </c>
      <c r="T52" s="71" t="s">
        <v>63</v>
      </c>
      <c r="U52" s="71" t="s">
        <v>63</v>
      </c>
      <c r="X52" s="63" t="s">
        <v>30</v>
      </c>
      <c r="Y52" s="63" t="s">
        <v>30</v>
      </c>
      <c r="Z52" s="63" t="s">
        <v>30</v>
      </c>
      <c r="AA52" s="63" t="s">
        <v>30</v>
      </c>
      <c r="AB52" s="62"/>
      <c r="AC52" s="63" t="s">
        <v>30</v>
      </c>
      <c r="AD52" s="63" t="s">
        <v>30</v>
      </c>
      <c r="AE52" s="63" t="s">
        <v>30</v>
      </c>
      <c r="AF52" s="63" t="s">
        <v>30</v>
      </c>
      <c r="AG52" s="62"/>
      <c r="AH52" s="63" t="s">
        <v>30</v>
      </c>
      <c r="AI52" s="63" t="s">
        <v>30</v>
      </c>
      <c r="AJ52" s="63" t="s">
        <v>30</v>
      </c>
    </row>
    <row r="53" spans="2:36" hidden="1" outlineLevel="1" x14ac:dyDescent="0.25">
      <c r="B53" s="229" t="s">
        <v>195</v>
      </c>
      <c r="E53" s="78" t="s">
        <v>94</v>
      </c>
      <c r="F53" s="21">
        <f>F438</f>
        <v>0</v>
      </c>
      <c r="G53" s="21">
        <f t="shared" ref="G53:H53" si="32">G438</f>
        <v>0</v>
      </c>
      <c r="H53" s="21">
        <f t="shared" si="32"/>
        <v>0</v>
      </c>
      <c r="I53" s="10">
        <f t="shared" ref="I53:L59" si="33">IF(X53="",I438,X53)</f>
        <v>0</v>
      </c>
      <c r="J53" s="10">
        <f t="shared" si="33"/>
        <v>0</v>
      </c>
      <c r="K53" s="10">
        <f t="shared" si="33"/>
        <v>0</v>
      </c>
      <c r="L53" s="10">
        <f t="shared" si="33"/>
        <v>0</v>
      </c>
      <c r="M53" s="17">
        <f t="shared" ref="M53:M59" si="34">SUM(I53:L53)</f>
        <v>0</v>
      </c>
      <c r="N53" s="10">
        <f t="shared" ref="N53:Q59" si="35">IF(AC53="",N438,AC53)</f>
        <v>0</v>
      </c>
      <c r="O53" s="10">
        <f t="shared" si="35"/>
        <v>0</v>
      </c>
      <c r="P53" s="10">
        <f t="shared" si="35"/>
        <v>0</v>
      </c>
      <c r="Q53" s="10">
        <f t="shared" si="35"/>
        <v>0</v>
      </c>
      <c r="R53" s="22">
        <f t="shared" ref="R53:R59" si="36">SUM(N53:Q53)</f>
        <v>0</v>
      </c>
      <c r="S53" s="23">
        <f t="shared" ref="S53:U59" si="37">IF(AH53="",S438,AH53)</f>
        <v>0</v>
      </c>
      <c r="T53" s="23">
        <f t="shared" si="37"/>
        <v>0</v>
      </c>
      <c r="U53" s="23">
        <f t="shared" si="37"/>
        <v>0</v>
      </c>
      <c r="W53" s="78" t="str">
        <f>E53</f>
        <v>Asset Sale 1</v>
      </c>
      <c r="X53" s="64"/>
      <c r="Y53" s="64"/>
      <c r="Z53" s="64"/>
      <c r="AA53" s="64"/>
      <c r="AB53" s="60"/>
      <c r="AC53" s="64"/>
      <c r="AD53" s="64"/>
      <c r="AE53" s="64"/>
      <c r="AF53" s="64"/>
      <c r="AG53" s="60"/>
      <c r="AH53" s="64"/>
      <c r="AI53" s="64"/>
      <c r="AJ53" s="64"/>
    </row>
    <row r="54" spans="2:36" hidden="1" outlineLevel="1" x14ac:dyDescent="0.25">
      <c r="B54" s="229" t="s">
        <v>195</v>
      </c>
      <c r="E54" s="78" t="s">
        <v>95</v>
      </c>
      <c r="F54" s="21">
        <f t="shared" ref="F54:H59" si="38">F439</f>
        <v>0</v>
      </c>
      <c r="G54" s="21">
        <f t="shared" si="38"/>
        <v>0</v>
      </c>
      <c r="H54" s="21">
        <f t="shared" si="38"/>
        <v>0</v>
      </c>
      <c r="I54" s="10">
        <f t="shared" si="33"/>
        <v>0</v>
      </c>
      <c r="J54" s="10">
        <f t="shared" si="33"/>
        <v>0</v>
      </c>
      <c r="K54" s="10">
        <f t="shared" si="33"/>
        <v>0</v>
      </c>
      <c r="L54" s="10">
        <f t="shared" si="33"/>
        <v>0</v>
      </c>
      <c r="M54" s="17">
        <f t="shared" si="34"/>
        <v>0</v>
      </c>
      <c r="N54" s="10">
        <f t="shared" si="35"/>
        <v>0</v>
      </c>
      <c r="O54" s="10">
        <f t="shared" si="35"/>
        <v>0</v>
      </c>
      <c r="P54" s="10">
        <f t="shared" si="35"/>
        <v>0</v>
      </c>
      <c r="Q54" s="10">
        <f t="shared" si="35"/>
        <v>0</v>
      </c>
      <c r="R54" s="22">
        <f t="shared" si="36"/>
        <v>0</v>
      </c>
      <c r="S54" s="23">
        <f t="shared" si="37"/>
        <v>0</v>
      </c>
      <c r="T54" s="23">
        <f t="shared" si="37"/>
        <v>0</v>
      </c>
      <c r="U54" s="23">
        <f t="shared" si="37"/>
        <v>0</v>
      </c>
      <c r="W54" s="78" t="str">
        <f t="shared" ref="W54:W59" si="39">E54</f>
        <v>Asset Sale 2</v>
      </c>
      <c r="X54" s="64"/>
      <c r="Y54" s="64"/>
      <c r="Z54" s="64"/>
      <c r="AA54" s="64"/>
      <c r="AB54" s="60"/>
      <c r="AC54" s="64"/>
      <c r="AD54" s="64"/>
      <c r="AE54" s="64"/>
      <c r="AF54" s="64"/>
      <c r="AG54" s="60"/>
      <c r="AH54" s="64"/>
      <c r="AI54" s="64"/>
      <c r="AJ54" s="64"/>
    </row>
    <row r="55" spans="2:36" hidden="1" outlineLevel="1" x14ac:dyDescent="0.25">
      <c r="B55" s="229" t="s">
        <v>195</v>
      </c>
      <c r="E55" s="78" t="s">
        <v>96</v>
      </c>
      <c r="F55" s="21">
        <f t="shared" si="38"/>
        <v>0</v>
      </c>
      <c r="G55" s="21">
        <f t="shared" si="38"/>
        <v>0</v>
      </c>
      <c r="H55" s="21">
        <f t="shared" si="38"/>
        <v>0</v>
      </c>
      <c r="I55" s="10">
        <f t="shared" si="33"/>
        <v>0</v>
      </c>
      <c r="J55" s="10">
        <f t="shared" si="33"/>
        <v>0</v>
      </c>
      <c r="K55" s="10">
        <f t="shared" si="33"/>
        <v>0</v>
      </c>
      <c r="L55" s="10">
        <f t="shared" si="33"/>
        <v>0</v>
      </c>
      <c r="M55" s="17">
        <f t="shared" si="34"/>
        <v>0</v>
      </c>
      <c r="N55" s="10">
        <f t="shared" si="35"/>
        <v>0</v>
      </c>
      <c r="O55" s="10">
        <f t="shared" si="35"/>
        <v>0</v>
      </c>
      <c r="P55" s="10">
        <f t="shared" si="35"/>
        <v>0</v>
      </c>
      <c r="Q55" s="10">
        <f t="shared" si="35"/>
        <v>0</v>
      </c>
      <c r="R55" s="22">
        <f t="shared" si="36"/>
        <v>0</v>
      </c>
      <c r="S55" s="23">
        <f t="shared" si="37"/>
        <v>0</v>
      </c>
      <c r="T55" s="23">
        <f t="shared" si="37"/>
        <v>0</v>
      </c>
      <c r="U55" s="23">
        <f t="shared" si="37"/>
        <v>0</v>
      </c>
      <c r="W55" s="78" t="str">
        <f t="shared" si="39"/>
        <v>Asset Sale 3</v>
      </c>
      <c r="X55" s="64"/>
      <c r="Y55" s="64"/>
      <c r="Z55" s="64"/>
      <c r="AA55" s="64"/>
      <c r="AB55" s="60"/>
      <c r="AC55" s="64"/>
      <c r="AD55" s="64"/>
      <c r="AE55" s="64"/>
      <c r="AF55" s="64"/>
      <c r="AG55" s="60"/>
      <c r="AH55" s="64"/>
      <c r="AI55" s="64"/>
      <c r="AJ55" s="64"/>
    </row>
    <row r="56" spans="2:36" hidden="1" outlineLevel="1" x14ac:dyDescent="0.25">
      <c r="B56" s="229" t="s">
        <v>195</v>
      </c>
      <c r="E56" s="78" t="s">
        <v>97</v>
      </c>
      <c r="F56" s="21">
        <f t="shared" si="38"/>
        <v>0</v>
      </c>
      <c r="G56" s="21">
        <f t="shared" si="38"/>
        <v>0</v>
      </c>
      <c r="H56" s="21">
        <f t="shared" si="38"/>
        <v>0</v>
      </c>
      <c r="I56" s="10">
        <f t="shared" si="33"/>
        <v>0</v>
      </c>
      <c r="J56" s="10">
        <f t="shared" si="33"/>
        <v>0</v>
      </c>
      <c r="K56" s="10">
        <f t="shared" si="33"/>
        <v>0</v>
      </c>
      <c r="L56" s="10">
        <f t="shared" si="33"/>
        <v>0</v>
      </c>
      <c r="M56" s="17">
        <f t="shared" si="34"/>
        <v>0</v>
      </c>
      <c r="N56" s="10">
        <f t="shared" si="35"/>
        <v>0</v>
      </c>
      <c r="O56" s="10">
        <f t="shared" si="35"/>
        <v>0</v>
      </c>
      <c r="P56" s="10">
        <f t="shared" si="35"/>
        <v>0</v>
      </c>
      <c r="Q56" s="10">
        <f t="shared" si="35"/>
        <v>0</v>
      </c>
      <c r="R56" s="22">
        <f t="shared" si="36"/>
        <v>0</v>
      </c>
      <c r="S56" s="23">
        <f t="shared" si="37"/>
        <v>0</v>
      </c>
      <c r="T56" s="23">
        <f t="shared" si="37"/>
        <v>0</v>
      </c>
      <c r="U56" s="23">
        <f t="shared" si="37"/>
        <v>0</v>
      </c>
      <c r="W56" s="78" t="str">
        <f t="shared" si="39"/>
        <v>Asset Sale 4</v>
      </c>
      <c r="X56" s="64"/>
      <c r="Y56" s="64"/>
      <c r="Z56" s="64"/>
      <c r="AA56" s="64"/>
      <c r="AB56" s="60"/>
      <c r="AC56" s="64"/>
      <c r="AD56" s="64"/>
      <c r="AE56" s="64"/>
      <c r="AF56" s="64"/>
      <c r="AG56" s="60"/>
      <c r="AH56" s="64"/>
      <c r="AI56" s="64"/>
      <c r="AJ56" s="64"/>
    </row>
    <row r="57" spans="2:36" hidden="1" outlineLevel="1" x14ac:dyDescent="0.25">
      <c r="B57" s="229" t="s">
        <v>195</v>
      </c>
      <c r="E57" s="78" t="s">
        <v>98</v>
      </c>
      <c r="F57" s="21">
        <f t="shared" si="38"/>
        <v>0</v>
      </c>
      <c r="G57" s="21">
        <f t="shared" si="38"/>
        <v>0</v>
      </c>
      <c r="H57" s="21">
        <f t="shared" si="38"/>
        <v>0</v>
      </c>
      <c r="I57" s="10">
        <f t="shared" si="33"/>
        <v>0</v>
      </c>
      <c r="J57" s="10">
        <f t="shared" si="33"/>
        <v>0</v>
      </c>
      <c r="K57" s="10">
        <f t="shared" si="33"/>
        <v>0</v>
      </c>
      <c r="L57" s="10">
        <f t="shared" si="33"/>
        <v>0</v>
      </c>
      <c r="M57" s="17">
        <f t="shared" si="34"/>
        <v>0</v>
      </c>
      <c r="N57" s="10">
        <f t="shared" si="35"/>
        <v>0</v>
      </c>
      <c r="O57" s="10">
        <f t="shared" si="35"/>
        <v>0</v>
      </c>
      <c r="P57" s="10">
        <f t="shared" si="35"/>
        <v>0</v>
      </c>
      <c r="Q57" s="10">
        <f t="shared" si="35"/>
        <v>0</v>
      </c>
      <c r="R57" s="22">
        <f t="shared" si="36"/>
        <v>0</v>
      </c>
      <c r="S57" s="23">
        <f t="shared" si="37"/>
        <v>0</v>
      </c>
      <c r="T57" s="23">
        <f t="shared" si="37"/>
        <v>0</v>
      </c>
      <c r="U57" s="23">
        <f t="shared" si="37"/>
        <v>0</v>
      </c>
      <c r="W57" s="78" t="str">
        <f t="shared" si="39"/>
        <v>Asset Sale 5</v>
      </c>
      <c r="X57" s="64"/>
      <c r="Y57" s="64"/>
      <c r="Z57" s="64"/>
      <c r="AA57" s="64"/>
      <c r="AB57" s="60"/>
      <c r="AC57" s="64"/>
      <c r="AD57" s="64"/>
      <c r="AE57" s="64"/>
      <c r="AF57" s="64"/>
      <c r="AG57" s="60"/>
      <c r="AH57" s="64"/>
      <c r="AI57" s="64"/>
      <c r="AJ57" s="64"/>
    </row>
    <row r="58" spans="2:36" hidden="1" outlineLevel="1" x14ac:dyDescent="0.25">
      <c r="B58" s="229" t="s">
        <v>195</v>
      </c>
      <c r="E58" s="78" t="s">
        <v>88</v>
      </c>
      <c r="F58" s="21">
        <f t="shared" si="38"/>
        <v>0</v>
      </c>
      <c r="G58" s="21">
        <f t="shared" si="38"/>
        <v>0</v>
      </c>
      <c r="H58" s="21">
        <f t="shared" si="38"/>
        <v>0</v>
      </c>
      <c r="I58" s="10">
        <f t="shared" si="33"/>
        <v>0</v>
      </c>
      <c r="J58" s="10">
        <f t="shared" si="33"/>
        <v>0</v>
      </c>
      <c r="K58" s="10">
        <f t="shared" si="33"/>
        <v>0</v>
      </c>
      <c r="L58" s="10">
        <f t="shared" si="33"/>
        <v>0</v>
      </c>
      <c r="M58" s="17">
        <f t="shared" si="34"/>
        <v>0</v>
      </c>
      <c r="N58" s="10">
        <f t="shared" si="35"/>
        <v>0</v>
      </c>
      <c r="O58" s="10">
        <f t="shared" si="35"/>
        <v>0</v>
      </c>
      <c r="P58" s="10">
        <f t="shared" si="35"/>
        <v>0</v>
      </c>
      <c r="Q58" s="10">
        <f t="shared" si="35"/>
        <v>0</v>
      </c>
      <c r="R58" s="22">
        <f t="shared" si="36"/>
        <v>0</v>
      </c>
      <c r="S58" s="23">
        <f t="shared" si="37"/>
        <v>0</v>
      </c>
      <c r="T58" s="23">
        <f t="shared" si="37"/>
        <v>0</v>
      </c>
      <c r="U58" s="23">
        <f t="shared" si="37"/>
        <v>0</v>
      </c>
      <c r="W58" s="78" t="str">
        <f t="shared" si="39"/>
        <v>All Other</v>
      </c>
      <c r="X58" s="64"/>
      <c r="Y58" s="64"/>
      <c r="Z58" s="64"/>
      <c r="AA58" s="64"/>
      <c r="AB58" s="60"/>
      <c r="AC58" s="64"/>
      <c r="AD58" s="64"/>
      <c r="AE58" s="64"/>
      <c r="AF58" s="64"/>
      <c r="AG58" s="60"/>
      <c r="AH58" s="64"/>
      <c r="AI58" s="64"/>
      <c r="AJ58" s="64"/>
    </row>
    <row r="59" spans="2:36" hidden="1" outlineLevel="1" x14ac:dyDescent="0.25">
      <c r="B59" s="229" t="s">
        <v>195</v>
      </c>
      <c r="E59" s="78" t="s">
        <v>77</v>
      </c>
      <c r="F59" s="21">
        <f t="shared" si="38"/>
        <v>0</v>
      </c>
      <c r="G59" s="21">
        <f t="shared" si="38"/>
        <v>0</v>
      </c>
      <c r="H59" s="21">
        <f t="shared" si="38"/>
        <v>0</v>
      </c>
      <c r="I59" s="10">
        <f t="shared" si="33"/>
        <v>0</v>
      </c>
      <c r="J59" s="10">
        <f t="shared" si="33"/>
        <v>0</v>
      </c>
      <c r="K59" s="10">
        <f t="shared" si="33"/>
        <v>0</v>
      </c>
      <c r="L59" s="10">
        <f t="shared" si="33"/>
        <v>0</v>
      </c>
      <c r="M59" s="17">
        <f t="shared" si="34"/>
        <v>0</v>
      </c>
      <c r="N59" s="10">
        <f t="shared" si="35"/>
        <v>0</v>
      </c>
      <c r="O59" s="10">
        <f t="shared" si="35"/>
        <v>0</v>
      </c>
      <c r="P59" s="10">
        <f t="shared" si="35"/>
        <v>0</v>
      </c>
      <c r="Q59" s="10">
        <f t="shared" si="35"/>
        <v>0</v>
      </c>
      <c r="R59" s="22">
        <f t="shared" si="36"/>
        <v>0</v>
      </c>
      <c r="S59" s="23">
        <f t="shared" si="37"/>
        <v>0</v>
      </c>
      <c r="T59" s="23">
        <f t="shared" si="37"/>
        <v>0</v>
      </c>
      <c r="U59" s="23">
        <f t="shared" si="37"/>
        <v>0</v>
      </c>
      <c r="W59" s="78" t="str">
        <f t="shared" si="39"/>
        <v>blank</v>
      </c>
      <c r="X59" s="64"/>
      <c r="Y59" s="64"/>
      <c r="Z59" s="64"/>
      <c r="AA59" s="64"/>
      <c r="AB59" s="60"/>
      <c r="AC59" s="64"/>
      <c r="AD59" s="64"/>
      <c r="AE59" s="64"/>
      <c r="AF59" s="64"/>
      <c r="AG59" s="60"/>
      <c r="AH59" s="64"/>
      <c r="AI59" s="64"/>
      <c r="AJ59" s="64"/>
    </row>
    <row r="60" spans="2:36" ht="15.75" hidden="1" outlineLevel="1" thickBot="1" x14ac:dyDescent="0.3">
      <c r="E60" s="8" t="s">
        <v>27</v>
      </c>
      <c r="F60" s="9">
        <f t="shared" ref="F60:U60" si="40">SUM(F53:F59)</f>
        <v>0</v>
      </c>
      <c r="G60" s="9">
        <f t="shared" si="40"/>
        <v>0</v>
      </c>
      <c r="H60" s="9">
        <f t="shared" si="40"/>
        <v>0</v>
      </c>
      <c r="I60" s="11">
        <f t="shared" si="40"/>
        <v>0</v>
      </c>
      <c r="J60" s="11">
        <f t="shared" si="40"/>
        <v>0</v>
      </c>
      <c r="K60" s="11">
        <f t="shared" si="40"/>
        <v>0</v>
      </c>
      <c r="L60" s="11">
        <f t="shared" si="40"/>
        <v>0</v>
      </c>
      <c r="M60" s="18">
        <f t="shared" si="40"/>
        <v>0</v>
      </c>
      <c r="N60" s="11">
        <f t="shared" si="40"/>
        <v>0</v>
      </c>
      <c r="O60" s="11">
        <f t="shared" si="40"/>
        <v>0</v>
      </c>
      <c r="P60" s="11">
        <f t="shared" si="40"/>
        <v>0</v>
      </c>
      <c r="Q60" s="11">
        <f t="shared" si="40"/>
        <v>0</v>
      </c>
      <c r="R60" s="19">
        <f t="shared" si="40"/>
        <v>0</v>
      </c>
      <c r="S60" s="20">
        <f t="shared" si="40"/>
        <v>0</v>
      </c>
      <c r="T60" s="20">
        <f t="shared" si="40"/>
        <v>0</v>
      </c>
      <c r="U60" s="20">
        <f t="shared" si="40"/>
        <v>0</v>
      </c>
    </row>
    <row r="61" spans="2:36" ht="15.75" hidden="1" outlineLevel="1" thickTop="1" x14ac:dyDescent="0.25"/>
    <row r="62" spans="2:36" hidden="1" outlineLevel="1" x14ac:dyDescent="0.25"/>
    <row r="63" spans="2:36" hidden="1" outlineLevel="1" x14ac:dyDescent="0.25"/>
    <row r="64" spans="2:36" hidden="1" outlineLevel="1" x14ac:dyDescent="0.25">
      <c r="E64" s="4" t="s">
        <v>105</v>
      </c>
      <c r="W64" s="4" t="s">
        <v>99</v>
      </c>
    </row>
    <row r="65" spans="2:36" hidden="1" outlineLevel="1" x14ac:dyDescent="0.25">
      <c r="E65" s="6" t="s">
        <v>25</v>
      </c>
      <c r="W65" s="61" t="s">
        <v>62</v>
      </c>
    </row>
    <row r="66" spans="2:36" hidden="1" outlineLevel="1" x14ac:dyDescent="0.25"/>
    <row r="67" spans="2:36" hidden="1" outlineLevel="1" x14ac:dyDescent="0.25">
      <c r="F67" s="12">
        <f>Inputs!$C$7</f>
        <v>2023</v>
      </c>
      <c r="G67" s="12">
        <f>Inputs!$C$8</f>
        <v>2024</v>
      </c>
      <c r="H67" s="12">
        <f>Inputs!$C$9</f>
        <v>2025</v>
      </c>
      <c r="I67" s="13" t="s">
        <v>1</v>
      </c>
      <c r="J67" s="13" t="s">
        <v>2</v>
      </c>
      <c r="K67" s="13" t="s">
        <v>3</v>
      </c>
      <c r="L67" s="13" t="s">
        <v>4</v>
      </c>
      <c r="M67" s="13">
        <f>Inputs!$C$10</f>
        <v>2026</v>
      </c>
      <c r="N67" s="14" t="s">
        <v>1</v>
      </c>
      <c r="O67" s="14" t="s">
        <v>2</v>
      </c>
      <c r="P67" s="14" t="s">
        <v>3</v>
      </c>
      <c r="Q67" s="14" t="s">
        <v>4</v>
      </c>
      <c r="R67" s="15">
        <f>Inputs!$C$11</f>
        <v>2027</v>
      </c>
      <c r="S67" s="16">
        <f>Inputs!$C$12</f>
        <v>2028</v>
      </c>
      <c r="T67" s="16">
        <f>Inputs!$C$13</f>
        <v>2029</v>
      </c>
      <c r="U67" s="16">
        <f>Inputs!$C$14</f>
        <v>2030</v>
      </c>
      <c r="X67" s="13" t="s">
        <v>1</v>
      </c>
      <c r="Y67" s="13" t="s">
        <v>2</v>
      </c>
      <c r="Z67" s="13" t="s">
        <v>3</v>
      </c>
      <c r="AA67" s="13" t="s">
        <v>4</v>
      </c>
      <c r="AB67" s="13">
        <f>Inputs!$C$10</f>
        <v>2026</v>
      </c>
      <c r="AC67" s="14" t="s">
        <v>1</v>
      </c>
      <c r="AD67" s="14" t="s">
        <v>2</v>
      </c>
      <c r="AE67" s="14" t="s">
        <v>3</v>
      </c>
      <c r="AF67" s="14" t="s">
        <v>4</v>
      </c>
      <c r="AG67" s="15">
        <f>Inputs!$C$11</f>
        <v>2027</v>
      </c>
      <c r="AH67" s="16">
        <f>Inputs!$C$12</f>
        <v>2028</v>
      </c>
      <c r="AI67" s="16">
        <f>Inputs!$C$13</f>
        <v>2029</v>
      </c>
      <c r="AJ67" s="16">
        <f>Inputs!$C$14</f>
        <v>2030</v>
      </c>
    </row>
    <row r="68" spans="2:36" hidden="1" outlineLevel="1" x14ac:dyDescent="0.25">
      <c r="F68" s="71" t="s">
        <v>63</v>
      </c>
      <c r="G68" s="71" t="s">
        <v>63</v>
      </c>
      <c r="H68" s="71" t="s">
        <v>63</v>
      </c>
      <c r="I68" s="71" t="s">
        <v>63</v>
      </c>
      <c r="J68" s="71" t="s">
        <v>63</v>
      </c>
      <c r="K68" s="71" t="s">
        <v>63</v>
      </c>
      <c r="L68" s="71" t="s">
        <v>63</v>
      </c>
      <c r="M68" s="71" t="s">
        <v>63</v>
      </c>
      <c r="N68" s="71" t="s">
        <v>63</v>
      </c>
      <c r="O68" s="71" t="s">
        <v>63</v>
      </c>
      <c r="P68" s="71" t="s">
        <v>63</v>
      </c>
      <c r="Q68" s="71" t="s">
        <v>63</v>
      </c>
      <c r="R68" s="71" t="s">
        <v>63</v>
      </c>
      <c r="S68" s="71" t="s">
        <v>63</v>
      </c>
      <c r="T68" s="71" t="s">
        <v>63</v>
      </c>
      <c r="U68" s="71" t="s">
        <v>63</v>
      </c>
      <c r="X68" s="63" t="s">
        <v>30</v>
      </c>
      <c r="Y68" s="63" t="s">
        <v>30</v>
      </c>
      <c r="Z68" s="63" t="s">
        <v>30</v>
      </c>
      <c r="AA68" s="63" t="s">
        <v>30</v>
      </c>
      <c r="AB68" s="62"/>
      <c r="AC68" s="63" t="s">
        <v>30</v>
      </c>
      <c r="AD68" s="63" t="s">
        <v>30</v>
      </c>
      <c r="AE68" s="63" t="s">
        <v>30</v>
      </c>
      <c r="AF68" s="63" t="s">
        <v>30</v>
      </c>
      <c r="AG68" s="62"/>
      <c r="AH68" s="63" t="s">
        <v>30</v>
      </c>
      <c r="AI68" s="63" t="s">
        <v>30</v>
      </c>
      <c r="AJ68" s="63" t="s">
        <v>30</v>
      </c>
    </row>
    <row r="69" spans="2:36" hidden="1" outlineLevel="1" x14ac:dyDescent="0.25">
      <c r="B69" s="229" t="s">
        <v>195</v>
      </c>
      <c r="C69" s="229" t="s">
        <v>195</v>
      </c>
      <c r="E69" s="78" t="s">
        <v>106</v>
      </c>
      <c r="F69" s="21">
        <f>F454</f>
        <v>0</v>
      </c>
      <c r="G69" s="21">
        <f t="shared" ref="G69:H69" si="41">G454</f>
        <v>0</v>
      </c>
      <c r="H69" s="21">
        <f t="shared" si="41"/>
        <v>0</v>
      </c>
      <c r="I69" s="10">
        <f t="shared" ref="I69:L75" si="42">IF(X69="",I454,X69)</f>
        <v>0</v>
      </c>
      <c r="J69" s="10">
        <f t="shared" si="42"/>
        <v>0</v>
      </c>
      <c r="K69" s="10">
        <f t="shared" si="42"/>
        <v>0</v>
      </c>
      <c r="L69" s="10">
        <f t="shared" si="42"/>
        <v>0</v>
      </c>
      <c r="M69" s="17">
        <f t="shared" ref="M69:M75" si="43">SUM(I69:L69)</f>
        <v>0</v>
      </c>
      <c r="N69" s="10">
        <f t="shared" ref="N69:Q75" si="44">IF(AC69="",N454,AC69)</f>
        <v>0</v>
      </c>
      <c r="O69" s="10">
        <f t="shared" si="44"/>
        <v>0</v>
      </c>
      <c r="P69" s="10">
        <f t="shared" si="44"/>
        <v>0</v>
      </c>
      <c r="Q69" s="10">
        <f t="shared" si="44"/>
        <v>0</v>
      </c>
      <c r="R69" s="22">
        <f t="shared" ref="R69:R75" si="45">SUM(N69:Q69)</f>
        <v>0</v>
      </c>
      <c r="S69" s="23">
        <f t="shared" ref="S69:U75" si="46">IF(AH69="",S454,AH69)</f>
        <v>0</v>
      </c>
      <c r="T69" s="23">
        <f t="shared" si="46"/>
        <v>0</v>
      </c>
      <c r="U69" s="23">
        <f t="shared" si="46"/>
        <v>0</v>
      </c>
      <c r="W69" s="78" t="str">
        <f>E69</f>
        <v>Fixed Asset Write offs</v>
      </c>
      <c r="X69" s="64"/>
      <c r="Y69" s="64"/>
      <c r="Z69" s="64"/>
      <c r="AA69" s="64"/>
      <c r="AB69" s="60"/>
      <c r="AC69" s="64"/>
      <c r="AD69" s="64"/>
      <c r="AE69" s="64"/>
      <c r="AF69" s="64"/>
      <c r="AG69" s="60"/>
      <c r="AH69" s="64"/>
      <c r="AI69" s="64"/>
      <c r="AJ69" s="64"/>
    </row>
    <row r="70" spans="2:36" hidden="1" outlineLevel="1" x14ac:dyDescent="0.25">
      <c r="B70" s="229" t="s">
        <v>195</v>
      </c>
      <c r="C70" s="229" t="s">
        <v>195</v>
      </c>
      <c r="E70" s="78" t="s">
        <v>100</v>
      </c>
      <c r="F70" s="21">
        <f t="shared" ref="F70:H75" si="47">F455</f>
        <v>0</v>
      </c>
      <c r="G70" s="21">
        <f t="shared" si="47"/>
        <v>0</v>
      </c>
      <c r="H70" s="21">
        <f t="shared" si="47"/>
        <v>0</v>
      </c>
      <c r="I70" s="10">
        <f t="shared" si="42"/>
        <v>0</v>
      </c>
      <c r="J70" s="10">
        <f t="shared" si="42"/>
        <v>0</v>
      </c>
      <c r="K70" s="10">
        <f t="shared" si="42"/>
        <v>0</v>
      </c>
      <c r="L70" s="10">
        <f t="shared" si="42"/>
        <v>0</v>
      </c>
      <c r="M70" s="17">
        <f t="shared" si="43"/>
        <v>0</v>
      </c>
      <c r="N70" s="10">
        <f t="shared" si="44"/>
        <v>0</v>
      </c>
      <c r="O70" s="10">
        <f t="shared" si="44"/>
        <v>0</v>
      </c>
      <c r="P70" s="10">
        <f t="shared" si="44"/>
        <v>0</v>
      </c>
      <c r="Q70" s="10">
        <f t="shared" si="44"/>
        <v>0</v>
      </c>
      <c r="R70" s="22">
        <f t="shared" si="45"/>
        <v>0</v>
      </c>
      <c r="S70" s="23">
        <f t="shared" si="46"/>
        <v>0</v>
      </c>
      <c r="T70" s="23">
        <f t="shared" si="46"/>
        <v>0</v>
      </c>
      <c r="U70" s="23">
        <f t="shared" si="46"/>
        <v>0</v>
      </c>
      <c r="W70" s="78" t="str">
        <f t="shared" ref="W70:W75" si="48">E70</f>
        <v>E&amp;O Impact</v>
      </c>
      <c r="X70" s="64"/>
      <c r="Y70" s="64"/>
      <c r="Z70" s="64"/>
      <c r="AA70" s="64"/>
      <c r="AB70" s="60"/>
      <c r="AC70" s="64"/>
      <c r="AD70" s="64"/>
      <c r="AE70" s="64"/>
      <c r="AF70" s="64"/>
      <c r="AG70" s="60"/>
      <c r="AH70" s="64"/>
      <c r="AI70" s="64"/>
      <c r="AJ70" s="64"/>
    </row>
    <row r="71" spans="2:36" hidden="1" outlineLevel="1" x14ac:dyDescent="0.25">
      <c r="B71" s="229" t="s">
        <v>195</v>
      </c>
      <c r="C71" s="229" t="s">
        <v>195</v>
      </c>
      <c r="E71" s="78" t="s">
        <v>107</v>
      </c>
      <c r="F71" s="21">
        <f t="shared" si="47"/>
        <v>0</v>
      </c>
      <c r="G71" s="21">
        <f t="shared" si="47"/>
        <v>0</v>
      </c>
      <c r="H71" s="21">
        <f t="shared" si="47"/>
        <v>0</v>
      </c>
      <c r="I71" s="10">
        <f t="shared" si="42"/>
        <v>0</v>
      </c>
      <c r="J71" s="10">
        <f t="shared" si="42"/>
        <v>0</v>
      </c>
      <c r="K71" s="10">
        <f t="shared" si="42"/>
        <v>0</v>
      </c>
      <c r="L71" s="10">
        <f t="shared" si="42"/>
        <v>0</v>
      </c>
      <c r="M71" s="17">
        <f t="shared" si="43"/>
        <v>0</v>
      </c>
      <c r="N71" s="10">
        <f t="shared" si="44"/>
        <v>0</v>
      </c>
      <c r="O71" s="10">
        <f t="shared" si="44"/>
        <v>0</v>
      </c>
      <c r="P71" s="10">
        <f t="shared" si="44"/>
        <v>0</v>
      </c>
      <c r="Q71" s="10">
        <f t="shared" si="44"/>
        <v>0</v>
      </c>
      <c r="R71" s="22">
        <f t="shared" si="45"/>
        <v>0</v>
      </c>
      <c r="S71" s="23">
        <f t="shared" si="46"/>
        <v>0</v>
      </c>
      <c r="T71" s="23">
        <f t="shared" si="46"/>
        <v>0</v>
      </c>
      <c r="U71" s="23">
        <f t="shared" si="46"/>
        <v>0</v>
      </c>
      <c r="W71" s="78" t="str">
        <f t="shared" si="48"/>
        <v>Employee Severances</v>
      </c>
      <c r="X71" s="64"/>
      <c r="Y71" s="64"/>
      <c r="Z71" s="64"/>
      <c r="AA71" s="64"/>
      <c r="AB71" s="60"/>
      <c r="AC71" s="64"/>
      <c r="AD71" s="64"/>
      <c r="AE71" s="64"/>
      <c r="AF71" s="64"/>
      <c r="AG71" s="60"/>
      <c r="AH71" s="64"/>
      <c r="AI71" s="64"/>
      <c r="AJ71" s="64"/>
    </row>
    <row r="72" spans="2:36" hidden="1" outlineLevel="1" x14ac:dyDescent="0.25">
      <c r="B72" s="229" t="s">
        <v>195</v>
      </c>
      <c r="C72" s="229" t="s">
        <v>195</v>
      </c>
      <c r="E72" s="78" t="s">
        <v>88</v>
      </c>
      <c r="F72" s="21">
        <f t="shared" si="47"/>
        <v>0</v>
      </c>
      <c r="G72" s="21">
        <f t="shared" si="47"/>
        <v>0</v>
      </c>
      <c r="H72" s="21">
        <f t="shared" si="47"/>
        <v>0</v>
      </c>
      <c r="I72" s="10">
        <f t="shared" si="42"/>
        <v>0</v>
      </c>
      <c r="J72" s="10">
        <f t="shared" si="42"/>
        <v>0</v>
      </c>
      <c r="K72" s="10">
        <f t="shared" si="42"/>
        <v>0</v>
      </c>
      <c r="L72" s="10">
        <f t="shared" si="42"/>
        <v>0</v>
      </c>
      <c r="M72" s="17">
        <f t="shared" si="43"/>
        <v>0</v>
      </c>
      <c r="N72" s="10">
        <f t="shared" si="44"/>
        <v>0</v>
      </c>
      <c r="O72" s="10">
        <f t="shared" si="44"/>
        <v>0</v>
      </c>
      <c r="P72" s="10">
        <f t="shared" si="44"/>
        <v>0</v>
      </c>
      <c r="Q72" s="10">
        <f t="shared" si="44"/>
        <v>0</v>
      </c>
      <c r="R72" s="22">
        <f t="shared" si="45"/>
        <v>0</v>
      </c>
      <c r="S72" s="23">
        <f t="shared" si="46"/>
        <v>0</v>
      </c>
      <c r="T72" s="23">
        <f t="shared" si="46"/>
        <v>0</v>
      </c>
      <c r="U72" s="23">
        <f t="shared" si="46"/>
        <v>0</v>
      </c>
      <c r="W72" s="78" t="str">
        <f t="shared" si="48"/>
        <v>All Other</v>
      </c>
      <c r="X72" s="64"/>
      <c r="Y72" s="64"/>
      <c r="Z72" s="64"/>
      <c r="AA72" s="64"/>
      <c r="AB72" s="60"/>
      <c r="AC72" s="64"/>
      <c r="AD72" s="64"/>
      <c r="AE72" s="64"/>
      <c r="AF72" s="64"/>
      <c r="AG72" s="60"/>
      <c r="AH72" s="64"/>
      <c r="AI72" s="64"/>
      <c r="AJ72" s="64"/>
    </row>
    <row r="73" spans="2:36" hidden="1" outlineLevel="1" x14ac:dyDescent="0.25">
      <c r="B73" s="229" t="s">
        <v>195</v>
      </c>
      <c r="C73" s="229" t="s">
        <v>195</v>
      </c>
      <c r="E73" s="78" t="s">
        <v>77</v>
      </c>
      <c r="F73" s="21">
        <f t="shared" si="47"/>
        <v>0</v>
      </c>
      <c r="G73" s="21">
        <f t="shared" si="47"/>
        <v>0</v>
      </c>
      <c r="H73" s="21">
        <f t="shared" si="47"/>
        <v>0</v>
      </c>
      <c r="I73" s="10">
        <f t="shared" si="42"/>
        <v>0</v>
      </c>
      <c r="J73" s="10">
        <f t="shared" si="42"/>
        <v>0</v>
      </c>
      <c r="K73" s="10">
        <f t="shared" si="42"/>
        <v>0</v>
      </c>
      <c r="L73" s="10">
        <f t="shared" si="42"/>
        <v>0</v>
      </c>
      <c r="M73" s="17">
        <f t="shared" si="43"/>
        <v>0</v>
      </c>
      <c r="N73" s="10">
        <f t="shared" si="44"/>
        <v>0</v>
      </c>
      <c r="O73" s="10">
        <f t="shared" si="44"/>
        <v>0</v>
      </c>
      <c r="P73" s="10">
        <f t="shared" si="44"/>
        <v>0</v>
      </c>
      <c r="Q73" s="10">
        <f t="shared" si="44"/>
        <v>0</v>
      </c>
      <c r="R73" s="22">
        <f t="shared" si="45"/>
        <v>0</v>
      </c>
      <c r="S73" s="23">
        <f t="shared" si="46"/>
        <v>0</v>
      </c>
      <c r="T73" s="23">
        <f t="shared" si="46"/>
        <v>0</v>
      </c>
      <c r="U73" s="23">
        <f t="shared" si="46"/>
        <v>0</v>
      </c>
      <c r="W73" s="78" t="str">
        <f t="shared" si="48"/>
        <v>blank</v>
      </c>
      <c r="X73" s="64"/>
      <c r="Y73" s="64"/>
      <c r="Z73" s="64"/>
      <c r="AA73" s="64"/>
      <c r="AB73" s="60"/>
      <c r="AC73" s="64"/>
      <c r="AD73" s="64"/>
      <c r="AE73" s="64"/>
      <c r="AF73" s="64"/>
      <c r="AG73" s="60"/>
      <c r="AH73" s="64"/>
      <c r="AI73" s="64"/>
      <c r="AJ73" s="64"/>
    </row>
    <row r="74" spans="2:36" hidden="1" outlineLevel="1" x14ac:dyDescent="0.25">
      <c r="B74" s="229" t="s">
        <v>195</v>
      </c>
      <c r="C74" s="229" t="s">
        <v>195</v>
      </c>
      <c r="E74" s="78" t="s">
        <v>77</v>
      </c>
      <c r="F74" s="21">
        <f t="shared" si="47"/>
        <v>0</v>
      </c>
      <c r="G74" s="21">
        <f t="shared" si="47"/>
        <v>0</v>
      </c>
      <c r="H74" s="21">
        <f t="shared" si="47"/>
        <v>0</v>
      </c>
      <c r="I74" s="10">
        <f t="shared" si="42"/>
        <v>0</v>
      </c>
      <c r="J74" s="10">
        <f t="shared" si="42"/>
        <v>0</v>
      </c>
      <c r="K74" s="10">
        <f t="shared" si="42"/>
        <v>0</v>
      </c>
      <c r="L74" s="10">
        <f t="shared" si="42"/>
        <v>0</v>
      </c>
      <c r="M74" s="17">
        <f t="shared" si="43"/>
        <v>0</v>
      </c>
      <c r="N74" s="10">
        <f t="shared" si="44"/>
        <v>0</v>
      </c>
      <c r="O74" s="10">
        <f t="shared" si="44"/>
        <v>0</v>
      </c>
      <c r="P74" s="10">
        <f t="shared" si="44"/>
        <v>0</v>
      </c>
      <c r="Q74" s="10">
        <f t="shared" si="44"/>
        <v>0</v>
      </c>
      <c r="R74" s="22">
        <f t="shared" si="45"/>
        <v>0</v>
      </c>
      <c r="S74" s="23">
        <f t="shared" si="46"/>
        <v>0</v>
      </c>
      <c r="T74" s="23">
        <f t="shared" si="46"/>
        <v>0</v>
      </c>
      <c r="U74" s="23">
        <f t="shared" si="46"/>
        <v>0</v>
      </c>
      <c r="W74" s="78" t="str">
        <f t="shared" si="48"/>
        <v>blank</v>
      </c>
      <c r="X74" s="64"/>
      <c r="Y74" s="64"/>
      <c r="Z74" s="64"/>
      <c r="AA74" s="64"/>
      <c r="AB74" s="60"/>
      <c r="AC74" s="64"/>
      <c r="AD74" s="64"/>
      <c r="AE74" s="64"/>
      <c r="AF74" s="64"/>
      <c r="AG74" s="60"/>
      <c r="AH74" s="64"/>
      <c r="AI74" s="64"/>
      <c r="AJ74" s="64"/>
    </row>
    <row r="75" spans="2:36" hidden="1" outlineLevel="1" x14ac:dyDescent="0.25">
      <c r="B75" s="229" t="s">
        <v>195</v>
      </c>
      <c r="C75" s="229" t="s">
        <v>195</v>
      </c>
      <c r="E75" s="78" t="s">
        <v>77</v>
      </c>
      <c r="F75" s="21">
        <f t="shared" si="47"/>
        <v>0</v>
      </c>
      <c r="G75" s="21">
        <f t="shared" si="47"/>
        <v>0</v>
      </c>
      <c r="H75" s="21">
        <f t="shared" si="47"/>
        <v>0</v>
      </c>
      <c r="I75" s="10">
        <f t="shared" si="42"/>
        <v>0</v>
      </c>
      <c r="J75" s="10">
        <f t="shared" si="42"/>
        <v>0</v>
      </c>
      <c r="K75" s="10">
        <f t="shared" si="42"/>
        <v>0</v>
      </c>
      <c r="L75" s="10">
        <f t="shared" si="42"/>
        <v>0</v>
      </c>
      <c r="M75" s="17">
        <f t="shared" si="43"/>
        <v>0</v>
      </c>
      <c r="N75" s="10">
        <f t="shared" si="44"/>
        <v>0</v>
      </c>
      <c r="O75" s="10">
        <f t="shared" si="44"/>
        <v>0</v>
      </c>
      <c r="P75" s="10">
        <f t="shared" si="44"/>
        <v>0</v>
      </c>
      <c r="Q75" s="10">
        <f t="shared" si="44"/>
        <v>0</v>
      </c>
      <c r="R75" s="22">
        <f t="shared" si="45"/>
        <v>0</v>
      </c>
      <c r="S75" s="23">
        <f t="shared" si="46"/>
        <v>0</v>
      </c>
      <c r="T75" s="23">
        <f t="shared" si="46"/>
        <v>0</v>
      </c>
      <c r="U75" s="23">
        <f t="shared" si="46"/>
        <v>0</v>
      </c>
      <c r="W75" s="78" t="str">
        <f t="shared" si="48"/>
        <v>blank</v>
      </c>
      <c r="X75" s="64"/>
      <c r="Y75" s="64"/>
      <c r="Z75" s="64"/>
      <c r="AA75" s="64"/>
      <c r="AB75" s="60"/>
      <c r="AC75" s="64"/>
      <c r="AD75" s="64"/>
      <c r="AE75" s="64"/>
      <c r="AF75" s="64"/>
      <c r="AG75" s="60"/>
      <c r="AH75" s="64"/>
      <c r="AI75" s="64"/>
      <c r="AJ75" s="64"/>
    </row>
    <row r="76" spans="2:36" ht="15.75" hidden="1" outlineLevel="1" thickBot="1" x14ac:dyDescent="0.3">
      <c r="E76" s="8" t="s">
        <v>27</v>
      </c>
      <c r="F76" s="9">
        <f t="shared" ref="F76:U76" si="49">SUM(F69:F75)</f>
        <v>0</v>
      </c>
      <c r="G76" s="9">
        <f t="shared" si="49"/>
        <v>0</v>
      </c>
      <c r="H76" s="9">
        <f t="shared" si="49"/>
        <v>0</v>
      </c>
      <c r="I76" s="11">
        <f t="shared" si="49"/>
        <v>0</v>
      </c>
      <c r="J76" s="11">
        <f t="shared" si="49"/>
        <v>0</v>
      </c>
      <c r="K76" s="11">
        <f t="shared" si="49"/>
        <v>0</v>
      </c>
      <c r="L76" s="11">
        <f t="shared" si="49"/>
        <v>0</v>
      </c>
      <c r="M76" s="18">
        <f t="shared" si="49"/>
        <v>0</v>
      </c>
      <c r="N76" s="11">
        <f t="shared" si="49"/>
        <v>0</v>
      </c>
      <c r="O76" s="11">
        <f t="shared" si="49"/>
        <v>0</v>
      </c>
      <c r="P76" s="11">
        <f t="shared" si="49"/>
        <v>0</v>
      </c>
      <c r="Q76" s="11">
        <f t="shared" si="49"/>
        <v>0</v>
      </c>
      <c r="R76" s="19">
        <f t="shared" si="49"/>
        <v>0</v>
      </c>
      <c r="S76" s="20">
        <f t="shared" si="49"/>
        <v>0</v>
      </c>
      <c r="T76" s="20">
        <f t="shared" si="49"/>
        <v>0</v>
      </c>
      <c r="U76" s="20">
        <f t="shared" si="49"/>
        <v>0</v>
      </c>
    </row>
    <row r="77" spans="2:36" ht="15.75" hidden="1" outlineLevel="1" thickTop="1" x14ac:dyDescent="0.25">
      <c r="F77" s="24"/>
      <c r="G77" s="25"/>
      <c r="H77" s="25"/>
      <c r="I77" s="25"/>
      <c r="J77" s="25"/>
      <c r="K77" s="25"/>
      <c r="L77" s="25"/>
      <c r="M77" s="25"/>
      <c r="N77" s="25"/>
      <c r="O77" s="25"/>
      <c r="P77" s="25"/>
      <c r="Q77" s="25"/>
      <c r="R77" s="25"/>
      <c r="S77" s="25"/>
      <c r="T77" s="25"/>
      <c r="U77" s="25"/>
    </row>
    <row r="78" spans="2:36" hidden="1" outlineLevel="1" x14ac:dyDescent="0.25"/>
    <row r="79" spans="2:36" hidden="1" outlineLevel="1" x14ac:dyDescent="0.25"/>
    <row r="80" spans="2:36" ht="18.75" collapsed="1" x14ac:dyDescent="0.3">
      <c r="B80" s="4" t="s">
        <v>34</v>
      </c>
      <c r="C80" s="4" t="s">
        <v>387</v>
      </c>
      <c r="E80" s="53" t="str">
        <f>"Scenario 2: "&amp;Inputs!B23</f>
        <v>Scenario 2: Scenario 2</v>
      </c>
      <c r="F80" s="49"/>
      <c r="G80" s="49"/>
      <c r="H80" s="49"/>
      <c r="I80" s="49"/>
      <c r="J80" s="49"/>
      <c r="K80" s="49"/>
      <c r="L80" s="49"/>
      <c r="M80" s="49"/>
      <c r="N80" s="49"/>
      <c r="O80" s="49"/>
      <c r="P80" s="49"/>
      <c r="Q80" s="49"/>
      <c r="R80" s="49"/>
      <c r="S80" s="49"/>
      <c r="T80" s="49"/>
      <c r="U80" s="49"/>
    </row>
    <row r="81" spans="2:36" hidden="1" outlineLevel="1" x14ac:dyDescent="0.25">
      <c r="E81" s="52" t="str">
        <f>Inputs!C23</f>
        <v>Scenario 2 Description</v>
      </c>
    </row>
    <row r="82" spans="2:36" hidden="1" outlineLevel="1" x14ac:dyDescent="0.25"/>
    <row r="83" spans="2:36" hidden="1" outlineLevel="1" x14ac:dyDescent="0.25"/>
    <row r="84" spans="2:36" hidden="1" outlineLevel="1" x14ac:dyDescent="0.25">
      <c r="E84" s="4" t="s">
        <v>82</v>
      </c>
      <c r="W84" s="4" t="str">
        <f>E84</f>
        <v>Investments Required</v>
      </c>
    </row>
    <row r="85" spans="2:36" hidden="1" outlineLevel="1" x14ac:dyDescent="0.25">
      <c r="E85" s="6" t="s">
        <v>25</v>
      </c>
      <c r="W85" s="61" t="s">
        <v>62</v>
      </c>
    </row>
    <row r="86" spans="2:36" hidden="1" outlineLevel="1" x14ac:dyDescent="0.25"/>
    <row r="87" spans="2:36" hidden="1" outlineLevel="1" x14ac:dyDescent="0.25">
      <c r="F87" s="12">
        <f>Inputs!$C$7</f>
        <v>2023</v>
      </c>
      <c r="G87" s="12">
        <f>Inputs!$C$8</f>
        <v>2024</v>
      </c>
      <c r="H87" s="12">
        <f>Inputs!$C$9</f>
        <v>2025</v>
      </c>
      <c r="I87" s="13" t="s">
        <v>1</v>
      </c>
      <c r="J87" s="13" t="s">
        <v>2</v>
      </c>
      <c r="K87" s="13" t="s">
        <v>3</v>
      </c>
      <c r="L87" s="13" t="s">
        <v>4</v>
      </c>
      <c r="M87" s="13">
        <f>Inputs!$C$10</f>
        <v>2026</v>
      </c>
      <c r="N87" s="14" t="s">
        <v>1</v>
      </c>
      <c r="O87" s="14" t="s">
        <v>2</v>
      </c>
      <c r="P87" s="14" t="s">
        <v>3</v>
      </c>
      <c r="Q87" s="14" t="s">
        <v>4</v>
      </c>
      <c r="R87" s="15">
        <f>Inputs!$C$11</f>
        <v>2027</v>
      </c>
      <c r="S87" s="16">
        <f>Inputs!$C$12</f>
        <v>2028</v>
      </c>
      <c r="T87" s="16">
        <f>Inputs!$C$13</f>
        <v>2029</v>
      </c>
      <c r="U87" s="16">
        <f>Inputs!$C$14</f>
        <v>2030</v>
      </c>
      <c r="X87" s="13" t="s">
        <v>1</v>
      </c>
      <c r="Y87" s="13" t="s">
        <v>2</v>
      </c>
      <c r="Z87" s="13" t="s">
        <v>3</v>
      </c>
      <c r="AA87" s="13" t="s">
        <v>4</v>
      </c>
      <c r="AB87" s="13">
        <f>Inputs!$C$10</f>
        <v>2026</v>
      </c>
      <c r="AC87" s="14" t="s">
        <v>1</v>
      </c>
      <c r="AD87" s="14" t="s">
        <v>2</v>
      </c>
      <c r="AE87" s="14" t="s">
        <v>3</v>
      </c>
      <c r="AF87" s="14" t="s">
        <v>4</v>
      </c>
      <c r="AG87" s="15">
        <f>Inputs!$C$11</f>
        <v>2027</v>
      </c>
      <c r="AH87" s="16">
        <f>Inputs!$C$12</f>
        <v>2028</v>
      </c>
      <c r="AI87" s="16">
        <f>Inputs!$C$13</f>
        <v>2029</v>
      </c>
      <c r="AJ87" s="16">
        <f>Inputs!$C$14</f>
        <v>2030</v>
      </c>
    </row>
    <row r="88" spans="2:36" hidden="1" outlineLevel="1" x14ac:dyDescent="0.25">
      <c r="F88" s="71" t="s">
        <v>63</v>
      </c>
      <c r="G88" s="71" t="s">
        <v>63</v>
      </c>
      <c r="H88" s="71" t="s">
        <v>63</v>
      </c>
      <c r="I88" s="71" t="s">
        <v>63</v>
      </c>
      <c r="J88" s="71" t="s">
        <v>63</v>
      </c>
      <c r="K88" s="71" t="s">
        <v>63</v>
      </c>
      <c r="L88" s="71" t="s">
        <v>63</v>
      </c>
      <c r="M88" s="71" t="s">
        <v>63</v>
      </c>
      <c r="N88" s="71" t="s">
        <v>63</v>
      </c>
      <c r="O88" s="71" t="s">
        <v>63</v>
      </c>
      <c r="P88" s="71" t="s">
        <v>63</v>
      </c>
      <c r="Q88" s="71" t="s">
        <v>63</v>
      </c>
      <c r="R88" s="71" t="s">
        <v>63</v>
      </c>
      <c r="S88" s="71" t="s">
        <v>63</v>
      </c>
      <c r="T88" s="71" t="s">
        <v>63</v>
      </c>
      <c r="U88" s="71" t="s">
        <v>63</v>
      </c>
      <c r="X88" s="63" t="s">
        <v>30</v>
      </c>
      <c r="Y88" s="63" t="s">
        <v>30</v>
      </c>
      <c r="Z88" s="63" t="s">
        <v>30</v>
      </c>
      <c r="AA88" s="63" t="s">
        <v>30</v>
      </c>
      <c r="AB88" s="62"/>
      <c r="AC88" s="63" t="s">
        <v>30</v>
      </c>
      <c r="AD88" s="63" t="s">
        <v>30</v>
      </c>
      <c r="AE88" s="63" t="s">
        <v>30</v>
      </c>
      <c r="AF88" s="63" t="s">
        <v>30</v>
      </c>
      <c r="AG88" s="62"/>
      <c r="AH88" s="63" t="s">
        <v>30</v>
      </c>
      <c r="AI88" s="63" t="s">
        <v>30</v>
      </c>
      <c r="AJ88" s="63" t="s">
        <v>30</v>
      </c>
    </row>
    <row r="89" spans="2:36" hidden="1" outlineLevel="1" x14ac:dyDescent="0.25">
      <c r="B89" s="229" t="s">
        <v>195</v>
      </c>
      <c r="C89" s="229" t="s">
        <v>195</v>
      </c>
      <c r="E89" s="78" t="s">
        <v>102</v>
      </c>
      <c r="F89" s="21">
        <f t="shared" ref="F89:H95" si="50">F397</f>
        <v>0</v>
      </c>
      <c r="G89" s="21">
        <f t="shared" si="50"/>
        <v>0</v>
      </c>
      <c r="H89" s="21">
        <f t="shared" si="50"/>
        <v>0</v>
      </c>
      <c r="I89" s="10">
        <f t="shared" ref="I89:L95" si="51">IF(X89="",I397,X89)</f>
        <v>0</v>
      </c>
      <c r="J89" s="10">
        <f t="shared" si="51"/>
        <v>0</v>
      </c>
      <c r="K89" s="10">
        <f t="shared" si="51"/>
        <v>0</v>
      </c>
      <c r="L89" s="10">
        <f t="shared" si="51"/>
        <v>0</v>
      </c>
      <c r="M89" s="17">
        <f t="shared" ref="M89:M95" si="52">SUM(I89:L89)</f>
        <v>0</v>
      </c>
      <c r="N89" s="10">
        <f t="shared" ref="N89:Q95" si="53">IF(AC89="",N397,AC89)</f>
        <v>0</v>
      </c>
      <c r="O89" s="10">
        <f t="shared" si="53"/>
        <v>0</v>
      </c>
      <c r="P89" s="10">
        <f t="shared" si="53"/>
        <v>0</v>
      </c>
      <c r="Q89" s="10">
        <f t="shared" si="53"/>
        <v>0</v>
      </c>
      <c r="R89" s="22">
        <f t="shared" ref="R89:R95" si="54">SUM(N89:Q89)</f>
        <v>0</v>
      </c>
      <c r="S89" s="23">
        <f t="shared" ref="S89:U95" si="55">IF(AH89="",S397,AH89)</f>
        <v>0</v>
      </c>
      <c r="T89" s="23">
        <f t="shared" si="55"/>
        <v>0</v>
      </c>
      <c r="U89" s="23">
        <f t="shared" si="55"/>
        <v>0</v>
      </c>
      <c r="W89" s="79" t="str">
        <f>E89</f>
        <v>3rd Party Expenses 1</v>
      </c>
      <c r="X89" s="64"/>
      <c r="Y89" s="64"/>
      <c r="Z89" s="64"/>
      <c r="AA89" s="64"/>
      <c r="AB89" s="60"/>
      <c r="AC89" s="64"/>
      <c r="AD89" s="64"/>
      <c r="AE89" s="64"/>
      <c r="AF89" s="64"/>
      <c r="AG89" s="60"/>
      <c r="AH89" s="64"/>
      <c r="AI89" s="64"/>
      <c r="AJ89" s="64"/>
    </row>
    <row r="90" spans="2:36" hidden="1" outlineLevel="1" x14ac:dyDescent="0.25">
      <c r="B90" s="229" t="s">
        <v>195</v>
      </c>
      <c r="C90" s="229" t="s">
        <v>195</v>
      </c>
      <c r="E90" s="78" t="s">
        <v>103</v>
      </c>
      <c r="F90" s="21">
        <f t="shared" si="50"/>
        <v>0</v>
      </c>
      <c r="G90" s="21">
        <f t="shared" si="50"/>
        <v>0</v>
      </c>
      <c r="H90" s="21">
        <f t="shared" si="50"/>
        <v>0</v>
      </c>
      <c r="I90" s="10">
        <f t="shared" si="51"/>
        <v>0</v>
      </c>
      <c r="J90" s="10">
        <f t="shared" si="51"/>
        <v>0</v>
      </c>
      <c r="K90" s="10">
        <f t="shared" si="51"/>
        <v>0</v>
      </c>
      <c r="L90" s="10">
        <f t="shared" si="51"/>
        <v>0</v>
      </c>
      <c r="M90" s="17">
        <f t="shared" si="52"/>
        <v>0</v>
      </c>
      <c r="N90" s="10">
        <f t="shared" si="53"/>
        <v>0</v>
      </c>
      <c r="O90" s="10">
        <f t="shared" si="53"/>
        <v>0</v>
      </c>
      <c r="P90" s="10">
        <f t="shared" si="53"/>
        <v>0</v>
      </c>
      <c r="Q90" s="10">
        <f t="shared" si="53"/>
        <v>0</v>
      </c>
      <c r="R90" s="22">
        <f t="shared" si="54"/>
        <v>0</v>
      </c>
      <c r="S90" s="23">
        <f t="shared" si="55"/>
        <v>0</v>
      </c>
      <c r="T90" s="23">
        <f t="shared" si="55"/>
        <v>0</v>
      </c>
      <c r="U90" s="23">
        <f t="shared" si="55"/>
        <v>0</v>
      </c>
      <c r="W90" s="79" t="str">
        <f t="shared" ref="W90:W95" si="56">E90</f>
        <v>3rd Party Expenses 2</v>
      </c>
      <c r="X90" s="64"/>
      <c r="Y90" s="64"/>
      <c r="Z90" s="64"/>
      <c r="AA90" s="64"/>
      <c r="AB90" s="60"/>
      <c r="AC90" s="64"/>
      <c r="AD90" s="64"/>
      <c r="AE90" s="64"/>
      <c r="AF90" s="64"/>
      <c r="AG90" s="60"/>
      <c r="AH90" s="64"/>
      <c r="AI90" s="64"/>
      <c r="AJ90" s="64"/>
    </row>
    <row r="91" spans="2:36" hidden="1" outlineLevel="1" x14ac:dyDescent="0.25">
      <c r="B91" s="229" t="s">
        <v>195</v>
      </c>
      <c r="C91" s="229" t="s">
        <v>195</v>
      </c>
      <c r="E91" s="78" t="s">
        <v>104</v>
      </c>
      <c r="F91" s="21">
        <f t="shared" si="50"/>
        <v>0</v>
      </c>
      <c r="G91" s="21">
        <f t="shared" si="50"/>
        <v>0</v>
      </c>
      <c r="H91" s="21">
        <f t="shared" si="50"/>
        <v>0</v>
      </c>
      <c r="I91" s="10">
        <f t="shared" si="51"/>
        <v>0</v>
      </c>
      <c r="J91" s="10">
        <f t="shared" si="51"/>
        <v>0</v>
      </c>
      <c r="K91" s="10">
        <f t="shared" si="51"/>
        <v>0</v>
      </c>
      <c r="L91" s="10">
        <f t="shared" si="51"/>
        <v>0</v>
      </c>
      <c r="M91" s="17">
        <f t="shared" si="52"/>
        <v>0</v>
      </c>
      <c r="N91" s="10">
        <f t="shared" si="53"/>
        <v>0</v>
      </c>
      <c r="O91" s="10">
        <f t="shared" si="53"/>
        <v>0</v>
      </c>
      <c r="P91" s="10">
        <f t="shared" si="53"/>
        <v>0</v>
      </c>
      <c r="Q91" s="10">
        <f t="shared" si="53"/>
        <v>0</v>
      </c>
      <c r="R91" s="22">
        <f t="shared" si="54"/>
        <v>0</v>
      </c>
      <c r="S91" s="23">
        <f t="shared" si="55"/>
        <v>0</v>
      </c>
      <c r="T91" s="23">
        <f t="shared" si="55"/>
        <v>0</v>
      </c>
      <c r="U91" s="23">
        <f t="shared" si="55"/>
        <v>0</v>
      </c>
      <c r="W91" s="79" t="str">
        <f t="shared" si="56"/>
        <v>3rd Party Expenses 3</v>
      </c>
      <c r="X91" s="64"/>
      <c r="Y91" s="64"/>
      <c r="Z91" s="64"/>
      <c r="AA91" s="64"/>
      <c r="AB91" s="60"/>
      <c r="AC91" s="64"/>
      <c r="AD91" s="64"/>
      <c r="AE91" s="64"/>
      <c r="AF91" s="64"/>
      <c r="AG91" s="60"/>
      <c r="AH91" s="64"/>
      <c r="AI91" s="64"/>
      <c r="AJ91" s="64"/>
    </row>
    <row r="92" spans="2:36" hidden="1" outlineLevel="1" x14ac:dyDescent="0.25">
      <c r="B92" s="229" t="s">
        <v>195</v>
      </c>
      <c r="C92" s="229" t="s">
        <v>195</v>
      </c>
      <c r="E92" s="78" t="s">
        <v>108</v>
      </c>
      <c r="F92" s="21">
        <f t="shared" si="50"/>
        <v>0</v>
      </c>
      <c r="G92" s="21">
        <f t="shared" si="50"/>
        <v>0</v>
      </c>
      <c r="H92" s="21">
        <f t="shared" si="50"/>
        <v>0</v>
      </c>
      <c r="I92" s="10">
        <f t="shared" si="51"/>
        <v>0</v>
      </c>
      <c r="J92" s="10">
        <f t="shared" si="51"/>
        <v>0</v>
      </c>
      <c r="K92" s="10">
        <f t="shared" si="51"/>
        <v>0</v>
      </c>
      <c r="L92" s="10">
        <f t="shared" si="51"/>
        <v>0</v>
      </c>
      <c r="M92" s="17">
        <f t="shared" si="52"/>
        <v>0</v>
      </c>
      <c r="N92" s="10">
        <f t="shared" si="53"/>
        <v>0</v>
      </c>
      <c r="O92" s="10">
        <f t="shared" si="53"/>
        <v>0</v>
      </c>
      <c r="P92" s="10">
        <f t="shared" si="53"/>
        <v>0</v>
      </c>
      <c r="Q92" s="10">
        <f t="shared" si="53"/>
        <v>0</v>
      </c>
      <c r="R92" s="22">
        <f t="shared" si="54"/>
        <v>0</v>
      </c>
      <c r="S92" s="23">
        <f t="shared" si="55"/>
        <v>0</v>
      </c>
      <c r="T92" s="23">
        <f t="shared" si="55"/>
        <v>0</v>
      </c>
      <c r="U92" s="23">
        <f t="shared" si="55"/>
        <v>0</v>
      </c>
      <c r="W92" s="79" t="str">
        <f t="shared" si="56"/>
        <v>3rd Party Expenses 4</v>
      </c>
      <c r="X92" s="64"/>
      <c r="Y92" s="64"/>
      <c r="Z92" s="64"/>
      <c r="AA92" s="64"/>
      <c r="AB92" s="60"/>
      <c r="AC92" s="64"/>
      <c r="AD92" s="64"/>
      <c r="AE92" s="64"/>
      <c r="AF92" s="64"/>
      <c r="AG92" s="60"/>
      <c r="AH92" s="64"/>
      <c r="AI92" s="64"/>
      <c r="AJ92" s="64"/>
    </row>
    <row r="93" spans="2:36" hidden="1" outlineLevel="1" x14ac:dyDescent="0.25">
      <c r="B93" s="229" t="s">
        <v>195</v>
      </c>
      <c r="C93" s="229" t="s">
        <v>195</v>
      </c>
      <c r="E93" s="78" t="s">
        <v>88</v>
      </c>
      <c r="F93" s="21">
        <f t="shared" si="50"/>
        <v>0</v>
      </c>
      <c r="G93" s="21">
        <f t="shared" si="50"/>
        <v>0</v>
      </c>
      <c r="H93" s="21">
        <f t="shared" si="50"/>
        <v>0</v>
      </c>
      <c r="I93" s="10">
        <f t="shared" si="51"/>
        <v>0</v>
      </c>
      <c r="J93" s="10">
        <f t="shared" si="51"/>
        <v>0</v>
      </c>
      <c r="K93" s="10">
        <f t="shared" si="51"/>
        <v>0</v>
      </c>
      <c r="L93" s="10">
        <f t="shared" si="51"/>
        <v>0</v>
      </c>
      <c r="M93" s="17">
        <f t="shared" si="52"/>
        <v>0</v>
      </c>
      <c r="N93" s="10">
        <f t="shared" si="53"/>
        <v>0</v>
      </c>
      <c r="O93" s="10">
        <f t="shared" si="53"/>
        <v>0</v>
      </c>
      <c r="P93" s="10">
        <f t="shared" si="53"/>
        <v>0</v>
      </c>
      <c r="Q93" s="10">
        <f t="shared" si="53"/>
        <v>0</v>
      </c>
      <c r="R93" s="22">
        <f t="shared" si="54"/>
        <v>0</v>
      </c>
      <c r="S93" s="23">
        <f t="shared" si="55"/>
        <v>0</v>
      </c>
      <c r="T93" s="23">
        <f t="shared" si="55"/>
        <v>0</v>
      </c>
      <c r="U93" s="23">
        <f t="shared" si="55"/>
        <v>0</v>
      </c>
      <c r="W93" s="79" t="str">
        <f t="shared" si="56"/>
        <v>All Other</v>
      </c>
      <c r="X93" s="64"/>
      <c r="Y93" s="64"/>
      <c r="Z93" s="64"/>
      <c r="AA93" s="64"/>
      <c r="AB93" s="60"/>
      <c r="AC93" s="64"/>
      <c r="AD93" s="64"/>
      <c r="AE93" s="64"/>
      <c r="AF93" s="64"/>
      <c r="AG93" s="60"/>
      <c r="AH93" s="64"/>
      <c r="AI93" s="64"/>
      <c r="AJ93" s="64"/>
    </row>
    <row r="94" spans="2:36" hidden="1" outlineLevel="1" x14ac:dyDescent="0.25">
      <c r="B94" s="229" t="s">
        <v>195</v>
      </c>
      <c r="C94" s="229" t="s">
        <v>195</v>
      </c>
      <c r="E94" s="78" t="s">
        <v>77</v>
      </c>
      <c r="F94" s="21">
        <f t="shared" si="50"/>
        <v>0</v>
      </c>
      <c r="G94" s="21">
        <f t="shared" si="50"/>
        <v>0</v>
      </c>
      <c r="H94" s="21">
        <f t="shared" si="50"/>
        <v>0</v>
      </c>
      <c r="I94" s="10">
        <f t="shared" si="51"/>
        <v>0</v>
      </c>
      <c r="J94" s="10">
        <f t="shared" si="51"/>
        <v>0</v>
      </c>
      <c r="K94" s="10">
        <f t="shared" si="51"/>
        <v>0</v>
      </c>
      <c r="L94" s="10">
        <f t="shared" si="51"/>
        <v>0</v>
      </c>
      <c r="M94" s="17">
        <f t="shared" si="52"/>
        <v>0</v>
      </c>
      <c r="N94" s="10">
        <f t="shared" si="53"/>
        <v>0</v>
      </c>
      <c r="O94" s="10">
        <f t="shared" si="53"/>
        <v>0</v>
      </c>
      <c r="P94" s="10">
        <f t="shared" si="53"/>
        <v>0</v>
      </c>
      <c r="Q94" s="10">
        <f t="shared" si="53"/>
        <v>0</v>
      </c>
      <c r="R94" s="22">
        <f t="shared" si="54"/>
        <v>0</v>
      </c>
      <c r="S94" s="23">
        <f t="shared" si="55"/>
        <v>0</v>
      </c>
      <c r="T94" s="23">
        <f t="shared" si="55"/>
        <v>0</v>
      </c>
      <c r="U94" s="23">
        <f t="shared" si="55"/>
        <v>0</v>
      </c>
      <c r="W94" s="79" t="str">
        <f t="shared" si="56"/>
        <v>blank</v>
      </c>
      <c r="X94" s="64"/>
      <c r="Y94" s="64"/>
      <c r="Z94" s="64"/>
      <c r="AA94" s="64"/>
      <c r="AB94" s="60"/>
      <c r="AC94" s="64"/>
      <c r="AD94" s="64"/>
      <c r="AE94" s="64"/>
      <c r="AF94" s="64"/>
      <c r="AG94" s="60"/>
      <c r="AH94" s="64"/>
      <c r="AI94" s="64"/>
      <c r="AJ94" s="64"/>
    </row>
    <row r="95" spans="2:36" hidden="1" outlineLevel="1" x14ac:dyDescent="0.25">
      <c r="B95" s="229" t="s">
        <v>195</v>
      </c>
      <c r="C95" s="229" t="s">
        <v>195</v>
      </c>
      <c r="E95" s="78" t="s">
        <v>77</v>
      </c>
      <c r="F95" s="21">
        <f t="shared" si="50"/>
        <v>0</v>
      </c>
      <c r="G95" s="21">
        <f t="shared" si="50"/>
        <v>0</v>
      </c>
      <c r="H95" s="21">
        <f t="shared" si="50"/>
        <v>0</v>
      </c>
      <c r="I95" s="10">
        <f t="shared" si="51"/>
        <v>0</v>
      </c>
      <c r="J95" s="10">
        <f t="shared" si="51"/>
        <v>0</v>
      </c>
      <c r="K95" s="10">
        <f t="shared" si="51"/>
        <v>0</v>
      </c>
      <c r="L95" s="10">
        <f t="shared" si="51"/>
        <v>0</v>
      </c>
      <c r="M95" s="17">
        <f t="shared" si="52"/>
        <v>0</v>
      </c>
      <c r="N95" s="10">
        <f t="shared" si="53"/>
        <v>0</v>
      </c>
      <c r="O95" s="10">
        <f t="shared" si="53"/>
        <v>0</v>
      </c>
      <c r="P95" s="10">
        <f t="shared" si="53"/>
        <v>0</v>
      </c>
      <c r="Q95" s="10">
        <f t="shared" si="53"/>
        <v>0</v>
      </c>
      <c r="R95" s="22">
        <f t="shared" si="54"/>
        <v>0</v>
      </c>
      <c r="S95" s="23">
        <f t="shared" si="55"/>
        <v>0</v>
      </c>
      <c r="T95" s="23">
        <f t="shared" si="55"/>
        <v>0</v>
      </c>
      <c r="U95" s="23">
        <f t="shared" si="55"/>
        <v>0</v>
      </c>
      <c r="W95" s="79" t="str">
        <f t="shared" si="56"/>
        <v>blank</v>
      </c>
      <c r="X95" s="64"/>
      <c r="Y95" s="64"/>
      <c r="Z95" s="64"/>
      <c r="AA95" s="64"/>
      <c r="AB95" s="60"/>
      <c r="AC95" s="64"/>
      <c r="AD95" s="64"/>
      <c r="AE95" s="64"/>
      <c r="AF95" s="64"/>
      <c r="AG95" s="60"/>
      <c r="AH95" s="64"/>
      <c r="AI95" s="64"/>
      <c r="AJ95" s="64"/>
    </row>
    <row r="96" spans="2:36" ht="15.75" hidden="1" outlineLevel="1" thickBot="1" x14ac:dyDescent="0.3">
      <c r="E96" s="8" t="s">
        <v>27</v>
      </c>
      <c r="F96" s="9">
        <f t="shared" ref="F96:U96" si="57">SUM(F89:F95)</f>
        <v>0</v>
      </c>
      <c r="G96" s="9">
        <f t="shared" si="57"/>
        <v>0</v>
      </c>
      <c r="H96" s="9">
        <f t="shared" si="57"/>
        <v>0</v>
      </c>
      <c r="I96" s="11">
        <f t="shared" si="57"/>
        <v>0</v>
      </c>
      <c r="J96" s="11">
        <f t="shared" si="57"/>
        <v>0</v>
      </c>
      <c r="K96" s="11">
        <f t="shared" si="57"/>
        <v>0</v>
      </c>
      <c r="L96" s="11">
        <f t="shared" si="57"/>
        <v>0</v>
      </c>
      <c r="M96" s="18">
        <f t="shared" si="57"/>
        <v>0</v>
      </c>
      <c r="N96" s="11">
        <f t="shared" si="57"/>
        <v>0</v>
      </c>
      <c r="O96" s="11">
        <f t="shared" si="57"/>
        <v>0</v>
      </c>
      <c r="P96" s="11">
        <f t="shared" si="57"/>
        <v>0</v>
      </c>
      <c r="Q96" s="11">
        <f t="shared" si="57"/>
        <v>0</v>
      </c>
      <c r="R96" s="19">
        <f t="shared" si="57"/>
        <v>0</v>
      </c>
      <c r="S96" s="20">
        <f t="shared" si="57"/>
        <v>0</v>
      </c>
      <c r="T96" s="20">
        <f t="shared" si="57"/>
        <v>0</v>
      </c>
      <c r="U96" s="20">
        <f t="shared" si="57"/>
        <v>0</v>
      </c>
    </row>
    <row r="97" spans="2:36" ht="15.75" hidden="1" outlineLevel="1" thickTop="1" x14ac:dyDescent="0.25">
      <c r="M97" s="3"/>
    </row>
    <row r="98" spans="2:36" hidden="1" outlineLevel="1" x14ac:dyDescent="0.25">
      <c r="M98" s="3"/>
    </row>
    <row r="99" spans="2:36" hidden="1" outlineLevel="1" x14ac:dyDescent="0.25">
      <c r="M99" s="3"/>
    </row>
    <row r="100" spans="2:36" hidden="1" outlineLevel="1" x14ac:dyDescent="0.25">
      <c r="E100" s="4" t="s">
        <v>28</v>
      </c>
      <c r="W100" s="4" t="str">
        <f>E100</f>
        <v>Capital Expenditures</v>
      </c>
    </row>
    <row r="101" spans="2:36" hidden="1" outlineLevel="1" x14ac:dyDescent="0.25">
      <c r="E101" s="6" t="s">
        <v>25</v>
      </c>
      <c r="W101" s="61" t="s">
        <v>62</v>
      </c>
    </row>
    <row r="102" spans="2:36" hidden="1" outlineLevel="1" x14ac:dyDescent="0.25"/>
    <row r="103" spans="2:36" hidden="1" outlineLevel="1" x14ac:dyDescent="0.25">
      <c r="F103" s="12">
        <f>Inputs!$C$7</f>
        <v>2023</v>
      </c>
      <c r="G103" s="12">
        <f>Inputs!$C$8</f>
        <v>2024</v>
      </c>
      <c r="H103" s="12">
        <f>Inputs!$C$9</f>
        <v>2025</v>
      </c>
      <c r="I103" s="13" t="s">
        <v>1</v>
      </c>
      <c r="J103" s="13" t="s">
        <v>2</v>
      </c>
      <c r="K103" s="13" t="s">
        <v>3</v>
      </c>
      <c r="L103" s="13" t="s">
        <v>4</v>
      </c>
      <c r="M103" s="13">
        <f>Inputs!$C$10</f>
        <v>2026</v>
      </c>
      <c r="N103" s="14" t="s">
        <v>1</v>
      </c>
      <c r="O103" s="14" t="s">
        <v>2</v>
      </c>
      <c r="P103" s="14" t="s">
        <v>3</v>
      </c>
      <c r="Q103" s="14" t="s">
        <v>4</v>
      </c>
      <c r="R103" s="15">
        <f>Inputs!$C$11</f>
        <v>2027</v>
      </c>
      <c r="S103" s="16">
        <f>Inputs!$C$12</f>
        <v>2028</v>
      </c>
      <c r="T103" s="16">
        <f>Inputs!$C$13</f>
        <v>2029</v>
      </c>
      <c r="U103" s="16">
        <f>Inputs!$C$14</f>
        <v>2030</v>
      </c>
      <c r="X103" s="13" t="s">
        <v>1</v>
      </c>
      <c r="Y103" s="13" t="s">
        <v>2</v>
      </c>
      <c r="Z103" s="13" t="s">
        <v>3</v>
      </c>
      <c r="AA103" s="13" t="s">
        <v>4</v>
      </c>
      <c r="AB103" s="13">
        <f>Inputs!$C$10</f>
        <v>2026</v>
      </c>
      <c r="AC103" s="14" t="s">
        <v>1</v>
      </c>
      <c r="AD103" s="14" t="s">
        <v>2</v>
      </c>
      <c r="AE103" s="14" t="s">
        <v>3</v>
      </c>
      <c r="AF103" s="14" t="s">
        <v>4</v>
      </c>
      <c r="AG103" s="15">
        <f>Inputs!$C$11</f>
        <v>2027</v>
      </c>
      <c r="AH103" s="16">
        <f>Inputs!$C$12</f>
        <v>2028</v>
      </c>
      <c r="AI103" s="16">
        <f>Inputs!$C$13</f>
        <v>2029</v>
      </c>
      <c r="AJ103" s="16">
        <f>Inputs!$C$14</f>
        <v>2030</v>
      </c>
    </row>
    <row r="104" spans="2:36" hidden="1" outlineLevel="1" x14ac:dyDescent="0.25">
      <c r="F104" s="71" t="s">
        <v>63</v>
      </c>
      <c r="G104" s="71" t="s">
        <v>63</v>
      </c>
      <c r="H104" s="71" t="s">
        <v>63</v>
      </c>
      <c r="I104" s="71" t="s">
        <v>63</v>
      </c>
      <c r="J104" s="71" t="s">
        <v>63</v>
      </c>
      <c r="K104" s="71" t="s">
        <v>63</v>
      </c>
      <c r="L104" s="71" t="s">
        <v>63</v>
      </c>
      <c r="M104" s="71" t="s">
        <v>63</v>
      </c>
      <c r="N104" s="71" t="s">
        <v>63</v>
      </c>
      <c r="O104" s="71" t="s">
        <v>63</v>
      </c>
      <c r="P104" s="71" t="s">
        <v>63</v>
      </c>
      <c r="Q104" s="71" t="s">
        <v>63</v>
      </c>
      <c r="R104" s="71" t="s">
        <v>63</v>
      </c>
      <c r="S104" s="71" t="s">
        <v>63</v>
      </c>
      <c r="T104" s="71" t="s">
        <v>63</v>
      </c>
      <c r="U104" s="71" t="s">
        <v>63</v>
      </c>
      <c r="X104" s="63" t="s">
        <v>30</v>
      </c>
      <c r="Y104" s="63" t="s">
        <v>30</v>
      </c>
      <c r="Z104" s="63" t="s">
        <v>30</v>
      </c>
      <c r="AA104" s="63" t="s">
        <v>30</v>
      </c>
      <c r="AB104" s="62"/>
      <c r="AC104" s="63" t="s">
        <v>30</v>
      </c>
      <c r="AD104" s="63" t="s">
        <v>30</v>
      </c>
      <c r="AE104" s="63" t="s">
        <v>30</v>
      </c>
      <c r="AF104" s="63" t="s">
        <v>30</v>
      </c>
      <c r="AG104" s="62"/>
      <c r="AH104" s="63" t="s">
        <v>30</v>
      </c>
      <c r="AI104" s="63" t="s">
        <v>30</v>
      </c>
      <c r="AJ104" s="63" t="s">
        <v>30</v>
      </c>
    </row>
    <row r="105" spans="2:36" hidden="1" outlineLevel="1" x14ac:dyDescent="0.25">
      <c r="B105" s="229" t="s">
        <v>195</v>
      </c>
      <c r="E105" s="78" t="s">
        <v>83</v>
      </c>
      <c r="F105" s="21">
        <f t="shared" ref="F105:H111" si="58">F413</f>
        <v>0</v>
      </c>
      <c r="G105" s="21">
        <f t="shared" si="58"/>
        <v>0</v>
      </c>
      <c r="H105" s="21">
        <f t="shared" si="58"/>
        <v>0</v>
      </c>
      <c r="I105" s="10">
        <f t="shared" ref="I105:L111" si="59">IF(X105="",I413,X105)</f>
        <v>0</v>
      </c>
      <c r="J105" s="10">
        <f t="shared" si="59"/>
        <v>0</v>
      </c>
      <c r="K105" s="10">
        <f t="shared" si="59"/>
        <v>0</v>
      </c>
      <c r="L105" s="10">
        <f t="shared" si="59"/>
        <v>0</v>
      </c>
      <c r="M105" s="17">
        <f t="shared" ref="M105:M111" si="60">SUM(I105:L105)</f>
        <v>0</v>
      </c>
      <c r="N105" s="10">
        <f t="shared" ref="N105:Q111" si="61">IF(AC105="",N413,AC105)</f>
        <v>0</v>
      </c>
      <c r="O105" s="10">
        <f t="shared" si="61"/>
        <v>0</v>
      </c>
      <c r="P105" s="10">
        <f t="shared" si="61"/>
        <v>0</v>
      </c>
      <c r="Q105" s="10">
        <f t="shared" si="61"/>
        <v>0</v>
      </c>
      <c r="R105" s="22">
        <f t="shared" ref="R105:R111" si="62">SUM(N105:Q105)</f>
        <v>0</v>
      </c>
      <c r="S105" s="23">
        <f t="shared" ref="S105:U111" si="63">IF(AH105="",S413,AH105)</f>
        <v>0</v>
      </c>
      <c r="T105" s="23">
        <f t="shared" si="63"/>
        <v>0</v>
      </c>
      <c r="U105" s="23">
        <f t="shared" si="63"/>
        <v>0</v>
      </c>
      <c r="W105" s="79" t="str">
        <f>E105</f>
        <v>Capital Expenditure 1</v>
      </c>
      <c r="X105" s="64"/>
      <c r="Y105" s="64"/>
      <c r="Z105" s="64"/>
      <c r="AA105" s="64"/>
      <c r="AB105" s="60"/>
      <c r="AC105" s="64"/>
      <c r="AD105" s="64"/>
      <c r="AE105" s="64"/>
      <c r="AF105" s="64"/>
      <c r="AG105" s="60"/>
      <c r="AH105" s="64"/>
      <c r="AI105" s="64"/>
      <c r="AJ105" s="64"/>
    </row>
    <row r="106" spans="2:36" hidden="1" outlineLevel="1" x14ac:dyDescent="0.25">
      <c r="B106" s="229" t="s">
        <v>195</v>
      </c>
      <c r="E106" s="78" t="s">
        <v>84</v>
      </c>
      <c r="F106" s="21">
        <f t="shared" si="58"/>
        <v>0</v>
      </c>
      <c r="G106" s="21">
        <f t="shared" si="58"/>
        <v>0</v>
      </c>
      <c r="H106" s="21">
        <f t="shared" si="58"/>
        <v>0</v>
      </c>
      <c r="I106" s="10">
        <f t="shared" si="59"/>
        <v>0</v>
      </c>
      <c r="J106" s="10">
        <f t="shared" si="59"/>
        <v>0</v>
      </c>
      <c r="K106" s="10">
        <f t="shared" si="59"/>
        <v>0</v>
      </c>
      <c r="L106" s="10">
        <f t="shared" si="59"/>
        <v>0</v>
      </c>
      <c r="M106" s="17">
        <f t="shared" si="60"/>
        <v>0</v>
      </c>
      <c r="N106" s="10">
        <f t="shared" si="61"/>
        <v>0</v>
      </c>
      <c r="O106" s="10">
        <f t="shared" si="61"/>
        <v>0</v>
      </c>
      <c r="P106" s="10">
        <f t="shared" si="61"/>
        <v>0</v>
      </c>
      <c r="Q106" s="10">
        <f t="shared" si="61"/>
        <v>0</v>
      </c>
      <c r="R106" s="22">
        <f t="shared" si="62"/>
        <v>0</v>
      </c>
      <c r="S106" s="23">
        <f t="shared" si="63"/>
        <v>0</v>
      </c>
      <c r="T106" s="23">
        <f t="shared" si="63"/>
        <v>0</v>
      </c>
      <c r="U106" s="23">
        <f t="shared" si="63"/>
        <v>0</v>
      </c>
      <c r="W106" s="79" t="str">
        <f t="shared" ref="W106:W111" si="64">E106</f>
        <v>Capital Expenditure 2</v>
      </c>
      <c r="X106" s="64"/>
      <c r="Y106" s="64"/>
      <c r="Z106" s="64"/>
      <c r="AA106" s="64"/>
      <c r="AB106" s="60"/>
      <c r="AC106" s="64"/>
      <c r="AD106" s="64"/>
      <c r="AE106" s="64"/>
      <c r="AF106" s="64"/>
      <c r="AG106" s="60"/>
      <c r="AH106" s="64"/>
      <c r="AI106" s="64"/>
      <c r="AJ106" s="64"/>
    </row>
    <row r="107" spans="2:36" hidden="1" outlineLevel="1" x14ac:dyDescent="0.25">
      <c r="B107" s="229" t="s">
        <v>195</v>
      </c>
      <c r="E107" s="78" t="s">
        <v>85</v>
      </c>
      <c r="F107" s="21">
        <f t="shared" si="58"/>
        <v>0</v>
      </c>
      <c r="G107" s="21">
        <f t="shared" si="58"/>
        <v>0</v>
      </c>
      <c r="H107" s="21">
        <f t="shared" si="58"/>
        <v>0</v>
      </c>
      <c r="I107" s="10">
        <f t="shared" si="59"/>
        <v>0</v>
      </c>
      <c r="J107" s="10">
        <f t="shared" si="59"/>
        <v>0</v>
      </c>
      <c r="K107" s="10">
        <f t="shared" si="59"/>
        <v>0</v>
      </c>
      <c r="L107" s="10">
        <f t="shared" si="59"/>
        <v>0</v>
      </c>
      <c r="M107" s="17">
        <f t="shared" si="60"/>
        <v>0</v>
      </c>
      <c r="N107" s="10">
        <f t="shared" si="61"/>
        <v>0</v>
      </c>
      <c r="O107" s="10">
        <f t="shared" si="61"/>
        <v>0</v>
      </c>
      <c r="P107" s="10">
        <f t="shared" si="61"/>
        <v>0</v>
      </c>
      <c r="Q107" s="10">
        <f t="shared" si="61"/>
        <v>0</v>
      </c>
      <c r="R107" s="22">
        <f t="shared" si="62"/>
        <v>0</v>
      </c>
      <c r="S107" s="23">
        <f t="shared" si="63"/>
        <v>0</v>
      </c>
      <c r="T107" s="23">
        <f t="shared" si="63"/>
        <v>0</v>
      </c>
      <c r="U107" s="23">
        <f t="shared" si="63"/>
        <v>0</v>
      </c>
      <c r="W107" s="79" t="str">
        <f t="shared" si="64"/>
        <v>Capital Expenditure 3</v>
      </c>
      <c r="X107" s="64"/>
      <c r="Y107" s="64"/>
      <c r="Z107" s="64"/>
      <c r="AA107" s="64"/>
      <c r="AB107" s="60"/>
      <c r="AC107" s="64"/>
      <c r="AD107" s="64"/>
      <c r="AE107" s="64"/>
      <c r="AF107" s="64"/>
      <c r="AG107" s="60"/>
      <c r="AH107" s="64"/>
      <c r="AI107" s="64"/>
      <c r="AJ107" s="64"/>
    </row>
    <row r="108" spans="2:36" hidden="1" outlineLevel="1" x14ac:dyDescent="0.25">
      <c r="B108" s="229" t="s">
        <v>195</v>
      </c>
      <c r="E108" s="78" t="s">
        <v>86</v>
      </c>
      <c r="F108" s="21">
        <f t="shared" si="58"/>
        <v>0</v>
      </c>
      <c r="G108" s="21">
        <f t="shared" si="58"/>
        <v>0</v>
      </c>
      <c r="H108" s="21">
        <f t="shared" si="58"/>
        <v>0</v>
      </c>
      <c r="I108" s="10">
        <f t="shared" si="59"/>
        <v>0</v>
      </c>
      <c r="J108" s="10">
        <f t="shared" si="59"/>
        <v>0</v>
      </c>
      <c r="K108" s="10">
        <f t="shared" si="59"/>
        <v>0</v>
      </c>
      <c r="L108" s="10">
        <f t="shared" si="59"/>
        <v>0</v>
      </c>
      <c r="M108" s="17">
        <f t="shared" si="60"/>
        <v>0</v>
      </c>
      <c r="N108" s="10">
        <f t="shared" si="61"/>
        <v>0</v>
      </c>
      <c r="O108" s="10">
        <f t="shared" si="61"/>
        <v>0</v>
      </c>
      <c r="P108" s="10">
        <f t="shared" si="61"/>
        <v>0</v>
      </c>
      <c r="Q108" s="10">
        <f t="shared" si="61"/>
        <v>0</v>
      </c>
      <c r="R108" s="22">
        <f t="shared" si="62"/>
        <v>0</v>
      </c>
      <c r="S108" s="23">
        <f t="shared" si="63"/>
        <v>0</v>
      </c>
      <c r="T108" s="23">
        <f t="shared" si="63"/>
        <v>0</v>
      </c>
      <c r="U108" s="23">
        <f t="shared" si="63"/>
        <v>0</v>
      </c>
      <c r="W108" s="79" t="str">
        <f t="shared" si="64"/>
        <v>Capital Expenditure 4</v>
      </c>
      <c r="X108" s="64"/>
      <c r="Y108" s="64"/>
      <c r="Z108" s="64"/>
      <c r="AA108" s="64"/>
      <c r="AB108" s="60"/>
      <c r="AC108" s="64"/>
      <c r="AD108" s="64"/>
      <c r="AE108" s="64"/>
      <c r="AF108" s="64"/>
      <c r="AG108" s="60"/>
      <c r="AH108" s="64"/>
      <c r="AI108" s="64"/>
      <c r="AJ108" s="64"/>
    </row>
    <row r="109" spans="2:36" hidden="1" outlineLevel="1" x14ac:dyDescent="0.25">
      <c r="B109" s="229" t="s">
        <v>195</v>
      </c>
      <c r="E109" s="78" t="s">
        <v>87</v>
      </c>
      <c r="F109" s="21">
        <f t="shared" si="58"/>
        <v>0</v>
      </c>
      <c r="G109" s="21">
        <f t="shared" si="58"/>
        <v>0</v>
      </c>
      <c r="H109" s="21">
        <f t="shared" si="58"/>
        <v>0</v>
      </c>
      <c r="I109" s="10">
        <f t="shared" si="59"/>
        <v>0</v>
      </c>
      <c r="J109" s="10">
        <f t="shared" si="59"/>
        <v>0</v>
      </c>
      <c r="K109" s="10">
        <f t="shared" si="59"/>
        <v>0</v>
      </c>
      <c r="L109" s="10">
        <f t="shared" si="59"/>
        <v>0</v>
      </c>
      <c r="M109" s="17">
        <f t="shared" si="60"/>
        <v>0</v>
      </c>
      <c r="N109" s="10">
        <f t="shared" si="61"/>
        <v>0</v>
      </c>
      <c r="O109" s="10">
        <f t="shared" si="61"/>
        <v>0</v>
      </c>
      <c r="P109" s="10">
        <f t="shared" si="61"/>
        <v>0</v>
      </c>
      <c r="Q109" s="10">
        <f t="shared" si="61"/>
        <v>0</v>
      </c>
      <c r="R109" s="22">
        <f t="shared" si="62"/>
        <v>0</v>
      </c>
      <c r="S109" s="23">
        <f t="shared" si="63"/>
        <v>0</v>
      </c>
      <c r="T109" s="23">
        <f t="shared" si="63"/>
        <v>0</v>
      </c>
      <c r="U109" s="23">
        <f t="shared" si="63"/>
        <v>0</v>
      </c>
      <c r="W109" s="79" t="str">
        <f t="shared" si="64"/>
        <v>Capital Expenditure 5</v>
      </c>
      <c r="X109" s="64"/>
      <c r="Y109" s="64"/>
      <c r="Z109" s="64"/>
      <c r="AA109" s="64"/>
      <c r="AB109" s="60"/>
      <c r="AC109" s="64"/>
      <c r="AD109" s="64"/>
      <c r="AE109" s="64"/>
      <c r="AF109" s="64"/>
      <c r="AG109" s="60"/>
      <c r="AH109" s="64"/>
      <c r="AI109" s="64"/>
      <c r="AJ109" s="64"/>
    </row>
    <row r="110" spans="2:36" hidden="1" outlineLevel="1" x14ac:dyDescent="0.25">
      <c r="B110" s="229" t="s">
        <v>195</v>
      </c>
      <c r="E110" s="78" t="s">
        <v>88</v>
      </c>
      <c r="F110" s="21">
        <f t="shared" si="58"/>
        <v>0</v>
      </c>
      <c r="G110" s="21">
        <f t="shared" si="58"/>
        <v>0</v>
      </c>
      <c r="H110" s="21">
        <f t="shared" si="58"/>
        <v>0</v>
      </c>
      <c r="I110" s="10">
        <f t="shared" si="59"/>
        <v>0</v>
      </c>
      <c r="J110" s="10">
        <f t="shared" si="59"/>
        <v>0</v>
      </c>
      <c r="K110" s="10">
        <f t="shared" si="59"/>
        <v>0</v>
      </c>
      <c r="L110" s="10">
        <f t="shared" si="59"/>
        <v>0</v>
      </c>
      <c r="M110" s="17">
        <f t="shared" si="60"/>
        <v>0</v>
      </c>
      <c r="N110" s="10">
        <f t="shared" si="61"/>
        <v>0</v>
      </c>
      <c r="O110" s="10">
        <f t="shared" si="61"/>
        <v>0</v>
      </c>
      <c r="P110" s="10">
        <f t="shared" si="61"/>
        <v>0</v>
      </c>
      <c r="Q110" s="10">
        <f t="shared" si="61"/>
        <v>0</v>
      </c>
      <c r="R110" s="22">
        <f t="shared" si="62"/>
        <v>0</v>
      </c>
      <c r="S110" s="23">
        <f t="shared" si="63"/>
        <v>0</v>
      </c>
      <c r="T110" s="23">
        <f t="shared" si="63"/>
        <v>0</v>
      </c>
      <c r="U110" s="23">
        <f t="shared" si="63"/>
        <v>0</v>
      </c>
      <c r="W110" s="79" t="str">
        <f t="shared" si="64"/>
        <v>All Other</v>
      </c>
      <c r="X110" s="64"/>
      <c r="Y110" s="64"/>
      <c r="Z110" s="64"/>
      <c r="AA110" s="64"/>
      <c r="AB110" s="60"/>
      <c r="AC110" s="64"/>
      <c r="AD110" s="64"/>
      <c r="AE110" s="64"/>
      <c r="AF110" s="64"/>
      <c r="AG110" s="60"/>
      <c r="AH110" s="64"/>
      <c r="AI110" s="64"/>
      <c r="AJ110" s="64"/>
    </row>
    <row r="111" spans="2:36" hidden="1" outlineLevel="1" x14ac:dyDescent="0.25">
      <c r="B111" s="229" t="s">
        <v>195</v>
      </c>
      <c r="E111" s="78" t="s">
        <v>77</v>
      </c>
      <c r="F111" s="21">
        <f t="shared" si="58"/>
        <v>0</v>
      </c>
      <c r="G111" s="21">
        <f t="shared" si="58"/>
        <v>0</v>
      </c>
      <c r="H111" s="21">
        <f t="shared" si="58"/>
        <v>0</v>
      </c>
      <c r="I111" s="10">
        <f t="shared" si="59"/>
        <v>0</v>
      </c>
      <c r="J111" s="10">
        <f t="shared" si="59"/>
        <v>0</v>
      </c>
      <c r="K111" s="10">
        <f t="shared" si="59"/>
        <v>0</v>
      </c>
      <c r="L111" s="10">
        <f t="shared" si="59"/>
        <v>0</v>
      </c>
      <c r="M111" s="17">
        <f t="shared" si="60"/>
        <v>0</v>
      </c>
      <c r="N111" s="10">
        <f t="shared" si="61"/>
        <v>0</v>
      </c>
      <c r="O111" s="10">
        <f t="shared" si="61"/>
        <v>0</v>
      </c>
      <c r="P111" s="10">
        <f t="shared" si="61"/>
        <v>0</v>
      </c>
      <c r="Q111" s="10">
        <f t="shared" si="61"/>
        <v>0</v>
      </c>
      <c r="R111" s="22">
        <f t="shared" si="62"/>
        <v>0</v>
      </c>
      <c r="S111" s="23">
        <f t="shared" si="63"/>
        <v>0</v>
      </c>
      <c r="T111" s="23">
        <f t="shared" si="63"/>
        <v>0</v>
      </c>
      <c r="U111" s="23">
        <f t="shared" si="63"/>
        <v>0</v>
      </c>
      <c r="W111" s="79" t="str">
        <f t="shared" si="64"/>
        <v>blank</v>
      </c>
      <c r="X111" s="64"/>
      <c r="Y111" s="64"/>
      <c r="Z111" s="64"/>
      <c r="AA111" s="64"/>
      <c r="AB111" s="60"/>
      <c r="AC111" s="64"/>
      <c r="AD111" s="64"/>
      <c r="AE111" s="64"/>
      <c r="AF111" s="64"/>
      <c r="AG111" s="60"/>
      <c r="AH111" s="64"/>
      <c r="AI111" s="64"/>
      <c r="AJ111" s="64"/>
    </row>
    <row r="112" spans="2:36" ht="15.75" hidden="1" outlineLevel="1" thickBot="1" x14ac:dyDescent="0.3">
      <c r="E112" s="8" t="s">
        <v>27</v>
      </c>
      <c r="F112" s="9">
        <f t="shared" ref="F112:U112" si="65">SUM(F105:F111)</f>
        <v>0</v>
      </c>
      <c r="G112" s="9">
        <f t="shared" si="65"/>
        <v>0</v>
      </c>
      <c r="H112" s="9">
        <f t="shared" si="65"/>
        <v>0</v>
      </c>
      <c r="I112" s="11">
        <f t="shared" si="65"/>
        <v>0</v>
      </c>
      <c r="J112" s="11">
        <f t="shared" si="65"/>
        <v>0</v>
      </c>
      <c r="K112" s="11">
        <f t="shared" si="65"/>
        <v>0</v>
      </c>
      <c r="L112" s="11">
        <f t="shared" si="65"/>
        <v>0</v>
      </c>
      <c r="M112" s="18">
        <f t="shared" si="65"/>
        <v>0</v>
      </c>
      <c r="N112" s="11">
        <f t="shared" si="65"/>
        <v>0</v>
      </c>
      <c r="O112" s="11">
        <f t="shared" si="65"/>
        <v>0</v>
      </c>
      <c r="P112" s="11">
        <f t="shared" si="65"/>
        <v>0</v>
      </c>
      <c r="Q112" s="11">
        <f t="shared" si="65"/>
        <v>0</v>
      </c>
      <c r="R112" s="19">
        <f t="shared" si="65"/>
        <v>0</v>
      </c>
      <c r="S112" s="20">
        <f t="shared" si="65"/>
        <v>0</v>
      </c>
      <c r="T112" s="20">
        <f t="shared" si="65"/>
        <v>0</v>
      </c>
      <c r="U112" s="20">
        <f t="shared" si="65"/>
        <v>0</v>
      </c>
    </row>
    <row r="113" spans="3:36" ht="15.75" hidden="1" outlineLevel="1" thickTop="1" x14ac:dyDescent="0.25"/>
    <row r="114" spans="3:36" hidden="1" outlineLevel="1" x14ac:dyDescent="0.25">
      <c r="C114" s="229" t="s">
        <v>195</v>
      </c>
      <c r="E114" s="78" t="s">
        <v>89</v>
      </c>
      <c r="F114" s="21">
        <f t="shared" ref="F114:H120" si="66">F422</f>
        <v>0</v>
      </c>
      <c r="G114" s="21">
        <f t="shared" si="66"/>
        <v>0</v>
      </c>
      <c r="H114" s="21">
        <f t="shared" si="66"/>
        <v>0</v>
      </c>
      <c r="I114" s="10">
        <f t="shared" ref="I114:L120" si="67">IF(X114="",I422,X114)</f>
        <v>0</v>
      </c>
      <c r="J114" s="10">
        <f t="shared" si="67"/>
        <v>0</v>
      </c>
      <c r="K114" s="10">
        <f t="shared" si="67"/>
        <v>0</v>
      </c>
      <c r="L114" s="10">
        <f t="shared" si="67"/>
        <v>0</v>
      </c>
      <c r="M114" s="17">
        <f t="shared" ref="M114:M120" si="68">SUM(I114:L114)</f>
        <v>0</v>
      </c>
      <c r="N114" s="10">
        <f t="shared" ref="N114:Q120" si="69">IF(AC114="",N422,AC114)</f>
        <v>0</v>
      </c>
      <c r="O114" s="10">
        <f t="shared" si="69"/>
        <v>0</v>
      </c>
      <c r="P114" s="10">
        <f t="shared" si="69"/>
        <v>0</v>
      </c>
      <c r="Q114" s="10">
        <f t="shared" si="69"/>
        <v>0</v>
      </c>
      <c r="R114" s="22">
        <f t="shared" ref="R114:R120" si="70">SUM(N114:Q114)</f>
        <v>0</v>
      </c>
      <c r="S114" s="23">
        <f t="shared" ref="S114:U120" si="71">IF(AH114="",S422,AH114)</f>
        <v>0</v>
      </c>
      <c r="T114" s="23">
        <f t="shared" si="71"/>
        <v>0</v>
      </c>
      <c r="U114" s="23">
        <f t="shared" si="71"/>
        <v>0</v>
      </c>
      <c r="W114" s="79" t="str">
        <f>E114</f>
        <v>Depreciation Expense 1</v>
      </c>
      <c r="X114" s="64"/>
      <c r="Y114" s="64"/>
      <c r="Z114" s="64"/>
      <c r="AA114" s="64"/>
      <c r="AB114" s="60"/>
      <c r="AC114" s="64"/>
      <c r="AD114" s="64"/>
      <c r="AE114" s="64"/>
      <c r="AF114" s="64"/>
      <c r="AG114" s="60"/>
      <c r="AH114" s="64"/>
      <c r="AI114" s="64"/>
      <c r="AJ114" s="64"/>
    </row>
    <row r="115" spans="3:36" hidden="1" outlineLevel="1" x14ac:dyDescent="0.25">
      <c r="C115" s="229" t="s">
        <v>195</v>
      </c>
      <c r="E115" s="78" t="s">
        <v>90</v>
      </c>
      <c r="F115" s="21">
        <f t="shared" si="66"/>
        <v>0</v>
      </c>
      <c r="G115" s="21">
        <f t="shared" si="66"/>
        <v>0</v>
      </c>
      <c r="H115" s="21">
        <f t="shared" si="66"/>
        <v>0</v>
      </c>
      <c r="I115" s="10">
        <f t="shared" si="67"/>
        <v>0</v>
      </c>
      <c r="J115" s="10">
        <f t="shared" si="67"/>
        <v>0</v>
      </c>
      <c r="K115" s="10">
        <f t="shared" si="67"/>
        <v>0</v>
      </c>
      <c r="L115" s="10">
        <f t="shared" si="67"/>
        <v>0</v>
      </c>
      <c r="M115" s="17">
        <f t="shared" si="68"/>
        <v>0</v>
      </c>
      <c r="N115" s="10">
        <f t="shared" si="69"/>
        <v>0</v>
      </c>
      <c r="O115" s="10">
        <f t="shared" si="69"/>
        <v>0</v>
      </c>
      <c r="P115" s="10">
        <f t="shared" si="69"/>
        <v>0</v>
      </c>
      <c r="Q115" s="10">
        <f t="shared" si="69"/>
        <v>0</v>
      </c>
      <c r="R115" s="22">
        <f t="shared" si="70"/>
        <v>0</v>
      </c>
      <c r="S115" s="23">
        <f t="shared" si="71"/>
        <v>0</v>
      </c>
      <c r="T115" s="23">
        <f t="shared" si="71"/>
        <v>0</v>
      </c>
      <c r="U115" s="23">
        <f t="shared" si="71"/>
        <v>0</v>
      </c>
      <c r="W115" s="79" t="str">
        <f t="shared" ref="W115:W120" si="72">E115</f>
        <v>Depreciation Expense 2</v>
      </c>
      <c r="X115" s="64"/>
      <c r="Y115" s="64"/>
      <c r="Z115" s="64"/>
      <c r="AA115" s="64"/>
      <c r="AB115" s="60"/>
      <c r="AC115" s="64"/>
      <c r="AD115" s="64"/>
      <c r="AE115" s="64"/>
      <c r="AF115" s="64"/>
      <c r="AG115" s="60"/>
      <c r="AH115" s="64"/>
      <c r="AI115" s="64"/>
      <c r="AJ115" s="64"/>
    </row>
    <row r="116" spans="3:36" hidden="1" outlineLevel="1" x14ac:dyDescent="0.25">
      <c r="C116" s="229" t="s">
        <v>195</v>
      </c>
      <c r="E116" s="78" t="s">
        <v>91</v>
      </c>
      <c r="F116" s="21">
        <f t="shared" si="66"/>
        <v>0</v>
      </c>
      <c r="G116" s="21">
        <f t="shared" si="66"/>
        <v>0</v>
      </c>
      <c r="H116" s="21">
        <f t="shared" si="66"/>
        <v>0</v>
      </c>
      <c r="I116" s="10">
        <f t="shared" si="67"/>
        <v>0</v>
      </c>
      <c r="J116" s="10">
        <f t="shared" si="67"/>
        <v>0</v>
      </c>
      <c r="K116" s="10">
        <f t="shared" si="67"/>
        <v>0</v>
      </c>
      <c r="L116" s="10">
        <f t="shared" si="67"/>
        <v>0</v>
      </c>
      <c r="M116" s="17">
        <f t="shared" si="68"/>
        <v>0</v>
      </c>
      <c r="N116" s="10">
        <f t="shared" si="69"/>
        <v>0</v>
      </c>
      <c r="O116" s="10">
        <f t="shared" si="69"/>
        <v>0</v>
      </c>
      <c r="P116" s="10">
        <f t="shared" si="69"/>
        <v>0</v>
      </c>
      <c r="Q116" s="10">
        <f t="shared" si="69"/>
        <v>0</v>
      </c>
      <c r="R116" s="22">
        <f t="shared" si="70"/>
        <v>0</v>
      </c>
      <c r="S116" s="23">
        <f t="shared" si="71"/>
        <v>0</v>
      </c>
      <c r="T116" s="23">
        <f t="shared" si="71"/>
        <v>0</v>
      </c>
      <c r="U116" s="23">
        <f t="shared" si="71"/>
        <v>0</v>
      </c>
      <c r="W116" s="79" t="str">
        <f t="shared" si="72"/>
        <v>Depreciation Expense 3</v>
      </c>
      <c r="X116" s="64"/>
      <c r="Y116" s="64"/>
      <c r="Z116" s="64"/>
      <c r="AA116" s="64"/>
      <c r="AB116" s="60"/>
      <c r="AC116" s="64"/>
      <c r="AD116" s="64"/>
      <c r="AE116" s="64"/>
      <c r="AF116" s="64"/>
      <c r="AG116" s="60"/>
      <c r="AH116" s="64"/>
      <c r="AI116" s="64"/>
      <c r="AJ116" s="64"/>
    </row>
    <row r="117" spans="3:36" hidden="1" outlineLevel="1" x14ac:dyDescent="0.25">
      <c r="C117" s="229" t="s">
        <v>195</v>
      </c>
      <c r="E117" s="78" t="s">
        <v>92</v>
      </c>
      <c r="F117" s="21">
        <f t="shared" si="66"/>
        <v>0</v>
      </c>
      <c r="G117" s="21">
        <f t="shared" si="66"/>
        <v>0</v>
      </c>
      <c r="H117" s="21">
        <f t="shared" si="66"/>
        <v>0</v>
      </c>
      <c r="I117" s="10">
        <f t="shared" si="67"/>
        <v>0</v>
      </c>
      <c r="J117" s="10">
        <f t="shared" si="67"/>
        <v>0</v>
      </c>
      <c r="K117" s="10">
        <f t="shared" si="67"/>
        <v>0</v>
      </c>
      <c r="L117" s="10">
        <f t="shared" si="67"/>
        <v>0</v>
      </c>
      <c r="M117" s="17">
        <f t="shared" si="68"/>
        <v>0</v>
      </c>
      <c r="N117" s="10">
        <f t="shared" si="69"/>
        <v>0</v>
      </c>
      <c r="O117" s="10">
        <f t="shared" si="69"/>
        <v>0</v>
      </c>
      <c r="P117" s="10">
        <f t="shared" si="69"/>
        <v>0</v>
      </c>
      <c r="Q117" s="10">
        <f t="shared" si="69"/>
        <v>0</v>
      </c>
      <c r="R117" s="22">
        <f t="shared" si="70"/>
        <v>0</v>
      </c>
      <c r="S117" s="23">
        <f t="shared" si="71"/>
        <v>0</v>
      </c>
      <c r="T117" s="23">
        <f t="shared" si="71"/>
        <v>0</v>
      </c>
      <c r="U117" s="23">
        <f t="shared" si="71"/>
        <v>0</v>
      </c>
      <c r="W117" s="79" t="str">
        <f t="shared" si="72"/>
        <v>Depreciation Expense 4</v>
      </c>
      <c r="X117" s="64"/>
      <c r="Y117" s="64"/>
      <c r="Z117" s="64"/>
      <c r="AA117" s="64"/>
      <c r="AB117" s="60"/>
      <c r="AC117" s="64"/>
      <c r="AD117" s="64"/>
      <c r="AE117" s="64"/>
      <c r="AF117" s="64"/>
      <c r="AG117" s="60"/>
      <c r="AH117" s="64"/>
      <c r="AI117" s="64"/>
      <c r="AJ117" s="64"/>
    </row>
    <row r="118" spans="3:36" hidden="1" outlineLevel="1" x14ac:dyDescent="0.25">
      <c r="C118" s="229" t="s">
        <v>195</v>
      </c>
      <c r="E118" s="78" t="s">
        <v>93</v>
      </c>
      <c r="F118" s="21">
        <f t="shared" si="66"/>
        <v>0</v>
      </c>
      <c r="G118" s="21">
        <f t="shared" si="66"/>
        <v>0</v>
      </c>
      <c r="H118" s="21">
        <f t="shared" si="66"/>
        <v>0</v>
      </c>
      <c r="I118" s="10">
        <f t="shared" si="67"/>
        <v>0</v>
      </c>
      <c r="J118" s="10">
        <f t="shared" si="67"/>
        <v>0</v>
      </c>
      <c r="K118" s="10">
        <f t="shared" si="67"/>
        <v>0</v>
      </c>
      <c r="L118" s="10">
        <f t="shared" si="67"/>
        <v>0</v>
      </c>
      <c r="M118" s="17">
        <f t="shared" si="68"/>
        <v>0</v>
      </c>
      <c r="N118" s="10">
        <f t="shared" si="69"/>
        <v>0</v>
      </c>
      <c r="O118" s="10">
        <f t="shared" si="69"/>
        <v>0</v>
      </c>
      <c r="P118" s="10">
        <f t="shared" si="69"/>
        <v>0</v>
      </c>
      <c r="Q118" s="10">
        <f t="shared" si="69"/>
        <v>0</v>
      </c>
      <c r="R118" s="22">
        <f t="shared" si="70"/>
        <v>0</v>
      </c>
      <c r="S118" s="23">
        <f t="shared" si="71"/>
        <v>0</v>
      </c>
      <c r="T118" s="23">
        <f t="shared" si="71"/>
        <v>0</v>
      </c>
      <c r="U118" s="23">
        <f t="shared" si="71"/>
        <v>0</v>
      </c>
      <c r="W118" s="79" t="str">
        <f t="shared" si="72"/>
        <v>Depreciation Expense 5</v>
      </c>
      <c r="X118" s="64"/>
      <c r="Y118" s="64"/>
      <c r="Z118" s="64"/>
      <c r="AA118" s="64"/>
      <c r="AB118" s="60"/>
      <c r="AC118" s="64"/>
      <c r="AD118" s="64"/>
      <c r="AE118" s="64"/>
      <c r="AF118" s="64"/>
      <c r="AG118" s="60"/>
      <c r="AH118" s="64"/>
      <c r="AI118" s="64"/>
      <c r="AJ118" s="64"/>
    </row>
    <row r="119" spans="3:36" hidden="1" outlineLevel="1" x14ac:dyDescent="0.25">
      <c r="C119" s="229" t="s">
        <v>195</v>
      </c>
      <c r="E119" s="78" t="s">
        <v>88</v>
      </c>
      <c r="F119" s="21">
        <f t="shared" si="66"/>
        <v>0</v>
      </c>
      <c r="G119" s="21">
        <f t="shared" si="66"/>
        <v>0</v>
      </c>
      <c r="H119" s="21">
        <f t="shared" si="66"/>
        <v>0</v>
      </c>
      <c r="I119" s="10">
        <f t="shared" si="67"/>
        <v>0</v>
      </c>
      <c r="J119" s="10">
        <f t="shared" si="67"/>
        <v>0</v>
      </c>
      <c r="K119" s="10">
        <f t="shared" si="67"/>
        <v>0</v>
      </c>
      <c r="L119" s="10">
        <f t="shared" si="67"/>
        <v>0</v>
      </c>
      <c r="M119" s="17">
        <f t="shared" si="68"/>
        <v>0</v>
      </c>
      <c r="N119" s="10">
        <f t="shared" si="69"/>
        <v>0</v>
      </c>
      <c r="O119" s="10">
        <f t="shared" si="69"/>
        <v>0</v>
      </c>
      <c r="P119" s="10">
        <f t="shared" si="69"/>
        <v>0</v>
      </c>
      <c r="Q119" s="10">
        <f t="shared" si="69"/>
        <v>0</v>
      </c>
      <c r="R119" s="22">
        <f t="shared" si="70"/>
        <v>0</v>
      </c>
      <c r="S119" s="23">
        <f t="shared" si="71"/>
        <v>0</v>
      </c>
      <c r="T119" s="23">
        <f t="shared" si="71"/>
        <v>0</v>
      </c>
      <c r="U119" s="23">
        <f t="shared" si="71"/>
        <v>0</v>
      </c>
      <c r="W119" s="79" t="str">
        <f t="shared" si="72"/>
        <v>All Other</v>
      </c>
      <c r="X119" s="64"/>
      <c r="Y119" s="64"/>
      <c r="Z119" s="64"/>
      <c r="AA119" s="64"/>
      <c r="AB119" s="60"/>
      <c r="AC119" s="64"/>
      <c r="AD119" s="64"/>
      <c r="AE119" s="64"/>
      <c r="AF119" s="64"/>
      <c r="AG119" s="60"/>
      <c r="AH119" s="64"/>
      <c r="AI119" s="64"/>
      <c r="AJ119" s="64"/>
    </row>
    <row r="120" spans="3:36" hidden="1" outlineLevel="1" x14ac:dyDescent="0.25">
      <c r="C120" s="229" t="s">
        <v>195</v>
      </c>
      <c r="E120" s="78" t="s">
        <v>77</v>
      </c>
      <c r="F120" s="21">
        <f t="shared" si="66"/>
        <v>0</v>
      </c>
      <c r="G120" s="21">
        <f t="shared" si="66"/>
        <v>0</v>
      </c>
      <c r="H120" s="21">
        <f t="shared" si="66"/>
        <v>0</v>
      </c>
      <c r="I120" s="10">
        <f t="shared" si="67"/>
        <v>0</v>
      </c>
      <c r="J120" s="10">
        <f t="shared" si="67"/>
        <v>0</v>
      </c>
      <c r="K120" s="10">
        <f t="shared" si="67"/>
        <v>0</v>
      </c>
      <c r="L120" s="10">
        <f t="shared" si="67"/>
        <v>0</v>
      </c>
      <c r="M120" s="17">
        <f t="shared" si="68"/>
        <v>0</v>
      </c>
      <c r="N120" s="10">
        <f t="shared" si="69"/>
        <v>0</v>
      </c>
      <c r="O120" s="10">
        <f t="shared" si="69"/>
        <v>0</v>
      </c>
      <c r="P120" s="10">
        <f t="shared" si="69"/>
        <v>0</v>
      </c>
      <c r="Q120" s="10">
        <f t="shared" si="69"/>
        <v>0</v>
      </c>
      <c r="R120" s="22">
        <f t="shared" si="70"/>
        <v>0</v>
      </c>
      <c r="S120" s="23">
        <f t="shared" si="71"/>
        <v>0</v>
      </c>
      <c r="T120" s="23">
        <f t="shared" si="71"/>
        <v>0</v>
      </c>
      <c r="U120" s="23">
        <f t="shared" si="71"/>
        <v>0</v>
      </c>
      <c r="W120" s="79" t="str">
        <f t="shared" si="72"/>
        <v>blank</v>
      </c>
      <c r="X120" s="64"/>
      <c r="Y120" s="64"/>
      <c r="Z120" s="64"/>
      <c r="AA120" s="64"/>
      <c r="AB120" s="60"/>
      <c r="AC120" s="64"/>
      <c r="AD120" s="64"/>
      <c r="AE120" s="64"/>
      <c r="AF120" s="64"/>
      <c r="AG120" s="60"/>
      <c r="AH120" s="64"/>
      <c r="AI120" s="64"/>
      <c r="AJ120" s="64"/>
    </row>
    <row r="121" spans="3:36" ht="15.75" hidden="1" outlineLevel="1" thickBot="1" x14ac:dyDescent="0.3">
      <c r="E121" s="8" t="s">
        <v>27</v>
      </c>
      <c r="F121" s="9">
        <f t="shared" ref="F121:U121" si="73">SUM(F114:F120)</f>
        <v>0</v>
      </c>
      <c r="G121" s="9">
        <f t="shared" si="73"/>
        <v>0</v>
      </c>
      <c r="H121" s="9">
        <f t="shared" si="73"/>
        <v>0</v>
      </c>
      <c r="I121" s="11">
        <f t="shared" si="73"/>
        <v>0</v>
      </c>
      <c r="J121" s="11">
        <f t="shared" si="73"/>
        <v>0</v>
      </c>
      <c r="K121" s="11">
        <f t="shared" si="73"/>
        <v>0</v>
      </c>
      <c r="L121" s="11">
        <f t="shared" si="73"/>
        <v>0</v>
      </c>
      <c r="M121" s="18">
        <f t="shared" si="73"/>
        <v>0</v>
      </c>
      <c r="N121" s="11">
        <f t="shared" si="73"/>
        <v>0</v>
      </c>
      <c r="O121" s="11">
        <f t="shared" si="73"/>
        <v>0</v>
      </c>
      <c r="P121" s="11">
        <f t="shared" si="73"/>
        <v>0</v>
      </c>
      <c r="Q121" s="11">
        <f t="shared" si="73"/>
        <v>0</v>
      </c>
      <c r="R121" s="19">
        <f t="shared" si="73"/>
        <v>0</v>
      </c>
      <c r="S121" s="20">
        <f t="shared" si="73"/>
        <v>0</v>
      </c>
      <c r="T121" s="20">
        <f t="shared" si="73"/>
        <v>0</v>
      </c>
      <c r="U121" s="20">
        <f t="shared" si="73"/>
        <v>0</v>
      </c>
    </row>
    <row r="122" spans="3:36" ht="15.75" hidden="1" outlineLevel="1" thickTop="1" x14ac:dyDescent="0.25"/>
    <row r="123" spans="3:36" hidden="1" outlineLevel="1" x14ac:dyDescent="0.25"/>
    <row r="124" spans="3:36" hidden="1" outlineLevel="1" x14ac:dyDescent="0.25"/>
    <row r="125" spans="3:36" hidden="1" outlineLevel="1" x14ac:dyDescent="0.25">
      <c r="E125" s="4" t="s">
        <v>101</v>
      </c>
      <c r="W125" s="4" t="str">
        <f>E125</f>
        <v>Asset Sale (Show As negative)</v>
      </c>
    </row>
    <row r="126" spans="3:36" hidden="1" outlineLevel="1" x14ac:dyDescent="0.25">
      <c r="E126" s="6" t="s">
        <v>25</v>
      </c>
      <c r="W126" s="61" t="s">
        <v>62</v>
      </c>
    </row>
    <row r="127" spans="3:36" hidden="1" outlineLevel="1" x14ac:dyDescent="0.25"/>
    <row r="128" spans="3:36" hidden="1" outlineLevel="1" x14ac:dyDescent="0.25">
      <c r="F128" s="12">
        <f>Inputs!$C$7</f>
        <v>2023</v>
      </c>
      <c r="G128" s="12">
        <f>Inputs!$C$8</f>
        <v>2024</v>
      </c>
      <c r="H128" s="12">
        <f>Inputs!$C$9</f>
        <v>2025</v>
      </c>
      <c r="I128" s="13" t="s">
        <v>1</v>
      </c>
      <c r="J128" s="13" t="s">
        <v>2</v>
      </c>
      <c r="K128" s="13" t="s">
        <v>3</v>
      </c>
      <c r="L128" s="13" t="s">
        <v>4</v>
      </c>
      <c r="M128" s="13">
        <f>Inputs!$C$10</f>
        <v>2026</v>
      </c>
      <c r="N128" s="14" t="s">
        <v>1</v>
      </c>
      <c r="O128" s="14" t="s">
        <v>2</v>
      </c>
      <c r="P128" s="14" t="s">
        <v>3</v>
      </c>
      <c r="Q128" s="14" t="s">
        <v>4</v>
      </c>
      <c r="R128" s="15">
        <f>Inputs!$C$11</f>
        <v>2027</v>
      </c>
      <c r="S128" s="16">
        <f>Inputs!$C$12</f>
        <v>2028</v>
      </c>
      <c r="T128" s="16">
        <f>Inputs!$C$13</f>
        <v>2029</v>
      </c>
      <c r="U128" s="16">
        <f>Inputs!$C$14</f>
        <v>2030</v>
      </c>
      <c r="X128" s="13" t="s">
        <v>1</v>
      </c>
      <c r="Y128" s="13" t="s">
        <v>2</v>
      </c>
      <c r="Z128" s="13" t="s">
        <v>3</v>
      </c>
      <c r="AA128" s="13" t="s">
        <v>4</v>
      </c>
      <c r="AB128" s="13">
        <f>Inputs!$C$10</f>
        <v>2026</v>
      </c>
      <c r="AC128" s="14" t="s">
        <v>1</v>
      </c>
      <c r="AD128" s="14" t="s">
        <v>2</v>
      </c>
      <c r="AE128" s="14" t="s">
        <v>3</v>
      </c>
      <c r="AF128" s="14" t="s">
        <v>4</v>
      </c>
      <c r="AG128" s="15">
        <f>Inputs!$C$11</f>
        <v>2027</v>
      </c>
      <c r="AH128" s="16">
        <f>Inputs!$C$12</f>
        <v>2028</v>
      </c>
      <c r="AI128" s="16">
        <f>Inputs!$C$13</f>
        <v>2029</v>
      </c>
      <c r="AJ128" s="16">
        <f>Inputs!$C$14</f>
        <v>2030</v>
      </c>
    </row>
    <row r="129" spans="2:36" hidden="1" outlineLevel="1" x14ac:dyDescent="0.25">
      <c r="F129" s="71" t="s">
        <v>63</v>
      </c>
      <c r="G129" s="71" t="s">
        <v>63</v>
      </c>
      <c r="H129" s="71" t="s">
        <v>63</v>
      </c>
      <c r="I129" s="71" t="s">
        <v>63</v>
      </c>
      <c r="J129" s="71" t="s">
        <v>63</v>
      </c>
      <c r="K129" s="71" t="s">
        <v>63</v>
      </c>
      <c r="L129" s="71" t="s">
        <v>63</v>
      </c>
      <c r="M129" s="71" t="s">
        <v>63</v>
      </c>
      <c r="N129" s="71" t="s">
        <v>63</v>
      </c>
      <c r="O129" s="71" t="s">
        <v>63</v>
      </c>
      <c r="P129" s="71" t="s">
        <v>63</v>
      </c>
      <c r="Q129" s="71" t="s">
        <v>63</v>
      </c>
      <c r="R129" s="71" t="s">
        <v>63</v>
      </c>
      <c r="S129" s="71" t="s">
        <v>63</v>
      </c>
      <c r="T129" s="71" t="s">
        <v>63</v>
      </c>
      <c r="U129" s="71" t="s">
        <v>63</v>
      </c>
      <c r="X129" s="63" t="s">
        <v>30</v>
      </c>
      <c r="Y129" s="63" t="s">
        <v>30</v>
      </c>
      <c r="Z129" s="63" t="s">
        <v>30</v>
      </c>
      <c r="AA129" s="63" t="s">
        <v>30</v>
      </c>
      <c r="AB129" s="62"/>
      <c r="AC129" s="63" t="s">
        <v>30</v>
      </c>
      <c r="AD129" s="63" t="s">
        <v>30</v>
      </c>
      <c r="AE129" s="63" t="s">
        <v>30</v>
      </c>
      <c r="AF129" s="63" t="s">
        <v>30</v>
      </c>
      <c r="AG129" s="62"/>
      <c r="AH129" s="63" t="s">
        <v>30</v>
      </c>
      <c r="AI129" s="63" t="s">
        <v>30</v>
      </c>
      <c r="AJ129" s="63" t="s">
        <v>30</v>
      </c>
    </row>
    <row r="130" spans="2:36" hidden="1" outlineLevel="1" x14ac:dyDescent="0.25">
      <c r="B130" s="229" t="s">
        <v>195</v>
      </c>
      <c r="E130" s="78" t="s">
        <v>94</v>
      </c>
      <c r="F130" s="21">
        <f t="shared" ref="F130:H136" si="74">F438</f>
        <v>0</v>
      </c>
      <c r="G130" s="21">
        <f t="shared" si="74"/>
        <v>0</v>
      </c>
      <c r="H130" s="21">
        <f t="shared" si="74"/>
        <v>0</v>
      </c>
      <c r="I130" s="10">
        <f t="shared" ref="I130:L136" si="75">IF(X130="",I438,X130)</f>
        <v>0</v>
      </c>
      <c r="J130" s="10">
        <f t="shared" si="75"/>
        <v>0</v>
      </c>
      <c r="K130" s="10">
        <f t="shared" si="75"/>
        <v>0</v>
      </c>
      <c r="L130" s="10">
        <f t="shared" si="75"/>
        <v>0</v>
      </c>
      <c r="M130" s="17">
        <f t="shared" ref="M130:M136" si="76">SUM(I130:L130)</f>
        <v>0</v>
      </c>
      <c r="N130" s="10">
        <f t="shared" ref="N130:Q136" si="77">IF(AC130="",N438,AC130)</f>
        <v>0</v>
      </c>
      <c r="O130" s="10">
        <f t="shared" si="77"/>
        <v>0</v>
      </c>
      <c r="P130" s="10">
        <f t="shared" si="77"/>
        <v>0</v>
      </c>
      <c r="Q130" s="10">
        <f t="shared" si="77"/>
        <v>0</v>
      </c>
      <c r="R130" s="22">
        <f t="shared" ref="R130:R136" si="78">SUM(N130:Q130)</f>
        <v>0</v>
      </c>
      <c r="S130" s="23">
        <f t="shared" ref="S130:U136" si="79">IF(AH130="",S438,AH130)</f>
        <v>0</v>
      </c>
      <c r="T130" s="23">
        <f t="shared" si="79"/>
        <v>0</v>
      </c>
      <c r="U130" s="23">
        <f t="shared" si="79"/>
        <v>0</v>
      </c>
      <c r="W130" s="79" t="str">
        <f>E130</f>
        <v>Asset Sale 1</v>
      </c>
      <c r="X130" s="64"/>
      <c r="Y130" s="64"/>
      <c r="Z130" s="64"/>
      <c r="AA130" s="64"/>
      <c r="AB130" s="60"/>
      <c r="AC130" s="64"/>
      <c r="AD130" s="64"/>
      <c r="AE130" s="64"/>
      <c r="AF130" s="64"/>
      <c r="AG130" s="60"/>
      <c r="AH130" s="64"/>
      <c r="AI130" s="64"/>
      <c r="AJ130" s="64"/>
    </row>
    <row r="131" spans="2:36" hidden="1" outlineLevel="1" x14ac:dyDescent="0.25">
      <c r="B131" s="229" t="s">
        <v>195</v>
      </c>
      <c r="E131" s="78" t="s">
        <v>95</v>
      </c>
      <c r="F131" s="21">
        <f t="shared" si="74"/>
        <v>0</v>
      </c>
      <c r="G131" s="21">
        <f t="shared" si="74"/>
        <v>0</v>
      </c>
      <c r="H131" s="21">
        <f t="shared" si="74"/>
        <v>0</v>
      </c>
      <c r="I131" s="10">
        <f t="shared" si="75"/>
        <v>0</v>
      </c>
      <c r="J131" s="10">
        <f t="shared" si="75"/>
        <v>0</v>
      </c>
      <c r="K131" s="10">
        <f t="shared" si="75"/>
        <v>0</v>
      </c>
      <c r="L131" s="10">
        <f t="shared" si="75"/>
        <v>0</v>
      </c>
      <c r="M131" s="17">
        <f t="shared" si="76"/>
        <v>0</v>
      </c>
      <c r="N131" s="10">
        <f t="shared" si="77"/>
        <v>0</v>
      </c>
      <c r="O131" s="10">
        <f t="shared" si="77"/>
        <v>0</v>
      </c>
      <c r="P131" s="10">
        <f t="shared" si="77"/>
        <v>0</v>
      </c>
      <c r="Q131" s="10">
        <f t="shared" si="77"/>
        <v>0</v>
      </c>
      <c r="R131" s="22">
        <f t="shared" si="78"/>
        <v>0</v>
      </c>
      <c r="S131" s="23">
        <f t="shared" si="79"/>
        <v>0</v>
      </c>
      <c r="T131" s="23">
        <f t="shared" si="79"/>
        <v>0</v>
      </c>
      <c r="U131" s="23">
        <f t="shared" si="79"/>
        <v>0</v>
      </c>
      <c r="W131" s="79" t="str">
        <f t="shared" ref="W131:W136" si="80">E131</f>
        <v>Asset Sale 2</v>
      </c>
      <c r="X131" s="64"/>
      <c r="Y131" s="64"/>
      <c r="Z131" s="64"/>
      <c r="AA131" s="64"/>
      <c r="AB131" s="60"/>
      <c r="AC131" s="64"/>
      <c r="AD131" s="64"/>
      <c r="AE131" s="64"/>
      <c r="AF131" s="64"/>
      <c r="AG131" s="60"/>
      <c r="AH131" s="64"/>
      <c r="AI131" s="64"/>
      <c r="AJ131" s="64"/>
    </row>
    <row r="132" spans="2:36" hidden="1" outlineLevel="1" x14ac:dyDescent="0.25">
      <c r="B132" s="229" t="s">
        <v>195</v>
      </c>
      <c r="E132" s="78" t="s">
        <v>96</v>
      </c>
      <c r="F132" s="21">
        <f t="shared" si="74"/>
        <v>0</v>
      </c>
      <c r="G132" s="21">
        <f t="shared" si="74"/>
        <v>0</v>
      </c>
      <c r="H132" s="21">
        <f t="shared" si="74"/>
        <v>0</v>
      </c>
      <c r="I132" s="10">
        <f t="shared" si="75"/>
        <v>0</v>
      </c>
      <c r="J132" s="10">
        <f t="shared" si="75"/>
        <v>0</v>
      </c>
      <c r="K132" s="10">
        <f t="shared" si="75"/>
        <v>0</v>
      </c>
      <c r="L132" s="10">
        <f t="shared" si="75"/>
        <v>0</v>
      </c>
      <c r="M132" s="17">
        <f t="shared" si="76"/>
        <v>0</v>
      </c>
      <c r="N132" s="10">
        <f t="shared" si="77"/>
        <v>0</v>
      </c>
      <c r="O132" s="10">
        <f t="shared" si="77"/>
        <v>0</v>
      </c>
      <c r="P132" s="10">
        <f t="shared" si="77"/>
        <v>0</v>
      </c>
      <c r="Q132" s="10">
        <f t="shared" si="77"/>
        <v>0</v>
      </c>
      <c r="R132" s="22">
        <f t="shared" si="78"/>
        <v>0</v>
      </c>
      <c r="S132" s="23">
        <f t="shared" si="79"/>
        <v>0</v>
      </c>
      <c r="T132" s="23">
        <f t="shared" si="79"/>
        <v>0</v>
      </c>
      <c r="U132" s="23">
        <f t="shared" si="79"/>
        <v>0</v>
      </c>
      <c r="W132" s="79" t="str">
        <f t="shared" si="80"/>
        <v>Asset Sale 3</v>
      </c>
      <c r="X132" s="64"/>
      <c r="Y132" s="64"/>
      <c r="Z132" s="64"/>
      <c r="AA132" s="64"/>
      <c r="AB132" s="60"/>
      <c r="AC132" s="64"/>
      <c r="AD132" s="64"/>
      <c r="AE132" s="64"/>
      <c r="AF132" s="64"/>
      <c r="AG132" s="60"/>
      <c r="AH132" s="64"/>
      <c r="AI132" s="64"/>
      <c r="AJ132" s="64"/>
    </row>
    <row r="133" spans="2:36" hidden="1" outlineLevel="1" x14ac:dyDescent="0.25">
      <c r="B133" s="229" t="s">
        <v>195</v>
      </c>
      <c r="E133" s="78" t="s">
        <v>97</v>
      </c>
      <c r="F133" s="21">
        <f t="shared" si="74"/>
        <v>0</v>
      </c>
      <c r="G133" s="21">
        <f t="shared" si="74"/>
        <v>0</v>
      </c>
      <c r="H133" s="21">
        <f t="shared" si="74"/>
        <v>0</v>
      </c>
      <c r="I133" s="10">
        <f t="shared" si="75"/>
        <v>0</v>
      </c>
      <c r="J133" s="10">
        <f t="shared" si="75"/>
        <v>0</v>
      </c>
      <c r="K133" s="10">
        <f t="shared" si="75"/>
        <v>0</v>
      </c>
      <c r="L133" s="10">
        <f t="shared" si="75"/>
        <v>0</v>
      </c>
      <c r="M133" s="17">
        <f t="shared" si="76"/>
        <v>0</v>
      </c>
      <c r="N133" s="10">
        <f t="shared" si="77"/>
        <v>0</v>
      </c>
      <c r="O133" s="10">
        <f t="shared" si="77"/>
        <v>0</v>
      </c>
      <c r="P133" s="10">
        <f t="shared" si="77"/>
        <v>0</v>
      </c>
      <c r="Q133" s="10">
        <f t="shared" si="77"/>
        <v>0</v>
      </c>
      <c r="R133" s="22">
        <f t="shared" si="78"/>
        <v>0</v>
      </c>
      <c r="S133" s="23">
        <f t="shared" si="79"/>
        <v>0</v>
      </c>
      <c r="T133" s="23">
        <f t="shared" si="79"/>
        <v>0</v>
      </c>
      <c r="U133" s="23">
        <f t="shared" si="79"/>
        <v>0</v>
      </c>
      <c r="W133" s="79" t="str">
        <f t="shared" si="80"/>
        <v>Asset Sale 4</v>
      </c>
      <c r="X133" s="64"/>
      <c r="Y133" s="64"/>
      <c r="Z133" s="64"/>
      <c r="AA133" s="64"/>
      <c r="AB133" s="60"/>
      <c r="AC133" s="64"/>
      <c r="AD133" s="64"/>
      <c r="AE133" s="64"/>
      <c r="AF133" s="64"/>
      <c r="AG133" s="60"/>
      <c r="AH133" s="64"/>
      <c r="AI133" s="64"/>
      <c r="AJ133" s="64"/>
    </row>
    <row r="134" spans="2:36" hidden="1" outlineLevel="1" x14ac:dyDescent="0.25">
      <c r="B134" s="229" t="s">
        <v>195</v>
      </c>
      <c r="E134" s="78" t="s">
        <v>98</v>
      </c>
      <c r="F134" s="21">
        <f t="shared" si="74"/>
        <v>0</v>
      </c>
      <c r="G134" s="21">
        <f t="shared" si="74"/>
        <v>0</v>
      </c>
      <c r="H134" s="21">
        <f t="shared" si="74"/>
        <v>0</v>
      </c>
      <c r="I134" s="10">
        <f t="shared" si="75"/>
        <v>0</v>
      </c>
      <c r="J134" s="10">
        <f t="shared" si="75"/>
        <v>0</v>
      </c>
      <c r="K134" s="10">
        <f t="shared" si="75"/>
        <v>0</v>
      </c>
      <c r="L134" s="10">
        <f t="shared" si="75"/>
        <v>0</v>
      </c>
      <c r="M134" s="17">
        <f t="shared" si="76"/>
        <v>0</v>
      </c>
      <c r="N134" s="10">
        <f t="shared" si="77"/>
        <v>0</v>
      </c>
      <c r="O134" s="10">
        <f t="shared" si="77"/>
        <v>0</v>
      </c>
      <c r="P134" s="10">
        <f t="shared" si="77"/>
        <v>0</v>
      </c>
      <c r="Q134" s="10">
        <f t="shared" si="77"/>
        <v>0</v>
      </c>
      <c r="R134" s="22">
        <f t="shared" si="78"/>
        <v>0</v>
      </c>
      <c r="S134" s="23">
        <f t="shared" si="79"/>
        <v>0</v>
      </c>
      <c r="T134" s="23">
        <f t="shared" si="79"/>
        <v>0</v>
      </c>
      <c r="U134" s="23">
        <f t="shared" si="79"/>
        <v>0</v>
      </c>
      <c r="W134" s="79" t="str">
        <f t="shared" si="80"/>
        <v>Asset Sale 5</v>
      </c>
      <c r="X134" s="64"/>
      <c r="Y134" s="64"/>
      <c r="Z134" s="64"/>
      <c r="AA134" s="64"/>
      <c r="AB134" s="60"/>
      <c r="AC134" s="64"/>
      <c r="AD134" s="64"/>
      <c r="AE134" s="64"/>
      <c r="AF134" s="64"/>
      <c r="AG134" s="60"/>
      <c r="AH134" s="64"/>
      <c r="AI134" s="64"/>
      <c r="AJ134" s="64"/>
    </row>
    <row r="135" spans="2:36" hidden="1" outlineLevel="1" x14ac:dyDescent="0.25">
      <c r="B135" s="229" t="s">
        <v>195</v>
      </c>
      <c r="E135" s="78" t="s">
        <v>88</v>
      </c>
      <c r="F135" s="21">
        <f t="shared" si="74"/>
        <v>0</v>
      </c>
      <c r="G135" s="21">
        <f t="shared" si="74"/>
        <v>0</v>
      </c>
      <c r="H135" s="21">
        <f t="shared" si="74"/>
        <v>0</v>
      </c>
      <c r="I135" s="10">
        <f t="shared" si="75"/>
        <v>0</v>
      </c>
      <c r="J135" s="10">
        <f t="shared" si="75"/>
        <v>0</v>
      </c>
      <c r="K135" s="10">
        <f t="shared" si="75"/>
        <v>0</v>
      </c>
      <c r="L135" s="10">
        <f t="shared" si="75"/>
        <v>0</v>
      </c>
      <c r="M135" s="17">
        <f t="shared" si="76"/>
        <v>0</v>
      </c>
      <c r="N135" s="10">
        <f t="shared" si="77"/>
        <v>0</v>
      </c>
      <c r="O135" s="10">
        <f t="shared" si="77"/>
        <v>0</v>
      </c>
      <c r="P135" s="10">
        <f t="shared" si="77"/>
        <v>0</v>
      </c>
      <c r="Q135" s="10">
        <f t="shared" si="77"/>
        <v>0</v>
      </c>
      <c r="R135" s="22">
        <f t="shared" si="78"/>
        <v>0</v>
      </c>
      <c r="S135" s="23">
        <f t="shared" si="79"/>
        <v>0</v>
      </c>
      <c r="T135" s="23">
        <f t="shared" si="79"/>
        <v>0</v>
      </c>
      <c r="U135" s="23">
        <f t="shared" si="79"/>
        <v>0</v>
      </c>
      <c r="W135" s="79" t="str">
        <f t="shared" si="80"/>
        <v>All Other</v>
      </c>
      <c r="X135" s="64"/>
      <c r="Y135" s="64"/>
      <c r="Z135" s="64"/>
      <c r="AA135" s="64"/>
      <c r="AB135" s="60"/>
      <c r="AC135" s="64"/>
      <c r="AD135" s="64"/>
      <c r="AE135" s="64"/>
      <c r="AF135" s="64"/>
      <c r="AG135" s="60"/>
      <c r="AH135" s="64"/>
      <c r="AI135" s="64"/>
      <c r="AJ135" s="64"/>
    </row>
    <row r="136" spans="2:36" hidden="1" outlineLevel="1" x14ac:dyDescent="0.25">
      <c r="B136" s="229" t="s">
        <v>195</v>
      </c>
      <c r="E136" s="78" t="s">
        <v>77</v>
      </c>
      <c r="F136" s="21">
        <f t="shared" si="74"/>
        <v>0</v>
      </c>
      <c r="G136" s="21">
        <f t="shared" si="74"/>
        <v>0</v>
      </c>
      <c r="H136" s="21">
        <f t="shared" si="74"/>
        <v>0</v>
      </c>
      <c r="I136" s="10">
        <f t="shared" si="75"/>
        <v>0</v>
      </c>
      <c r="J136" s="10">
        <f t="shared" si="75"/>
        <v>0</v>
      </c>
      <c r="K136" s="10">
        <f t="shared" si="75"/>
        <v>0</v>
      </c>
      <c r="L136" s="10">
        <f t="shared" si="75"/>
        <v>0</v>
      </c>
      <c r="M136" s="17">
        <f t="shared" si="76"/>
        <v>0</v>
      </c>
      <c r="N136" s="10">
        <f t="shared" si="77"/>
        <v>0</v>
      </c>
      <c r="O136" s="10">
        <f t="shared" si="77"/>
        <v>0</v>
      </c>
      <c r="P136" s="10">
        <f t="shared" si="77"/>
        <v>0</v>
      </c>
      <c r="Q136" s="10">
        <f t="shared" si="77"/>
        <v>0</v>
      </c>
      <c r="R136" s="22">
        <f t="shared" si="78"/>
        <v>0</v>
      </c>
      <c r="S136" s="23">
        <f t="shared" si="79"/>
        <v>0</v>
      </c>
      <c r="T136" s="23">
        <f t="shared" si="79"/>
        <v>0</v>
      </c>
      <c r="U136" s="23">
        <f t="shared" si="79"/>
        <v>0</v>
      </c>
      <c r="W136" s="79" t="str">
        <f t="shared" si="80"/>
        <v>blank</v>
      </c>
      <c r="X136" s="64"/>
      <c r="Y136" s="64"/>
      <c r="Z136" s="64"/>
      <c r="AA136" s="64"/>
      <c r="AB136" s="60"/>
      <c r="AC136" s="64"/>
      <c r="AD136" s="64"/>
      <c r="AE136" s="64"/>
      <c r="AF136" s="64"/>
      <c r="AG136" s="60"/>
      <c r="AH136" s="64"/>
      <c r="AI136" s="64"/>
      <c r="AJ136" s="64"/>
    </row>
    <row r="137" spans="2:36" ht="15.75" hidden="1" outlineLevel="1" thickBot="1" x14ac:dyDescent="0.3">
      <c r="E137" s="8" t="s">
        <v>27</v>
      </c>
      <c r="F137" s="9">
        <f t="shared" ref="F137:U137" si="81">SUM(F130:F136)</f>
        <v>0</v>
      </c>
      <c r="G137" s="9">
        <f t="shared" si="81"/>
        <v>0</v>
      </c>
      <c r="H137" s="9">
        <f t="shared" si="81"/>
        <v>0</v>
      </c>
      <c r="I137" s="11">
        <f t="shared" si="81"/>
        <v>0</v>
      </c>
      <c r="J137" s="11">
        <f t="shared" si="81"/>
        <v>0</v>
      </c>
      <c r="K137" s="11">
        <f t="shared" si="81"/>
        <v>0</v>
      </c>
      <c r="L137" s="11">
        <f t="shared" si="81"/>
        <v>0</v>
      </c>
      <c r="M137" s="18">
        <f t="shared" si="81"/>
        <v>0</v>
      </c>
      <c r="N137" s="11">
        <f t="shared" si="81"/>
        <v>0</v>
      </c>
      <c r="O137" s="11">
        <f t="shared" si="81"/>
        <v>0</v>
      </c>
      <c r="P137" s="11">
        <f t="shared" si="81"/>
        <v>0</v>
      </c>
      <c r="Q137" s="11">
        <f t="shared" si="81"/>
        <v>0</v>
      </c>
      <c r="R137" s="19">
        <f t="shared" si="81"/>
        <v>0</v>
      </c>
      <c r="S137" s="20">
        <f t="shared" si="81"/>
        <v>0</v>
      </c>
      <c r="T137" s="20">
        <f t="shared" si="81"/>
        <v>0</v>
      </c>
      <c r="U137" s="20">
        <f t="shared" si="81"/>
        <v>0</v>
      </c>
    </row>
    <row r="138" spans="2:36" ht="15.75" hidden="1" outlineLevel="1" thickTop="1" x14ac:dyDescent="0.25"/>
    <row r="139" spans="2:36" hidden="1" outlineLevel="1" x14ac:dyDescent="0.25"/>
    <row r="140" spans="2:36" hidden="1" outlineLevel="1" x14ac:dyDescent="0.25"/>
    <row r="141" spans="2:36" hidden="1" outlineLevel="1" x14ac:dyDescent="0.25">
      <c r="E141" s="4" t="s">
        <v>105</v>
      </c>
      <c r="W141" s="4" t="str">
        <f>E141</f>
        <v>Restructuring Costs</v>
      </c>
    </row>
    <row r="142" spans="2:36" hidden="1" outlineLevel="1" x14ac:dyDescent="0.25">
      <c r="E142" s="6" t="s">
        <v>25</v>
      </c>
      <c r="W142" s="61" t="s">
        <v>62</v>
      </c>
    </row>
    <row r="143" spans="2:36" hidden="1" outlineLevel="1" x14ac:dyDescent="0.25"/>
    <row r="144" spans="2:36" hidden="1" outlineLevel="1" x14ac:dyDescent="0.25">
      <c r="F144" s="12">
        <f>Inputs!$C$7</f>
        <v>2023</v>
      </c>
      <c r="G144" s="12">
        <f>Inputs!$C$8</f>
        <v>2024</v>
      </c>
      <c r="H144" s="12">
        <f>Inputs!$C$9</f>
        <v>2025</v>
      </c>
      <c r="I144" s="13" t="s">
        <v>1</v>
      </c>
      <c r="J144" s="13" t="s">
        <v>2</v>
      </c>
      <c r="K144" s="13" t="s">
        <v>3</v>
      </c>
      <c r="L144" s="13" t="s">
        <v>4</v>
      </c>
      <c r="M144" s="13">
        <f>Inputs!$C$10</f>
        <v>2026</v>
      </c>
      <c r="N144" s="14" t="s">
        <v>1</v>
      </c>
      <c r="O144" s="14" t="s">
        <v>2</v>
      </c>
      <c r="P144" s="14" t="s">
        <v>3</v>
      </c>
      <c r="Q144" s="14" t="s">
        <v>4</v>
      </c>
      <c r="R144" s="15">
        <f>Inputs!$C$11</f>
        <v>2027</v>
      </c>
      <c r="S144" s="16">
        <f>Inputs!$C$12</f>
        <v>2028</v>
      </c>
      <c r="T144" s="16">
        <f>Inputs!$C$13</f>
        <v>2029</v>
      </c>
      <c r="U144" s="16">
        <f>Inputs!$C$14</f>
        <v>2030</v>
      </c>
      <c r="X144" s="13" t="s">
        <v>1</v>
      </c>
      <c r="Y144" s="13" t="s">
        <v>2</v>
      </c>
      <c r="Z144" s="13" t="s">
        <v>3</v>
      </c>
      <c r="AA144" s="13" t="s">
        <v>4</v>
      </c>
      <c r="AB144" s="13">
        <f>Inputs!$C$10</f>
        <v>2026</v>
      </c>
      <c r="AC144" s="14" t="s">
        <v>1</v>
      </c>
      <c r="AD144" s="14" t="s">
        <v>2</v>
      </c>
      <c r="AE144" s="14" t="s">
        <v>3</v>
      </c>
      <c r="AF144" s="14" t="s">
        <v>4</v>
      </c>
      <c r="AG144" s="15">
        <f>Inputs!$C$11</f>
        <v>2027</v>
      </c>
      <c r="AH144" s="16">
        <f>Inputs!$C$12</f>
        <v>2028</v>
      </c>
      <c r="AI144" s="16">
        <f>Inputs!$C$13</f>
        <v>2029</v>
      </c>
      <c r="AJ144" s="16">
        <f>Inputs!$C$14</f>
        <v>2030</v>
      </c>
    </row>
    <row r="145" spans="2:36" hidden="1" outlineLevel="1" x14ac:dyDescent="0.25">
      <c r="F145" s="71" t="s">
        <v>63</v>
      </c>
      <c r="G145" s="71" t="s">
        <v>63</v>
      </c>
      <c r="H145" s="71" t="s">
        <v>63</v>
      </c>
      <c r="I145" s="71" t="s">
        <v>63</v>
      </c>
      <c r="J145" s="71" t="s">
        <v>63</v>
      </c>
      <c r="K145" s="71" t="s">
        <v>63</v>
      </c>
      <c r="L145" s="71" t="s">
        <v>63</v>
      </c>
      <c r="M145" s="71" t="s">
        <v>63</v>
      </c>
      <c r="N145" s="71" t="s">
        <v>63</v>
      </c>
      <c r="O145" s="71" t="s">
        <v>63</v>
      </c>
      <c r="P145" s="71" t="s">
        <v>63</v>
      </c>
      <c r="Q145" s="71" t="s">
        <v>63</v>
      </c>
      <c r="R145" s="71" t="s">
        <v>63</v>
      </c>
      <c r="S145" s="71" t="s">
        <v>63</v>
      </c>
      <c r="T145" s="71" t="s">
        <v>63</v>
      </c>
      <c r="U145" s="71" t="s">
        <v>63</v>
      </c>
      <c r="X145" s="63" t="s">
        <v>30</v>
      </c>
      <c r="Y145" s="63" t="s">
        <v>30</v>
      </c>
      <c r="Z145" s="63" t="s">
        <v>30</v>
      </c>
      <c r="AA145" s="63" t="s">
        <v>30</v>
      </c>
      <c r="AB145" s="62"/>
      <c r="AC145" s="63" t="s">
        <v>30</v>
      </c>
      <c r="AD145" s="63" t="s">
        <v>30</v>
      </c>
      <c r="AE145" s="63" t="s">
        <v>30</v>
      </c>
      <c r="AF145" s="63" t="s">
        <v>30</v>
      </c>
      <c r="AG145" s="62"/>
      <c r="AH145" s="63" t="s">
        <v>30</v>
      </c>
      <c r="AI145" s="63" t="s">
        <v>30</v>
      </c>
      <c r="AJ145" s="63" t="s">
        <v>30</v>
      </c>
    </row>
    <row r="146" spans="2:36" hidden="1" outlineLevel="1" x14ac:dyDescent="0.25">
      <c r="B146" s="229" t="s">
        <v>195</v>
      </c>
      <c r="C146" s="229" t="s">
        <v>195</v>
      </c>
      <c r="E146" s="78" t="s">
        <v>106</v>
      </c>
      <c r="F146" s="21">
        <f>F454</f>
        <v>0</v>
      </c>
      <c r="G146" s="21">
        <f t="shared" ref="G146:H146" si="82">G454</f>
        <v>0</v>
      </c>
      <c r="H146" s="21">
        <f t="shared" si="82"/>
        <v>0</v>
      </c>
      <c r="I146" s="10">
        <f t="shared" ref="I146:L152" si="83">IF(X146="",I454,X146)</f>
        <v>0</v>
      </c>
      <c r="J146" s="10">
        <f t="shared" si="83"/>
        <v>0</v>
      </c>
      <c r="K146" s="10">
        <f t="shared" si="83"/>
        <v>0</v>
      </c>
      <c r="L146" s="10">
        <f t="shared" si="83"/>
        <v>0</v>
      </c>
      <c r="M146" s="17">
        <f t="shared" ref="M146:M152" si="84">SUM(I146:L146)</f>
        <v>0</v>
      </c>
      <c r="N146" s="10">
        <f t="shared" ref="N146:Q152" si="85">IF(AC146="",N454,AC146)</f>
        <v>0</v>
      </c>
      <c r="O146" s="10">
        <f t="shared" si="85"/>
        <v>0</v>
      </c>
      <c r="P146" s="10">
        <f t="shared" si="85"/>
        <v>0</v>
      </c>
      <c r="Q146" s="10">
        <f t="shared" si="85"/>
        <v>0</v>
      </c>
      <c r="R146" s="22">
        <f t="shared" ref="R146:R152" si="86">SUM(N146:Q146)</f>
        <v>0</v>
      </c>
      <c r="S146" s="23">
        <f t="shared" ref="S146:U152" si="87">IF(AH146="",S454,AH146)</f>
        <v>0</v>
      </c>
      <c r="T146" s="23">
        <f t="shared" si="87"/>
        <v>0</v>
      </c>
      <c r="U146" s="23">
        <f t="shared" si="87"/>
        <v>0</v>
      </c>
      <c r="W146" s="79" t="str">
        <f>E146</f>
        <v>Fixed Asset Write offs</v>
      </c>
      <c r="X146" s="64"/>
      <c r="Y146" s="64"/>
      <c r="Z146" s="64"/>
      <c r="AA146" s="64"/>
      <c r="AB146" s="60"/>
      <c r="AC146" s="64"/>
      <c r="AD146" s="64"/>
      <c r="AE146" s="64"/>
      <c r="AF146" s="64"/>
      <c r="AG146" s="60"/>
      <c r="AH146" s="64"/>
      <c r="AI146" s="64"/>
      <c r="AJ146" s="64"/>
    </row>
    <row r="147" spans="2:36" hidden="1" outlineLevel="1" x14ac:dyDescent="0.25">
      <c r="B147" s="229" t="s">
        <v>195</v>
      </c>
      <c r="C147" s="229" t="s">
        <v>195</v>
      </c>
      <c r="E147" s="78" t="s">
        <v>100</v>
      </c>
      <c r="F147" s="21">
        <f t="shared" ref="F147:H152" si="88">F455</f>
        <v>0</v>
      </c>
      <c r="G147" s="21">
        <f t="shared" si="88"/>
        <v>0</v>
      </c>
      <c r="H147" s="21">
        <f t="shared" si="88"/>
        <v>0</v>
      </c>
      <c r="I147" s="10">
        <f t="shared" si="83"/>
        <v>0</v>
      </c>
      <c r="J147" s="10">
        <f t="shared" si="83"/>
        <v>0</v>
      </c>
      <c r="K147" s="10">
        <f t="shared" si="83"/>
        <v>0</v>
      </c>
      <c r="L147" s="10">
        <f t="shared" si="83"/>
        <v>0</v>
      </c>
      <c r="M147" s="17">
        <f t="shared" si="84"/>
        <v>0</v>
      </c>
      <c r="N147" s="10">
        <f t="shared" si="85"/>
        <v>0</v>
      </c>
      <c r="O147" s="10">
        <f t="shared" si="85"/>
        <v>0</v>
      </c>
      <c r="P147" s="10">
        <f t="shared" si="85"/>
        <v>0</v>
      </c>
      <c r="Q147" s="10">
        <f t="shared" si="85"/>
        <v>0</v>
      </c>
      <c r="R147" s="22">
        <f t="shared" si="86"/>
        <v>0</v>
      </c>
      <c r="S147" s="23">
        <f t="shared" si="87"/>
        <v>0</v>
      </c>
      <c r="T147" s="23">
        <f t="shared" si="87"/>
        <v>0</v>
      </c>
      <c r="U147" s="23">
        <f t="shared" si="87"/>
        <v>0</v>
      </c>
      <c r="W147" s="79" t="str">
        <f t="shared" ref="W147:W152" si="89">E147</f>
        <v>E&amp;O Impact</v>
      </c>
      <c r="X147" s="64"/>
      <c r="Y147" s="64"/>
      <c r="Z147" s="64"/>
      <c r="AA147" s="64"/>
      <c r="AB147" s="60"/>
      <c r="AC147" s="64"/>
      <c r="AD147" s="64"/>
      <c r="AE147" s="64"/>
      <c r="AF147" s="64"/>
      <c r="AG147" s="60"/>
      <c r="AH147" s="64"/>
      <c r="AI147" s="64"/>
      <c r="AJ147" s="64"/>
    </row>
    <row r="148" spans="2:36" hidden="1" outlineLevel="1" x14ac:dyDescent="0.25">
      <c r="B148" s="229" t="s">
        <v>195</v>
      </c>
      <c r="C148" s="229" t="s">
        <v>195</v>
      </c>
      <c r="E148" s="78" t="s">
        <v>107</v>
      </c>
      <c r="F148" s="21">
        <f t="shared" si="88"/>
        <v>0</v>
      </c>
      <c r="G148" s="21">
        <f t="shared" si="88"/>
        <v>0</v>
      </c>
      <c r="H148" s="21">
        <f t="shared" si="88"/>
        <v>0</v>
      </c>
      <c r="I148" s="10">
        <f t="shared" si="83"/>
        <v>0</v>
      </c>
      <c r="J148" s="10">
        <f t="shared" si="83"/>
        <v>0</v>
      </c>
      <c r="K148" s="10">
        <f t="shared" si="83"/>
        <v>0</v>
      </c>
      <c r="L148" s="10">
        <f t="shared" si="83"/>
        <v>0</v>
      </c>
      <c r="M148" s="17">
        <f t="shared" si="84"/>
        <v>0</v>
      </c>
      <c r="N148" s="10">
        <f t="shared" si="85"/>
        <v>0</v>
      </c>
      <c r="O148" s="10">
        <f t="shared" si="85"/>
        <v>0</v>
      </c>
      <c r="P148" s="10">
        <f t="shared" si="85"/>
        <v>0</v>
      </c>
      <c r="Q148" s="10">
        <f t="shared" si="85"/>
        <v>0</v>
      </c>
      <c r="R148" s="22">
        <f t="shared" si="86"/>
        <v>0</v>
      </c>
      <c r="S148" s="23">
        <f t="shared" si="87"/>
        <v>0</v>
      </c>
      <c r="T148" s="23">
        <f t="shared" si="87"/>
        <v>0</v>
      </c>
      <c r="U148" s="23">
        <f t="shared" si="87"/>
        <v>0</v>
      </c>
      <c r="W148" s="79" t="str">
        <f t="shared" si="89"/>
        <v>Employee Severances</v>
      </c>
      <c r="X148" s="64"/>
      <c r="Y148" s="64"/>
      <c r="Z148" s="64"/>
      <c r="AA148" s="64"/>
      <c r="AB148" s="60"/>
      <c r="AC148" s="64"/>
      <c r="AD148" s="64"/>
      <c r="AE148" s="64"/>
      <c r="AF148" s="64"/>
      <c r="AG148" s="60"/>
      <c r="AH148" s="64"/>
      <c r="AI148" s="64"/>
      <c r="AJ148" s="64"/>
    </row>
    <row r="149" spans="2:36" hidden="1" outlineLevel="1" x14ac:dyDescent="0.25">
      <c r="B149" s="229" t="s">
        <v>195</v>
      </c>
      <c r="C149" s="229" t="s">
        <v>195</v>
      </c>
      <c r="E149" s="78" t="s">
        <v>88</v>
      </c>
      <c r="F149" s="21">
        <f t="shared" si="88"/>
        <v>0</v>
      </c>
      <c r="G149" s="21">
        <f t="shared" si="88"/>
        <v>0</v>
      </c>
      <c r="H149" s="21">
        <f t="shared" si="88"/>
        <v>0</v>
      </c>
      <c r="I149" s="10">
        <f t="shared" si="83"/>
        <v>0</v>
      </c>
      <c r="J149" s="10">
        <f t="shared" si="83"/>
        <v>0</v>
      </c>
      <c r="K149" s="10">
        <f t="shared" si="83"/>
        <v>0</v>
      </c>
      <c r="L149" s="10">
        <f t="shared" si="83"/>
        <v>0</v>
      </c>
      <c r="M149" s="17">
        <f t="shared" si="84"/>
        <v>0</v>
      </c>
      <c r="N149" s="10">
        <f t="shared" si="85"/>
        <v>0</v>
      </c>
      <c r="O149" s="10">
        <f t="shared" si="85"/>
        <v>0</v>
      </c>
      <c r="P149" s="10">
        <f t="shared" si="85"/>
        <v>0</v>
      </c>
      <c r="Q149" s="10">
        <f t="shared" si="85"/>
        <v>0</v>
      </c>
      <c r="R149" s="22">
        <f t="shared" si="86"/>
        <v>0</v>
      </c>
      <c r="S149" s="23">
        <f t="shared" si="87"/>
        <v>0</v>
      </c>
      <c r="T149" s="23">
        <f t="shared" si="87"/>
        <v>0</v>
      </c>
      <c r="U149" s="23">
        <f t="shared" si="87"/>
        <v>0</v>
      </c>
      <c r="W149" s="79" t="str">
        <f t="shared" si="89"/>
        <v>All Other</v>
      </c>
      <c r="X149" s="64"/>
      <c r="Y149" s="64"/>
      <c r="Z149" s="64"/>
      <c r="AA149" s="64"/>
      <c r="AB149" s="60"/>
      <c r="AC149" s="64"/>
      <c r="AD149" s="64"/>
      <c r="AE149" s="64"/>
      <c r="AF149" s="64"/>
      <c r="AG149" s="60"/>
      <c r="AH149" s="64"/>
      <c r="AI149" s="64"/>
      <c r="AJ149" s="64"/>
    </row>
    <row r="150" spans="2:36" hidden="1" outlineLevel="1" x14ac:dyDescent="0.25">
      <c r="B150" s="229" t="s">
        <v>195</v>
      </c>
      <c r="C150" s="229" t="s">
        <v>195</v>
      </c>
      <c r="E150" s="78" t="s">
        <v>77</v>
      </c>
      <c r="F150" s="21">
        <f t="shared" si="88"/>
        <v>0</v>
      </c>
      <c r="G150" s="21">
        <f t="shared" si="88"/>
        <v>0</v>
      </c>
      <c r="H150" s="21">
        <f t="shared" si="88"/>
        <v>0</v>
      </c>
      <c r="I150" s="10">
        <f t="shared" si="83"/>
        <v>0</v>
      </c>
      <c r="J150" s="10">
        <f t="shared" si="83"/>
        <v>0</v>
      </c>
      <c r="K150" s="10">
        <f t="shared" si="83"/>
        <v>0</v>
      </c>
      <c r="L150" s="10">
        <f t="shared" si="83"/>
        <v>0</v>
      </c>
      <c r="M150" s="17">
        <f t="shared" si="84"/>
        <v>0</v>
      </c>
      <c r="N150" s="10">
        <f t="shared" si="85"/>
        <v>0</v>
      </c>
      <c r="O150" s="10">
        <f t="shared" si="85"/>
        <v>0</v>
      </c>
      <c r="P150" s="10">
        <f t="shared" si="85"/>
        <v>0</v>
      </c>
      <c r="Q150" s="10">
        <f t="shared" si="85"/>
        <v>0</v>
      </c>
      <c r="R150" s="22">
        <f t="shared" si="86"/>
        <v>0</v>
      </c>
      <c r="S150" s="23">
        <f t="shared" si="87"/>
        <v>0</v>
      </c>
      <c r="T150" s="23">
        <f t="shared" si="87"/>
        <v>0</v>
      </c>
      <c r="U150" s="23">
        <f t="shared" si="87"/>
        <v>0</v>
      </c>
      <c r="W150" s="79" t="str">
        <f t="shared" si="89"/>
        <v>blank</v>
      </c>
      <c r="X150" s="64"/>
      <c r="Y150" s="64"/>
      <c r="Z150" s="64"/>
      <c r="AA150" s="64"/>
      <c r="AB150" s="60"/>
      <c r="AC150" s="64"/>
      <c r="AD150" s="64"/>
      <c r="AE150" s="64"/>
      <c r="AF150" s="64"/>
      <c r="AG150" s="60"/>
      <c r="AH150" s="64"/>
      <c r="AI150" s="64"/>
      <c r="AJ150" s="64"/>
    </row>
    <row r="151" spans="2:36" hidden="1" outlineLevel="1" x14ac:dyDescent="0.25">
      <c r="B151" s="229" t="s">
        <v>195</v>
      </c>
      <c r="C151" s="229" t="s">
        <v>195</v>
      </c>
      <c r="E151" s="78" t="s">
        <v>77</v>
      </c>
      <c r="F151" s="21">
        <f t="shared" si="88"/>
        <v>0</v>
      </c>
      <c r="G151" s="21">
        <f t="shared" si="88"/>
        <v>0</v>
      </c>
      <c r="H151" s="21">
        <f t="shared" si="88"/>
        <v>0</v>
      </c>
      <c r="I151" s="10">
        <f t="shared" si="83"/>
        <v>0</v>
      </c>
      <c r="J151" s="10">
        <f t="shared" si="83"/>
        <v>0</v>
      </c>
      <c r="K151" s="10">
        <f t="shared" si="83"/>
        <v>0</v>
      </c>
      <c r="L151" s="10">
        <f t="shared" si="83"/>
        <v>0</v>
      </c>
      <c r="M151" s="17">
        <f t="shared" si="84"/>
        <v>0</v>
      </c>
      <c r="N151" s="10">
        <f t="shared" si="85"/>
        <v>0</v>
      </c>
      <c r="O151" s="10">
        <f t="shared" si="85"/>
        <v>0</v>
      </c>
      <c r="P151" s="10">
        <f t="shared" si="85"/>
        <v>0</v>
      </c>
      <c r="Q151" s="10">
        <f t="shared" si="85"/>
        <v>0</v>
      </c>
      <c r="R151" s="22">
        <f t="shared" si="86"/>
        <v>0</v>
      </c>
      <c r="S151" s="23">
        <f t="shared" si="87"/>
        <v>0</v>
      </c>
      <c r="T151" s="23">
        <f t="shared" si="87"/>
        <v>0</v>
      </c>
      <c r="U151" s="23">
        <f t="shared" si="87"/>
        <v>0</v>
      </c>
      <c r="W151" s="79" t="str">
        <f t="shared" si="89"/>
        <v>blank</v>
      </c>
      <c r="X151" s="64"/>
      <c r="Y151" s="64"/>
      <c r="Z151" s="64"/>
      <c r="AA151" s="64"/>
      <c r="AB151" s="60"/>
      <c r="AC151" s="64"/>
      <c r="AD151" s="64"/>
      <c r="AE151" s="64"/>
      <c r="AF151" s="64"/>
      <c r="AG151" s="60"/>
      <c r="AH151" s="64"/>
      <c r="AI151" s="64"/>
      <c r="AJ151" s="64"/>
    </row>
    <row r="152" spans="2:36" hidden="1" outlineLevel="1" x14ac:dyDescent="0.25">
      <c r="B152" s="229" t="s">
        <v>195</v>
      </c>
      <c r="C152" s="229" t="s">
        <v>195</v>
      </c>
      <c r="E152" s="78" t="s">
        <v>77</v>
      </c>
      <c r="F152" s="21">
        <f t="shared" si="88"/>
        <v>0</v>
      </c>
      <c r="G152" s="21">
        <f t="shared" si="88"/>
        <v>0</v>
      </c>
      <c r="H152" s="21">
        <f t="shared" si="88"/>
        <v>0</v>
      </c>
      <c r="I152" s="10">
        <f t="shared" si="83"/>
        <v>0</v>
      </c>
      <c r="J152" s="10">
        <f t="shared" si="83"/>
        <v>0</v>
      </c>
      <c r="K152" s="10">
        <f t="shared" si="83"/>
        <v>0</v>
      </c>
      <c r="L152" s="10">
        <f t="shared" si="83"/>
        <v>0</v>
      </c>
      <c r="M152" s="17">
        <f t="shared" si="84"/>
        <v>0</v>
      </c>
      <c r="N152" s="10">
        <f t="shared" si="85"/>
        <v>0</v>
      </c>
      <c r="O152" s="10">
        <f t="shared" si="85"/>
        <v>0</v>
      </c>
      <c r="P152" s="10">
        <f t="shared" si="85"/>
        <v>0</v>
      </c>
      <c r="Q152" s="10">
        <f t="shared" si="85"/>
        <v>0</v>
      </c>
      <c r="R152" s="22">
        <f t="shared" si="86"/>
        <v>0</v>
      </c>
      <c r="S152" s="23">
        <f t="shared" si="87"/>
        <v>0</v>
      </c>
      <c r="T152" s="23">
        <f t="shared" si="87"/>
        <v>0</v>
      </c>
      <c r="U152" s="23">
        <f t="shared" si="87"/>
        <v>0</v>
      </c>
      <c r="W152" s="79" t="str">
        <f t="shared" si="89"/>
        <v>blank</v>
      </c>
      <c r="X152" s="64"/>
      <c r="Y152" s="64"/>
      <c r="Z152" s="64"/>
      <c r="AA152" s="64"/>
      <c r="AB152" s="60"/>
      <c r="AC152" s="64"/>
      <c r="AD152" s="64"/>
      <c r="AE152" s="64"/>
      <c r="AF152" s="64"/>
      <c r="AG152" s="60"/>
      <c r="AH152" s="64"/>
      <c r="AI152" s="64"/>
      <c r="AJ152" s="64"/>
    </row>
    <row r="153" spans="2:36" ht="15.75" hidden="1" outlineLevel="1" thickBot="1" x14ac:dyDescent="0.3">
      <c r="E153" s="8" t="s">
        <v>27</v>
      </c>
      <c r="F153" s="9">
        <f t="shared" ref="F153:U153" si="90">SUM(F146:F152)</f>
        <v>0</v>
      </c>
      <c r="G153" s="9">
        <f t="shared" si="90"/>
        <v>0</v>
      </c>
      <c r="H153" s="9">
        <f t="shared" si="90"/>
        <v>0</v>
      </c>
      <c r="I153" s="11">
        <f t="shared" si="90"/>
        <v>0</v>
      </c>
      <c r="J153" s="11">
        <f t="shared" si="90"/>
        <v>0</v>
      </c>
      <c r="K153" s="11">
        <f t="shared" si="90"/>
        <v>0</v>
      </c>
      <c r="L153" s="11">
        <f t="shared" si="90"/>
        <v>0</v>
      </c>
      <c r="M153" s="18">
        <f t="shared" si="90"/>
        <v>0</v>
      </c>
      <c r="N153" s="11">
        <f t="shared" si="90"/>
        <v>0</v>
      </c>
      <c r="O153" s="11">
        <f t="shared" si="90"/>
        <v>0</v>
      </c>
      <c r="P153" s="11">
        <f t="shared" si="90"/>
        <v>0</v>
      </c>
      <c r="Q153" s="11">
        <f t="shared" si="90"/>
        <v>0</v>
      </c>
      <c r="R153" s="19">
        <f t="shared" si="90"/>
        <v>0</v>
      </c>
      <c r="S153" s="20">
        <f t="shared" si="90"/>
        <v>0</v>
      </c>
      <c r="T153" s="20">
        <f t="shared" si="90"/>
        <v>0</v>
      </c>
      <c r="U153" s="20">
        <f t="shared" si="90"/>
        <v>0</v>
      </c>
    </row>
    <row r="154" spans="2:36" ht="15.75" hidden="1" outlineLevel="1" thickTop="1" x14ac:dyDescent="0.25">
      <c r="F154" s="24"/>
      <c r="G154" s="25"/>
      <c r="H154" s="25"/>
      <c r="I154" s="25"/>
      <c r="J154" s="25"/>
      <c r="K154" s="25"/>
      <c r="L154" s="25"/>
      <c r="M154" s="25"/>
      <c r="N154" s="25"/>
      <c r="O154" s="25"/>
      <c r="P154" s="25"/>
      <c r="Q154" s="25"/>
      <c r="R154" s="25"/>
      <c r="S154" s="25"/>
      <c r="T154" s="25"/>
      <c r="U154" s="25"/>
    </row>
    <row r="155" spans="2:36" hidden="1" outlineLevel="1" x14ac:dyDescent="0.25"/>
    <row r="156" spans="2:36" hidden="1" outlineLevel="1" x14ac:dyDescent="0.25"/>
    <row r="157" spans="2:36" ht="18.75" collapsed="1" x14ac:dyDescent="0.3">
      <c r="B157" s="4" t="s">
        <v>34</v>
      </c>
      <c r="C157" s="4" t="s">
        <v>387</v>
      </c>
      <c r="E157" s="53" t="str">
        <f>"Scenario 3: "&amp;Inputs!B24</f>
        <v>Scenario 3: Scenario 3</v>
      </c>
      <c r="F157" s="49"/>
      <c r="G157" s="49"/>
      <c r="H157" s="49"/>
      <c r="I157" s="49"/>
      <c r="J157" s="49"/>
      <c r="K157" s="49"/>
      <c r="L157" s="49"/>
      <c r="M157" s="49"/>
      <c r="N157" s="49"/>
      <c r="O157" s="49"/>
      <c r="P157" s="49"/>
      <c r="Q157" s="49"/>
      <c r="R157" s="49"/>
      <c r="S157" s="49"/>
      <c r="T157" s="49"/>
      <c r="U157" s="49"/>
    </row>
    <row r="158" spans="2:36" hidden="1" outlineLevel="1" x14ac:dyDescent="0.25">
      <c r="E158" s="52" t="str">
        <f>Inputs!C24</f>
        <v>Scenario 3 Description</v>
      </c>
    </row>
    <row r="159" spans="2:36" hidden="1" outlineLevel="1" x14ac:dyDescent="0.25"/>
    <row r="160" spans="2:36" hidden="1" outlineLevel="1" x14ac:dyDescent="0.25"/>
    <row r="161" spans="2:36" hidden="1" outlineLevel="1" x14ac:dyDescent="0.25">
      <c r="E161" s="4" t="s">
        <v>82</v>
      </c>
      <c r="W161" s="4" t="str">
        <f>E161</f>
        <v>Investments Required</v>
      </c>
    </row>
    <row r="162" spans="2:36" hidden="1" outlineLevel="1" x14ac:dyDescent="0.25">
      <c r="E162" s="6" t="s">
        <v>25</v>
      </c>
      <c r="W162" s="61" t="s">
        <v>62</v>
      </c>
    </row>
    <row r="163" spans="2:36" hidden="1" outlineLevel="1" x14ac:dyDescent="0.25"/>
    <row r="164" spans="2:36" hidden="1" outlineLevel="1" x14ac:dyDescent="0.25">
      <c r="F164" s="12">
        <f>Inputs!$C$7</f>
        <v>2023</v>
      </c>
      <c r="G164" s="12">
        <f>Inputs!$C$8</f>
        <v>2024</v>
      </c>
      <c r="H164" s="12">
        <f>Inputs!$C$9</f>
        <v>2025</v>
      </c>
      <c r="I164" s="13" t="s">
        <v>1</v>
      </c>
      <c r="J164" s="13" t="s">
        <v>2</v>
      </c>
      <c r="K164" s="13" t="s">
        <v>3</v>
      </c>
      <c r="L164" s="13" t="s">
        <v>4</v>
      </c>
      <c r="M164" s="13">
        <f>Inputs!$C$10</f>
        <v>2026</v>
      </c>
      <c r="N164" s="14" t="s">
        <v>1</v>
      </c>
      <c r="O164" s="14" t="s">
        <v>2</v>
      </c>
      <c r="P164" s="14" t="s">
        <v>3</v>
      </c>
      <c r="Q164" s="14" t="s">
        <v>4</v>
      </c>
      <c r="R164" s="15">
        <f>Inputs!$C$11</f>
        <v>2027</v>
      </c>
      <c r="S164" s="16">
        <f>Inputs!$C$12</f>
        <v>2028</v>
      </c>
      <c r="T164" s="16">
        <f>Inputs!$C$13</f>
        <v>2029</v>
      </c>
      <c r="U164" s="16">
        <f>Inputs!$C$14</f>
        <v>2030</v>
      </c>
      <c r="X164" s="13" t="s">
        <v>1</v>
      </c>
      <c r="Y164" s="13" t="s">
        <v>2</v>
      </c>
      <c r="Z164" s="13" t="s">
        <v>3</v>
      </c>
      <c r="AA164" s="13" t="s">
        <v>4</v>
      </c>
      <c r="AB164" s="13">
        <f>Inputs!$C$10</f>
        <v>2026</v>
      </c>
      <c r="AC164" s="14" t="s">
        <v>1</v>
      </c>
      <c r="AD164" s="14" t="s">
        <v>2</v>
      </c>
      <c r="AE164" s="14" t="s">
        <v>3</v>
      </c>
      <c r="AF164" s="14" t="s">
        <v>4</v>
      </c>
      <c r="AG164" s="15">
        <f>Inputs!$C$11</f>
        <v>2027</v>
      </c>
      <c r="AH164" s="16">
        <f>Inputs!$C$12</f>
        <v>2028</v>
      </c>
      <c r="AI164" s="16">
        <f>Inputs!$C$13</f>
        <v>2029</v>
      </c>
      <c r="AJ164" s="16">
        <f>Inputs!$C$14</f>
        <v>2030</v>
      </c>
    </row>
    <row r="165" spans="2:36" hidden="1" outlineLevel="1" x14ac:dyDescent="0.25">
      <c r="F165" s="71" t="s">
        <v>63</v>
      </c>
      <c r="G165" s="71" t="s">
        <v>63</v>
      </c>
      <c r="H165" s="71" t="s">
        <v>63</v>
      </c>
      <c r="I165" s="71" t="s">
        <v>63</v>
      </c>
      <c r="J165" s="71" t="s">
        <v>63</v>
      </c>
      <c r="K165" s="71" t="s">
        <v>63</v>
      </c>
      <c r="L165" s="71" t="s">
        <v>63</v>
      </c>
      <c r="M165" s="71" t="s">
        <v>63</v>
      </c>
      <c r="N165" s="71" t="s">
        <v>63</v>
      </c>
      <c r="O165" s="71" t="s">
        <v>63</v>
      </c>
      <c r="P165" s="71" t="s">
        <v>63</v>
      </c>
      <c r="Q165" s="71" t="s">
        <v>63</v>
      </c>
      <c r="R165" s="71" t="s">
        <v>63</v>
      </c>
      <c r="S165" s="71" t="s">
        <v>63</v>
      </c>
      <c r="T165" s="71" t="s">
        <v>63</v>
      </c>
      <c r="U165" s="71" t="s">
        <v>63</v>
      </c>
      <c r="X165" s="63" t="s">
        <v>30</v>
      </c>
      <c r="Y165" s="63" t="s">
        <v>30</v>
      </c>
      <c r="Z165" s="63" t="s">
        <v>30</v>
      </c>
      <c r="AA165" s="63" t="s">
        <v>30</v>
      </c>
      <c r="AB165" s="62"/>
      <c r="AC165" s="63" t="s">
        <v>30</v>
      </c>
      <c r="AD165" s="63" t="s">
        <v>30</v>
      </c>
      <c r="AE165" s="63" t="s">
        <v>30</v>
      </c>
      <c r="AF165" s="63" t="s">
        <v>30</v>
      </c>
      <c r="AG165" s="62"/>
      <c r="AH165" s="63" t="s">
        <v>30</v>
      </c>
      <c r="AI165" s="63" t="s">
        <v>30</v>
      </c>
      <c r="AJ165" s="63" t="s">
        <v>30</v>
      </c>
    </row>
    <row r="166" spans="2:36" hidden="1" outlineLevel="1" x14ac:dyDescent="0.25">
      <c r="B166" s="229" t="s">
        <v>195</v>
      </c>
      <c r="C166" s="229" t="s">
        <v>195</v>
      </c>
      <c r="E166" s="78" t="s">
        <v>102</v>
      </c>
      <c r="F166" s="21">
        <f>F397</f>
        <v>0</v>
      </c>
      <c r="G166" s="21">
        <f t="shared" ref="G166:H166" si="91">G397</f>
        <v>0</v>
      </c>
      <c r="H166" s="21">
        <f t="shared" si="91"/>
        <v>0</v>
      </c>
      <c r="I166" s="10">
        <f t="shared" ref="I166:L172" si="92">IF(X166="",I397,X166)</f>
        <v>0</v>
      </c>
      <c r="J166" s="10">
        <f t="shared" si="92"/>
        <v>0</v>
      </c>
      <c r="K166" s="10">
        <f t="shared" si="92"/>
        <v>0</v>
      </c>
      <c r="L166" s="10">
        <f t="shared" si="92"/>
        <v>0</v>
      </c>
      <c r="M166" s="17">
        <f t="shared" ref="M166:M172" si="93">SUM(I166:L166)</f>
        <v>0</v>
      </c>
      <c r="N166" s="10">
        <f t="shared" ref="N166:Q172" si="94">IF(AC166="",N397,AC166)</f>
        <v>0</v>
      </c>
      <c r="O166" s="10">
        <f t="shared" si="94"/>
        <v>0</v>
      </c>
      <c r="P166" s="10">
        <f t="shared" si="94"/>
        <v>0</v>
      </c>
      <c r="Q166" s="10">
        <f t="shared" si="94"/>
        <v>0</v>
      </c>
      <c r="R166" s="22">
        <f t="shared" ref="R166:R172" si="95">SUM(N166:Q166)</f>
        <v>0</v>
      </c>
      <c r="S166" s="23">
        <f t="shared" ref="S166:U172" si="96">IF(AH166="",S397,AH166)</f>
        <v>0</v>
      </c>
      <c r="T166" s="23">
        <f t="shared" si="96"/>
        <v>0</v>
      </c>
      <c r="U166" s="23">
        <f t="shared" si="96"/>
        <v>0</v>
      </c>
      <c r="W166" s="79" t="str">
        <f>E166</f>
        <v>3rd Party Expenses 1</v>
      </c>
      <c r="X166" s="64"/>
      <c r="Y166" s="64"/>
      <c r="Z166" s="64"/>
      <c r="AA166" s="64"/>
      <c r="AB166" s="60"/>
      <c r="AC166" s="64"/>
      <c r="AD166" s="64"/>
      <c r="AE166" s="64"/>
      <c r="AF166" s="64"/>
      <c r="AG166" s="60"/>
      <c r="AH166" s="64"/>
      <c r="AI166" s="64"/>
      <c r="AJ166" s="64"/>
    </row>
    <row r="167" spans="2:36" hidden="1" outlineLevel="1" x14ac:dyDescent="0.25">
      <c r="B167" s="229" t="s">
        <v>195</v>
      </c>
      <c r="C167" s="229" t="s">
        <v>195</v>
      </c>
      <c r="E167" s="78" t="s">
        <v>103</v>
      </c>
      <c r="F167" s="21">
        <f t="shared" ref="F167:H172" si="97">F398</f>
        <v>0</v>
      </c>
      <c r="G167" s="21">
        <f t="shared" si="97"/>
        <v>0</v>
      </c>
      <c r="H167" s="21">
        <f t="shared" si="97"/>
        <v>0</v>
      </c>
      <c r="I167" s="10">
        <f t="shared" si="92"/>
        <v>0</v>
      </c>
      <c r="J167" s="10">
        <f t="shared" si="92"/>
        <v>0</v>
      </c>
      <c r="K167" s="10">
        <f t="shared" si="92"/>
        <v>0</v>
      </c>
      <c r="L167" s="10">
        <f t="shared" si="92"/>
        <v>0</v>
      </c>
      <c r="M167" s="17">
        <f t="shared" si="93"/>
        <v>0</v>
      </c>
      <c r="N167" s="10">
        <f t="shared" si="94"/>
        <v>0</v>
      </c>
      <c r="O167" s="10">
        <f t="shared" si="94"/>
        <v>0</v>
      </c>
      <c r="P167" s="10">
        <f t="shared" si="94"/>
        <v>0</v>
      </c>
      <c r="Q167" s="10">
        <f t="shared" si="94"/>
        <v>0</v>
      </c>
      <c r="R167" s="22">
        <f t="shared" si="95"/>
        <v>0</v>
      </c>
      <c r="S167" s="23">
        <f t="shared" si="96"/>
        <v>0</v>
      </c>
      <c r="T167" s="23">
        <f t="shared" si="96"/>
        <v>0</v>
      </c>
      <c r="U167" s="23">
        <f t="shared" si="96"/>
        <v>0</v>
      </c>
      <c r="W167" s="79" t="str">
        <f t="shared" ref="W167:W172" si="98">E167</f>
        <v>3rd Party Expenses 2</v>
      </c>
      <c r="X167" s="64"/>
      <c r="Y167" s="64"/>
      <c r="Z167" s="64"/>
      <c r="AA167" s="64"/>
      <c r="AB167" s="60"/>
      <c r="AC167" s="64"/>
      <c r="AD167" s="64"/>
      <c r="AE167" s="64"/>
      <c r="AF167" s="64"/>
      <c r="AG167" s="60"/>
      <c r="AH167" s="64"/>
      <c r="AI167" s="64"/>
      <c r="AJ167" s="64"/>
    </row>
    <row r="168" spans="2:36" hidden="1" outlineLevel="1" x14ac:dyDescent="0.25">
      <c r="B168" s="229" t="s">
        <v>195</v>
      </c>
      <c r="C168" s="229" t="s">
        <v>195</v>
      </c>
      <c r="E168" s="78" t="s">
        <v>104</v>
      </c>
      <c r="F168" s="21">
        <f t="shared" si="97"/>
        <v>0</v>
      </c>
      <c r="G168" s="21">
        <f t="shared" si="97"/>
        <v>0</v>
      </c>
      <c r="H168" s="21">
        <f t="shared" si="97"/>
        <v>0</v>
      </c>
      <c r="I168" s="10">
        <f t="shared" si="92"/>
        <v>0</v>
      </c>
      <c r="J168" s="10">
        <f t="shared" si="92"/>
        <v>0</v>
      </c>
      <c r="K168" s="10">
        <f t="shared" si="92"/>
        <v>0</v>
      </c>
      <c r="L168" s="10">
        <f t="shared" si="92"/>
        <v>0</v>
      </c>
      <c r="M168" s="17">
        <f t="shared" si="93"/>
        <v>0</v>
      </c>
      <c r="N168" s="10">
        <f t="shared" si="94"/>
        <v>0</v>
      </c>
      <c r="O168" s="10">
        <f t="shared" si="94"/>
        <v>0</v>
      </c>
      <c r="P168" s="10">
        <f t="shared" si="94"/>
        <v>0</v>
      </c>
      <c r="Q168" s="10">
        <f t="shared" si="94"/>
        <v>0</v>
      </c>
      <c r="R168" s="22">
        <f t="shared" si="95"/>
        <v>0</v>
      </c>
      <c r="S168" s="23">
        <f t="shared" si="96"/>
        <v>0</v>
      </c>
      <c r="T168" s="23">
        <f t="shared" si="96"/>
        <v>0</v>
      </c>
      <c r="U168" s="23">
        <f t="shared" si="96"/>
        <v>0</v>
      </c>
      <c r="W168" s="79" t="str">
        <f t="shared" si="98"/>
        <v>3rd Party Expenses 3</v>
      </c>
      <c r="X168" s="64"/>
      <c r="Y168" s="64"/>
      <c r="Z168" s="64"/>
      <c r="AA168" s="64"/>
      <c r="AB168" s="60"/>
      <c r="AC168" s="64"/>
      <c r="AD168" s="64"/>
      <c r="AE168" s="64"/>
      <c r="AF168" s="64"/>
      <c r="AG168" s="60"/>
      <c r="AH168" s="64"/>
      <c r="AI168" s="64"/>
      <c r="AJ168" s="64"/>
    </row>
    <row r="169" spans="2:36" hidden="1" outlineLevel="1" x14ac:dyDescent="0.25">
      <c r="B169" s="229" t="s">
        <v>195</v>
      </c>
      <c r="C169" s="229" t="s">
        <v>195</v>
      </c>
      <c r="E169" s="78" t="s">
        <v>108</v>
      </c>
      <c r="F169" s="21">
        <f t="shared" si="97"/>
        <v>0</v>
      </c>
      <c r="G169" s="21">
        <f t="shared" si="97"/>
        <v>0</v>
      </c>
      <c r="H169" s="21">
        <f t="shared" si="97"/>
        <v>0</v>
      </c>
      <c r="I169" s="10">
        <f t="shared" si="92"/>
        <v>0</v>
      </c>
      <c r="J169" s="10">
        <f t="shared" si="92"/>
        <v>0</v>
      </c>
      <c r="K169" s="10">
        <f t="shared" si="92"/>
        <v>0</v>
      </c>
      <c r="L169" s="10">
        <f t="shared" si="92"/>
        <v>0</v>
      </c>
      <c r="M169" s="17">
        <f t="shared" si="93"/>
        <v>0</v>
      </c>
      <c r="N169" s="10">
        <f t="shared" si="94"/>
        <v>0</v>
      </c>
      <c r="O169" s="10">
        <f t="shared" si="94"/>
        <v>0</v>
      </c>
      <c r="P169" s="10">
        <f t="shared" si="94"/>
        <v>0</v>
      </c>
      <c r="Q169" s="10">
        <f t="shared" si="94"/>
        <v>0</v>
      </c>
      <c r="R169" s="22">
        <f t="shared" si="95"/>
        <v>0</v>
      </c>
      <c r="S169" s="23">
        <f t="shared" si="96"/>
        <v>0</v>
      </c>
      <c r="T169" s="23">
        <f t="shared" si="96"/>
        <v>0</v>
      </c>
      <c r="U169" s="23">
        <f t="shared" si="96"/>
        <v>0</v>
      </c>
      <c r="W169" s="79" t="str">
        <f t="shared" si="98"/>
        <v>3rd Party Expenses 4</v>
      </c>
      <c r="X169" s="64"/>
      <c r="Y169" s="64"/>
      <c r="Z169" s="64"/>
      <c r="AA169" s="64"/>
      <c r="AB169" s="60"/>
      <c r="AC169" s="64"/>
      <c r="AD169" s="64"/>
      <c r="AE169" s="64"/>
      <c r="AF169" s="64"/>
      <c r="AG169" s="60"/>
      <c r="AH169" s="64"/>
      <c r="AI169" s="64"/>
      <c r="AJ169" s="64"/>
    </row>
    <row r="170" spans="2:36" hidden="1" outlineLevel="1" x14ac:dyDescent="0.25">
      <c r="B170" s="229" t="s">
        <v>195</v>
      </c>
      <c r="C170" s="229" t="s">
        <v>195</v>
      </c>
      <c r="E170" s="78" t="s">
        <v>88</v>
      </c>
      <c r="F170" s="21">
        <f t="shared" si="97"/>
        <v>0</v>
      </c>
      <c r="G170" s="21">
        <f t="shared" si="97"/>
        <v>0</v>
      </c>
      <c r="H170" s="21">
        <f t="shared" si="97"/>
        <v>0</v>
      </c>
      <c r="I170" s="10">
        <f t="shared" si="92"/>
        <v>0</v>
      </c>
      <c r="J170" s="10">
        <f t="shared" si="92"/>
        <v>0</v>
      </c>
      <c r="K170" s="10">
        <f t="shared" si="92"/>
        <v>0</v>
      </c>
      <c r="L170" s="10">
        <f t="shared" si="92"/>
        <v>0</v>
      </c>
      <c r="M170" s="17">
        <f t="shared" si="93"/>
        <v>0</v>
      </c>
      <c r="N170" s="10">
        <f t="shared" si="94"/>
        <v>0</v>
      </c>
      <c r="O170" s="10">
        <f t="shared" si="94"/>
        <v>0</v>
      </c>
      <c r="P170" s="10">
        <f t="shared" si="94"/>
        <v>0</v>
      </c>
      <c r="Q170" s="10">
        <f t="shared" si="94"/>
        <v>0</v>
      </c>
      <c r="R170" s="22">
        <f t="shared" si="95"/>
        <v>0</v>
      </c>
      <c r="S170" s="23">
        <f t="shared" si="96"/>
        <v>0</v>
      </c>
      <c r="T170" s="23">
        <f t="shared" si="96"/>
        <v>0</v>
      </c>
      <c r="U170" s="23">
        <f t="shared" si="96"/>
        <v>0</v>
      </c>
      <c r="W170" s="79" t="str">
        <f t="shared" si="98"/>
        <v>All Other</v>
      </c>
      <c r="X170" s="64"/>
      <c r="Y170" s="64"/>
      <c r="Z170" s="64"/>
      <c r="AA170" s="64"/>
      <c r="AB170" s="60"/>
      <c r="AC170" s="64"/>
      <c r="AD170" s="64"/>
      <c r="AE170" s="64"/>
      <c r="AF170" s="64"/>
      <c r="AG170" s="60"/>
      <c r="AH170" s="64"/>
      <c r="AI170" s="64"/>
      <c r="AJ170" s="64"/>
    </row>
    <row r="171" spans="2:36" hidden="1" outlineLevel="1" x14ac:dyDescent="0.25">
      <c r="B171" s="229" t="s">
        <v>195</v>
      </c>
      <c r="C171" s="229" t="s">
        <v>195</v>
      </c>
      <c r="E171" s="78" t="s">
        <v>77</v>
      </c>
      <c r="F171" s="21">
        <f t="shared" si="97"/>
        <v>0</v>
      </c>
      <c r="G171" s="21">
        <f t="shared" si="97"/>
        <v>0</v>
      </c>
      <c r="H171" s="21">
        <f t="shared" si="97"/>
        <v>0</v>
      </c>
      <c r="I171" s="10">
        <f t="shared" si="92"/>
        <v>0</v>
      </c>
      <c r="J171" s="10">
        <f t="shared" si="92"/>
        <v>0</v>
      </c>
      <c r="K171" s="10">
        <f t="shared" si="92"/>
        <v>0</v>
      </c>
      <c r="L171" s="10">
        <f t="shared" si="92"/>
        <v>0</v>
      </c>
      <c r="M171" s="17">
        <f t="shared" si="93"/>
        <v>0</v>
      </c>
      <c r="N171" s="10">
        <f t="shared" si="94"/>
        <v>0</v>
      </c>
      <c r="O171" s="10">
        <f t="shared" si="94"/>
        <v>0</v>
      </c>
      <c r="P171" s="10">
        <f t="shared" si="94"/>
        <v>0</v>
      </c>
      <c r="Q171" s="10">
        <f t="shared" si="94"/>
        <v>0</v>
      </c>
      <c r="R171" s="22">
        <f t="shared" si="95"/>
        <v>0</v>
      </c>
      <c r="S171" s="23">
        <f t="shared" si="96"/>
        <v>0</v>
      </c>
      <c r="T171" s="23">
        <f t="shared" si="96"/>
        <v>0</v>
      </c>
      <c r="U171" s="23">
        <f t="shared" si="96"/>
        <v>0</v>
      </c>
      <c r="W171" s="79" t="str">
        <f t="shared" si="98"/>
        <v>blank</v>
      </c>
      <c r="X171" s="64"/>
      <c r="Y171" s="64"/>
      <c r="Z171" s="64"/>
      <c r="AA171" s="64"/>
      <c r="AB171" s="60"/>
      <c r="AC171" s="64"/>
      <c r="AD171" s="64"/>
      <c r="AE171" s="64"/>
      <c r="AF171" s="64"/>
      <c r="AG171" s="60"/>
      <c r="AH171" s="64"/>
      <c r="AI171" s="64"/>
      <c r="AJ171" s="64"/>
    </row>
    <row r="172" spans="2:36" hidden="1" outlineLevel="1" x14ac:dyDescent="0.25">
      <c r="B172" s="229" t="s">
        <v>195</v>
      </c>
      <c r="C172" s="229" t="s">
        <v>195</v>
      </c>
      <c r="E172" s="78" t="s">
        <v>77</v>
      </c>
      <c r="F172" s="21">
        <f t="shared" si="97"/>
        <v>0</v>
      </c>
      <c r="G172" s="21">
        <f t="shared" si="97"/>
        <v>0</v>
      </c>
      <c r="H172" s="21">
        <f t="shared" si="97"/>
        <v>0</v>
      </c>
      <c r="I172" s="10">
        <f t="shared" si="92"/>
        <v>0</v>
      </c>
      <c r="J172" s="10">
        <f t="shared" si="92"/>
        <v>0</v>
      </c>
      <c r="K172" s="10">
        <f t="shared" si="92"/>
        <v>0</v>
      </c>
      <c r="L172" s="10">
        <f t="shared" si="92"/>
        <v>0</v>
      </c>
      <c r="M172" s="17">
        <f t="shared" si="93"/>
        <v>0</v>
      </c>
      <c r="N172" s="10">
        <f t="shared" si="94"/>
        <v>0</v>
      </c>
      <c r="O172" s="10">
        <f t="shared" si="94"/>
        <v>0</v>
      </c>
      <c r="P172" s="10">
        <f t="shared" si="94"/>
        <v>0</v>
      </c>
      <c r="Q172" s="10">
        <f t="shared" si="94"/>
        <v>0</v>
      </c>
      <c r="R172" s="22">
        <f t="shared" si="95"/>
        <v>0</v>
      </c>
      <c r="S172" s="23">
        <f t="shared" si="96"/>
        <v>0</v>
      </c>
      <c r="T172" s="23">
        <f t="shared" si="96"/>
        <v>0</v>
      </c>
      <c r="U172" s="23">
        <f t="shared" si="96"/>
        <v>0</v>
      </c>
      <c r="W172" s="79" t="str">
        <f t="shared" si="98"/>
        <v>blank</v>
      </c>
      <c r="X172" s="64"/>
      <c r="Y172" s="64"/>
      <c r="Z172" s="64"/>
      <c r="AA172" s="64"/>
      <c r="AB172" s="60"/>
      <c r="AC172" s="64"/>
      <c r="AD172" s="64"/>
      <c r="AE172" s="64"/>
      <c r="AF172" s="64"/>
      <c r="AG172" s="60"/>
      <c r="AH172" s="64"/>
      <c r="AI172" s="64"/>
      <c r="AJ172" s="64"/>
    </row>
    <row r="173" spans="2:36" ht="15.75" hidden="1" outlineLevel="1" thickBot="1" x14ac:dyDescent="0.3">
      <c r="E173" s="8" t="s">
        <v>27</v>
      </c>
      <c r="F173" s="9">
        <f t="shared" ref="F173:U173" si="99">SUM(F166:F172)</f>
        <v>0</v>
      </c>
      <c r="G173" s="9">
        <f t="shared" si="99"/>
        <v>0</v>
      </c>
      <c r="H173" s="9">
        <f t="shared" si="99"/>
        <v>0</v>
      </c>
      <c r="I173" s="11">
        <f t="shared" si="99"/>
        <v>0</v>
      </c>
      <c r="J173" s="11">
        <f t="shared" si="99"/>
        <v>0</v>
      </c>
      <c r="K173" s="11">
        <f t="shared" si="99"/>
        <v>0</v>
      </c>
      <c r="L173" s="11">
        <f t="shared" si="99"/>
        <v>0</v>
      </c>
      <c r="M173" s="18">
        <f t="shared" si="99"/>
        <v>0</v>
      </c>
      <c r="N173" s="11">
        <f t="shared" si="99"/>
        <v>0</v>
      </c>
      <c r="O173" s="11">
        <f t="shared" si="99"/>
        <v>0</v>
      </c>
      <c r="P173" s="11">
        <f t="shared" si="99"/>
        <v>0</v>
      </c>
      <c r="Q173" s="11">
        <f t="shared" si="99"/>
        <v>0</v>
      </c>
      <c r="R173" s="19">
        <f t="shared" si="99"/>
        <v>0</v>
      </c>
      <c r="S173" s="20">
        <f t="shared" si="99"/>
        <v>0</v>
      </c>
      <c r="T173" s="20">
        <f t="shared" si="99"/>
        <v>0</v>
      </c>
      <c r="U173" s="20">
        <f t="shared" si="99"/>
        <v>0</v>
      </c>
    </row>
    <row r="174" spans="2:36" ht="15.75" hidden="1" outlineLevel="1" thickTop="1" x14ac:dyDescent="0.25">
      <c r="M174" s="3"/>
    </row>
    <row r="175" spans="2:36" hidden="1" outlineLevel="1" x14ac:dyDescent="0.25">
      <c r="M175" s="3"/>
    </row>
    <row r="176" spans="2:36" hidden="1" outlineLevel="1" x14ac:dyDescent="0.25">
      <c r="M176" s="3"/>
    </row>
    <row r="177" spans="2:36" hidden="1" outlineLevel="1" x14ac:dyDescent="0.25">
      <c r="E177" s="4" t="s">
        <v>28</v>
      </c>
      <c r="W177" s="4" t="str">
        <f>E177</f>
        <v>Capital Expenditures</v>
      </c>
    </row>
    <row r="178" spans="2:36" hidden="1" outlineLevel="1" x14ac:dyDescent="0.25">
      <c r="E178" s="6" t="s">
        <v>25</v>
      </c>
      <c r="W178" s="61" t="s">
        <v>62</v>
      </c>
    </row>
    <row r="179" spans="2:36" hidden="1" outlineLevel="1" x14ac:dyDescent="0.25"/>
    <row r="180" spans="2:36" hidden="1" outlineLevel="1" x14ac:dyDescent="0.25">
      <c r="F180" s="12">
        <f>Inputs!$C$7</f>
        <v>2023</v>
      </c>
      <c r="G180" s="12">
        <f>Inputs!$C$8</f>
        <v>2024</v>
      </c>
      <c r="H180" s="12">
        <f>Inputs!$C$9</f>
        <v>2025</v>
      </c>
      <c r="I180" s="13" t="s">
        <v>1</v>
      </c>
      <c r="J180" s="13" t="s">
        <v>2</v>
      </c>
      <c r="K180" s="13" t="s">
        <v>3</v>
      </c>
      <c r="L180" s="13" t="s">
        <v>4</v>
      </c>
      <c r="M180" s="13">
        <f>Inputs!$C$10</f>
        <v>2026</v>
      </c>
      <c r="N180" s="14" t="s">
        <v>1</v>
      </c>
      <c r="O180" s="14" t="s">
        <v>2</v>
      </c>
      <c r="P180" s="14" t="s">
        <v>3</v>
      </c>
      <c r="Q180" s="14" t="s">
        <v>4</v>
      </c>
      <c r="R180" s="15">
        <f>Inputs!$C$11</f>
        <v>2027</v>
      </c>
      <c r="S180" s="16">
        <f>Inputs!$C$12</f>
        <v>2028</v>
      </c>
      <c r="T180" s="16">
        <f>Inputs!$C$13</f>
        <v>2029</v>
      </c>
      <c r="U180" s="16">
        <f>Inputs!$C$14</f>
        <v>2030</v>
      </c>
      <c r="X180" s="13" t="s">
        <v>1</v>
      </c>
      <c r="Y180" s="13" t="s">
        <v>2</v>
      </c>
      <c r="Z180" s="13" t="s">
        <v>3</v>
      </c>
      <c r="AA180" s="13" t="s">
        <v>4</v>
      </c>
      <c r="AB180" s="13">
        <f>Inputs!$C$10</f>
        <v>2026</v>
      </c>
      <c r="AC180" s="14" t="s">
        <v>1</v>
      </c>
      <c r="AD180" s="14" t="s">
        <v>2</v>
      </c>
      <c r="AE180" s="14" t="s">
        <v>3</v>
      </c>
      <c r="AF180" s="14" t="s">
        <v>4</v>
      </c>
      <c r="AG180" s="15">
        <f>Inputs!$C$11</f>
        <v>2027</v>
      </c>
      <c r="AH180" s="16">
        <f>Inputs!$C$12</f>
        <v>2028</v>
      </c>
      <c r="AI180" s="16">
        <f>Inputs!$C$13</f>
        <v>2029</v>
      </c>
      <c r="AJ180" s="16">
        <f>Inputs!$C$14</f>
        <v>2030</v>
      </c>
    </row>
    <row r="181" spans="2:36" hidden="1" outlineLevel="1" x14ac:dyDescent="0.25">
      <c r="F181" s="71" t="s">
        <v>63</v>
      </c>
      <c r="G181" s="71" t="s">
        <v>63</v>
      </c>
      <c r="H181" s="71" t="s">
        <v>63</v>
      </c>
      <c r="I181" s="71" t="s">
        <v>63</v>
      </c>
      <c r="J181" s="71" t="s">
        <v>63</v>
      </c>
      <c r="K181" s="71" t="s">
        <v>63</v>
      </c>
      <c r="L181" s="71" t="s">
        <v>63</v>
      </c>
      <c r="M181" s="71" t="s">
        <v>63</v>
      </c>
      <c r="N181" s="71" t="s">
        <v>63</v>
      </c>
      <c r="O181" s="71" t="s">
        <v>63</v>
      </c>
      <c r="P181" s="71" t="s">
        <v>63</v>
      </c>
      <c r="Q181" s="71" t="s">
        <v>63</v>
      </c>
      <c r="R181" s="71" t="s">
        <v>63</v>
      </c>
      <c r="S181" s="71" t="s">
        <v>63</v>
      </c>
      <c r="T181" s="71" t="s">
        <v>63</v>
      </c>
      <c r="U181" s="71" t="s">
        <v>63</v>
      </c>
      <c r="X181" s="63" t="s">
        <v>30</v>
      </c>
      <c r="Y181" s="63" t="s">
        <v>30</v>
      </c>
      <c r="Z181" s="63" t="s">
        <v>30</v>
      </c>
      <c r="AA181" s="63" t="s">
        <v>30</v>
      </c>
      <c r="AB181" s="62"/>
      <c r="AC181" s="63" t="s">
        <v>30</v>
      </c>
      <c r="AD181" s="63" t="s">
        <v>30</v>
      </c>
      <c r="AE181" s="63" t="s">
        <v>30</v>
      </c>
      <c r="AF181" s="63" t="s">
        <v>30</v>
      </c>
      <c r="AG181" s="62"/>
      <c r="AH181" s="63" t="s">
        <v>30</v>
      </c>
      <c r="AI181" s="63" t="s">
        <v>30</v>
      </c>
      <c r="AJ181" s="63" t="s">
        <v>30</v>
      </c>
    </row>
    <row r="182" spans="2:36" hidden="1" outlineLevel="1" x14ac:dyDescent="0.25">
      <c r="B182" s="229" t="s">
        <v>195</v>
      </c>
      <c r="E182" s="78" t="s">
        <v>83</v>
      </c>
      <c r="F182" s="21">
        <f>F413</f>
        <v>0</v>
      </c>
      <c r="G182" s="21">
        <f t="shared" ref="G182:H182" si="100">G413</f>
        <v>0</v>
      </c>
      <c r="H182" s="21">
        <f t="shared" si="100"/>
        <v>0</v>
      </c>
      <c r="I182" s="10">
        <f t="shared" ref="I182:L188" si="101">IF(X182="",I413,X182)</f>
        <v>0</v>
      </c>
      <c r="J182" s="10">
        <f t="shared" si="101"/>
        <v>0</v>
      </c>
      <c r="K182" s="10">
        <f t="shared" si="101"/>
        <v>0</v>
      </c>
      <c r="L182" s="10">
        <f t="shared" si="101"/>
        <v>0</v>
      </c>
      <c r="M182" s="17">
        <f t="shared" ref="M182:M188" si="102">SUM(I182:L182)</f>
        <v>0</v>
      </c>
      <c r="N182" s="10">
        <f t="shared" ref="N182:Q188" si="103">IF(AC182="",N413,AC182)</f>
        <v>0</v>
      </c>
      <c r="O182" s="10">
        <f t="shared" si="103"/>
        <v>0</v>
      </c>
      <c r="P182" s="10">
        <f t="shared" si="103"/>
        <v>0</v>
      </c>
      <c r="Q182" s="10">
        <f t="shared" si="103"/>
        <v>0</v>
      </c>
      <c r="R182" s="22">
        <f t="shared" ref="R182:R188" si="104">SUM(N182:Q182)</f>
        <v>0</v>
      </c>
      <c r="S182" s="23">
        <f t="shared" ref="S182:U188" si="105">IF(AH182="",S413,AH182)</f>
        <v>0</v>
      </c>
      <c r="T182" s="23">
        <f t="shared" si="105"/>
        <v>0</v>
      </c>
      <c r="U182" s="23">
        <f t="shared" si="105"/>
        <v>0</v>
      </c>
      <c r="W182" s="79" t="str">
        <f>E182</f>
        <v>Capital Expenditure 1</v>
      </c>
      <c r="X182" s="64"/>
      <c r="Y182" s="64"/>
      <c r="Z182" s="64"/>
      <c r="AA182" s="64"/>
      <c r="AB182" s="60"/>
      <c r="AC182" s="64"/>
      <c r="AD182" s="64"/>
      <c r="AE182" s="64"/>
      <c r="AF182" s="64"/>
      <c r="AG182" s="60"/>
      <c r="AH182" s="64"/>
      <c r="AI182" s="64"/>
      <c r="AJ182" s="64"/>
    </row>
    <row r="183" spans="2:36" hidden="1" outlineLevel="1" x14ac:dyDescent="0.25">
      <c r="B183" s="229" t="s">
        <v>195</v>
      </c>
      <c r="E183" s="78" t="s">
        <v>84</v>
      </c>
      <c r="F183" s="21">
        <f t="shared" ref="F183:H188" si="106">F414</f>
        <v>0</v>
      </c>
      <c r="G183" s="21">
        <f t="shared" si="106"/>
        <v>0</v>
      </c>
      <c r="H183" s="21">
        <f t="shared" si="106"/>
        <v>0</v>
      </c>
      <c r="I183" s="10">
        <f t="shared" si="101"/>
        <v>0</v>
      </c>
      <c r="J183" s="10">
        <f t="shared" si="101"/>
        <v>0</v>
      </c>
      <c r="K183" s="10">
        <f t="shared" si="101"/>
        <v>0</v>
      </c>
      <c r="L183" s="10">
        <f t="shared" si="101"/>
        <v>0</v>
      </c>
      <c r="M183" s="17">
        <f t="shared" si="102"/>
        <v>0</v>
      </c>
      <c r="N183" s="10">
        <f t="shared" si="103"/>
        <v>0</v>
      </c>
      <c r="O183" s="10">
        <f t="shared" si="103"/>
        <v>0</v>
      </c>
      <c r="P183" s="10">
        <f t="shared" si="103"/>
        <v>0</v>
      </c>
      <c r="Q183" s="10">
        <f t="shared" si="103"/>
        <v>0</v>
      </c>
      <c r="R183" s="22">
        <f t="shared" si="104"/>
        <v>0</v>
      </c>
      <c r="S183" s="23">
        <f t="shared" si="105"/>
        <v>0</v>
      </c>
      <c r="T183" s="23">
        <f t="shared" si="105"/>
        <v>0</v>
      </c>
      <c r="U183" s="23">
        <f t="shared" si="105"/>
        <v>0</v>
      </c>
      <c r="W183" s="79" t="str">
        <f t="shared" ref="W183:W188" si="107">E183</f>
        <v>Capital Expenditure 2</v>
      </c>
      <c r="X183" s="64"/>
      <c r="Y183" s="64"/>
      <c r="Z183" s="64"/>
      <c r="AA183" s="64"/>
      <c r="AB183" s="60"/>
      <c r="AC183" s="64"/>
      <c r="AD183" s="64"/>
      <c r="AE183" s="64"/>
      <c r="AF183" s="64"/>
      <c r="AG183" s="60"/>
      <c r="AH183" s="64"/>
      <c r="AI183" s="64"/>
      <c r="AJ183" s="64"/>
    </row>
    <row r="184" spans="2:36" hidden="1" outlineLevel="1" x14ac:dyDescent="0.25">
      <c r="B184" s="229" t="s">
        <v>195</v>
      </c>
      <c r="E184" s="78" t="s">
        <v>85</v>
      </c>
      <c r="F184" s="21">
        <f t="shared" si="106"/>
        <v>0</v>
      </c>
      <c r="G184" s="21">
        <f t="shared" si="106"/>
        <v>0</v>
      </c>
      <c r="H184" s="21">
        <f t="shared" si="106"/>
        <v>0</v>
      </c>
      <c r="I184" s="10">
        <f t="shared" si="101"/>
        <v>0</v>
      </c>
      <c r="J184" s="10">
        <f t="shared" si="101"/>
        <v>0</v>
      </c>
      <c r="K184" s="10">
        <f t="shared" si="101"/>
        <v>0</v>
      </c>
      <c r="L184" s="10">
        <f t="shared" si="101"/>
        <v>0</v>
      </c>
      <c r="M184" s="17">
        <f t="shared" si="102"/>
        <v>0</v>
      </c>
      <c r="N184" s="10">
        <f t="shared" si="103"/>
        <v>0</v>
      </c>
      <c r="O184" s="10">
        <f t="shared" si="103"/>
        <v>0</v>
      </c>
      <c r="P184" s="10">
        <f t="shared" si="103"/>
        <v>0</v>
      </c>
      <c r="Q184" s="10">
        <f t="shared" si="103"/>
        <v>0</v>
      </c>
      <c r="R184" s="22">
        <f t="shared" si="104"/>
        <v>0</v>
      </c>
      <c r="S184" s="23">
        <f t="shared" si="105"/>
        <v>0</v>
      </c>
      <c r="T184" s="23">
        <f t="shared" si="105"/>
        <v>0</v>
      </c>
      <c r="U184" s="23">
        <f t="shared" si="105"/>
        <v>0</v>
      </c>
      <c r="W184" s="79" t="str">
        <f t="shared" si="107"/>
        <v>Capital Expenditure 3</v>
      </c>
      <c r="X184" s="64"/>
      <c r="Y184" s="64"/>
      <c r="Z184" s="64"/>
      <c r="AA184" s="64"/>
      <c r="AB184" s="60"/>
      <c r="AC184" s="64"/>
      <c r="AD184" s="64"/>
      <c r="AE184" s="64"/>
      <c r="AF184" s="64"/>
      <c r="AG184" s="60"/>
      <c r="AH184" s="64"/>
      <c r="AI184" s="64"/>
      <c r="AJ184" s="64"/>
    </row>
    <row r="185" spans="2:36" hidden="1" outlineLevel="1" x14ac:dyDescent="0.25">
      <c r="B185" s="229" t="s">
        <v>195</v>
      </c>
      <c r="E185" s="78" t="s">
        <v>86</v>
      </c>
      <c r="F185" s="21">
        <f t="shared" si="106"/>
        <v>0</v>
      </c>
      <c r="G185" s="21">
        <f t="shared" si="106"/>
        <v>0</v>
      </c>
      <c r="H185" s="21">
        <f t="shared" si="106"/>
        <v>0</v>
      </c>
      <c r="I185" s="10">
        <f t="shared" si="101"/>
        <v>0</v>
      </c>
      <c r="J185" s="10">
        <f t="shared" si="101"/>
        <v>0</v>
      </c>
      <c r="K185" s="10">
        <f t="shared" si="101"/>
        <v>0</v>
      </c>
      <c r="L185" s="10">
        <f t="shared" si="101"/>
        <v>0</v>
      </c>
      <c r="M185" s="17">
        <f t="shared" si="102"/>
        <v>0</v>
      </c>
      <c r="N185" s="10">
        <f t="shared" si="103"/>
        <v>0</v>
      </c>
      <c r="O185" s="10">
        <f t="shared" si="103"/>
        <v>0</v>
      </c>
      <c r="P185" s="10">
        <f t="shared" si="103"/>
        <v>0</v>
      </c>
      <c r="Q185" s="10">
        <f t="shared" si="103"/>
        <v>0</v>
      </c>
      <c r="R185" s="22">
        <f t="shared" si="104"/>
        <v>0</v>
      </c>
      <c r="S185" s="23">
        <f t="shared" si="105"/>
        <v>0</v>
      </c>
      <c r="T185" s="23">
        <f t="shared" si="105"/>
        <v>0</v>
      </c>
      <c r="U185" s="23">
        <f t="shared" si="105"/>
        <v>0</v>
      </c>
      <c r="W185" s="79" t="str">
        <f t="shared" si="107"/>
        <v>Capital Expenditure 4</v>
      </c>
      <c r="X185" s="64"/>
      <c r="Y185" s="64"/>
      <c r="Z185" s="64"/>
      <c r="AA185" s="64"/>
      <c r="AB185" s="60"/>
      <c r="AC185" s="64"/>
      <c r="AD185" s="64"/>
      <c r="AE185" s="64"/>
      <c r="AF185" s="64"/>
      <c r="AG185" s="60"/>
      <c r="AH185" s="64"/>
      <c r="AI185" s="64"/>
      <c r="AJ185" s="64"/>
    </row>
    <row r="186" spans="2:36" hidden="1" outlineLevel="1" x14ac:dyDescent="0.25">
      <c r="B186" s="229" t="s">
        <v>195</v>
      </c>
      <c r="E186" s="78" t="s">
        <v>87</v>
      </c>
      <c r="F186" s="21">
        <f t="shared" si="106"/>
        <v>0</v>
      </c>
      <c r="G186" s="21">
        <f t="shared" si="106"/>
        <v>0</v>
      </c>
      <c r="H186" s="21">
        <f t="shared" si="106"/>
        <v>0</v>
      </c>
      <c r="I186" s="10">
        <f t="shared" si="101"/>
        <v>0</v>
      </c>
      <c r="J186" s="10">
        <f t="shared" si="101"/>
        <v>0</v>
      </c>
      <c r="K186" s="10">
        <f t="shared" si="101"/>
        <v>0</v>
      </c>
      <c r="L186" s="10">
        <f t="shared" si="101"/>
        <v>0</v>
      </c>
      <c r="M186" s="17">
        <f t="shared" si="102"/>
        <v>0</v>
      </c>
      <c r="N186" s="10">
        <f t="shared" si="103"/>
        <v>0</v>
      </c>
      <c r="O186" s="10">
        <f t="shared" si="103"/>
        <v>0</v>
      </c>
      <c r="P186" s="10">
        <f t="shared" si="103"/>
        <v>0</v>
      </c>
      <c r="Q186" s="10">
        <f t="shared" si="103"/>
        <v>0</v>
      </c>
      <c r="R186" s="22">
        <f t="shared" si="104"/>
        <v>0</v>
      </c>
      <c r="S186" s="23">
        <f t="shared" si="105"/>
        <v>0</v>
      </c>
      <c r="T186" s="23">
        <f t="shared" si="105"/>
        <v>0</v>
      </c>
      <c r="U186" s="23">
        <f t="shared" si="105"/>
        <v>0</v>
      </c>
      <c r="W186" s="79" t="str">
        <f t="shared" si="107"/>
        <v>Capital Expenditure 5</v>
      </c>
      <c r="X186" s="64"/>
      <c r="Y186" s="64"/>
      <c r="Z186" s="64"/>
      <c r="AA186" s="64"/>
      <c r="AB186" s="60"/>
      <c r="AC186" s="64"/>
      <c r="AD186" s="64"/>
      <c r="AE186" s="64"/>
      <c r="AF186" s="64"/>
      <c r="AG186" s="60"/>
      <c r="AH186" s="64"/>
      <c r="AI186" s="64"/>
      <c r="AJ186" s="64"/>
    </row>
    <row r="187" spans="2:36" hidden="1" outlineLevel="1" x14ac:dyDescent="0.25">
      <c r="B187" s="229" t="s">
        <v>195</v>
      </c>
      <c r="E187" s="78" t="s">
        <v>88</v>
      </c>
      <c r="F187" s="21">
        <f t="shared" si="106"/>
        <v>0</v>
      </c>
      <c r="G187" s="21">
        <f t="shared" si="106"/>
        <v>0</v>
      </c>
      <c r="H187" s="21">
        <f t="shared" si="106"/>
        <v>0</v>
      </c>
      <c r="I187" s="10">
        <f t="shared" si="101"/>
        <v>0</v>
      </c>
      <c r="J187" s="10">
        <f t="shared" si="101"/>
        <v>0</v>
      </c>
      <c r="K187" s="10">
        <f t="shared" si="101"/>
        <v>0</v>
      </c>
      <c r="L187" s="10">
        <f t="shared" si="101"/>
        <v>0</v>
      </c>
      <c r="M187" s="17">
        <f t="shared" si="102"/>
        <v>0</v>
      </c>
      <c r="N187" s="10">
        <f t="shared" si="103"/>
        <v>0</v>
      </c>
      <c r="O187" s="10">
        <f t="shared" si="103"/>
        <v>0</v>
      </c>
      <c r="P187" s="10">
        <f t="shared" si="103"/>
        <v>0</v>
      </c>
      <c r="Q187" s="10">
        <f t="shared" si="103"/>
        <v>0</v>
      </c>
      <c r="R187" s="22">
        <f t="shared" si="104"/>
        <v>0</v>
      </c>
      <c r="S187" s="23">
        <f t="shared" si="105"/>
        <v>0</v>
      </c>
      <c r="T187" s="23">
        <f t="shared" si="105"/>
        <v>0</v>
      </c>
      <c r="U187" s="23">
        <f t="shared" si="105"/>
        <v>0</v>
      </c>
      <c r="W187" s="79" t="str">
        <f t="shared" si="107"/>
        <v>All Other</v>
      </c>
      <c r="X187" s="64"/>
      <c r="Y187" s="64"/>
      <c r="Z187" s="64"/>
      <c r="AA187" s="64"/>
      <c r="AB187" s="60"/>
      <c r="AC187" s="64"/>
      <c r="AD187" s="64"/>
      <c r="AE187" s="64"/>
      <c r="AF187" s="64"/>
      <c r="AG187" s="60"/>
      <c r="AH187" s="64"/>
      <c r="AI187" s="64"/>
      <c r="AJ187" s="64"/>
    </row>
    <row r="188" spans="2:36" hidden="1" outlineLevel="1" x14ac:dyDescent="0.25">
      <c r="B188" s="229" t="s">
        <v>195</v>
      </c>
      <c r="E188" s="78" t="s">
        <v>77</v>
      </c>
      <c r="F188" s="21">
        <f t="shared" si="106"/>
        <v>0</v>
      </c>
      <c r="G188" s="21">
        <f t="shared" si="106"/>
        <v>0</v>
      </c>
      <c r="H188" s="21">
        <f t="shared" si="106"/>
        <v>0</v>
      </c>
      <c r="I188" s="10">
        <f t="shared" si="101"/>
        <v>0</v>
      </c>
      <c r="J188" s="10">
        <f t="shared" si="101"/>
        <v>0</v>
      </c>
      <c r="K188" s="10">
        <f t="shared" si="101"/>
        <v>0</v>
      </c>
      <c r="L188" s="10">
        <f t="shared" si="101"/>
        <v>0</v>
      </c>
      <c r="M188" s="17">
        <f t="shared" si="102"/>
        <v>0</v>
      </c>
      <c r="N188" s="10">
        <f t="shared" si="103"/>
        <v>0</v>
      </c>
      <c r="O188" s="10">
        <f t="shared" si="103"/>
        <v>0</v>
      </c>
      <c r="P188" s="10">
        <f t="shared" si="103"/>
        <v>0</v>
      </c>
      <c r="Q188" s="10">
        <f t="shared" si="103"/>
        <v>0</v>
      </c>
      <c r="R188" s="22">
        <f t="shared" si="104"/>
        <v>0</v>
      </c>
      <c r="S188" s="23">
        <f t="shared" si="105"/>
        <v>0</v>
      </c>
      <c r="T188" s="23">
        <f t="shared" si="105"/>
        <v>0</v>
      </c>
      <c r="U188" s="23">
        <f t="shared" si="105"/>
        <v>0</v>
      </c>
      <c r="W188" s="79" t="str">
        <f t="shared" si="107"/>
        <v>blank</v>
      </c>
      <c r="X188" s="64"/>
      <c r="Y188" s="64"/>
      <c r="Z188" s="64"/>
      <c r="AA188" s="64"/>
      <c r="AB188" s="60"/>
      <c r="AC188" s="64"/>
      <c r="AD188" s="64"/>
      <c r="AE188" s="64"/>
      <c r="AF188" s="64"/>
      <c r="AG188" s="60"/>
      <c r="AH188" s="64"/>
      <c r="AI188" s="64"/>
      <c r="AJ188" s="64"/>
    </row>
    <row r="189" spans="2:36" ht="15.75" hidden="1" outlineLevel="1" thickBot="1" x14ac:dyDescent="0.3">
      <c r="E189" s="8" t="s">
        <v>27</v>
      </c>
      <c r="F189" s="9">
        <f t="shared" ref="F189:U189" si="108">SUM(F182:F188)</f>
        <v>0</v>
      </c>
      <c r="G189" s="9">
        <f t="shared" si="108"/>
        <v>0</v>
      </c>
      <c r="H189" s="9">
        <f t="shared" si="108"/>
        <v>0</v>
      </c>
      <c r="I189" s="11">
        <f t="shared" si="108"/>
        <v>0</v>
      </c>
      <c r="J189" s="11">
        <f t="shared" si="108"/>
        <v>0</v>
      </c>
      <c r="K189" s="11">
        <f t="shared" si="108"/>
        <v>0</v>
      </c>
      <c r="L189" s="11">
        <f t="shared" si="108"/>
        <v>0</v>
      </c>
      <c r="M189" s="18">
        <f t="shared" si="108"/>
        <v>0</v>
      </c>
      <c r="N189" s="11">
        <f t="shared" si="108"/>
        <v>0</v>
      </c>
      <c r="O189" s="11">
        <f t="shared" si="108"/>
        <v>0</v>
      </c>
      <c r="P189" s="11">
        <f t="shared" si="108"/>
        <v>0</v>
      </c>
      <c r="Q189" s="11">
        <f t="shared" si="108"/>
        <v>0</v>
      </c>
      <c r="R189" s="19">
        <f t="shared" si="108"/>
        <v>0</v>
      </c>
      <c r="S189" s="20">
        <f t="shared" si="108"/>
        <v>0</v>
      </c>
      <c r="T189" s="20">
        <f t="shared" si="108"/>
        <v>0</v>
      </c>
      <c r="U189" s="20">
        <f t="shared" si="108"/>
        <v>0</v>
      </c>
    </row>
    <row r="190" spans="2:36" ht="15.75" hidden="1" outlineLevel="1" thickTop="1" x14ac:dyDescent="0.25"/>
    <row r="191" spans="2:36" hidden="1" outlineLevel="1" x14ac:dyDescent="0.25">
      <c r="C191" s="229" t="s">
        <v>195</v>
      </c>
      <c r="E191" s="78" t="s">
        <v>89</v>
      </c>
      <c r="F191" s="21">
        <f>F422</f>
        <v>0</v>
      </c>
      <c r="G191" s="21">
        <f t="shared" ref="G191:H191" si="109">G422</f>
        <v>0</v>
      </c>
      <c r="H191" s="21">
        <f t="shared" si="109"/>
        <v>0</v>
      </c>
      <c r="I191" s="10">
        <f t="shared" ref="I191:L197" si="110">IF(X191="",I422,X191)</f>
        <v>0</v>
      </c>
      <c r="J191" s="10">
        <f t="shared" si="110"/>
        <v>0</v>
      </c>
      <c r="K191" s="10">
        <f t="shared" si="110"/>
        <v>0</v>
      </c>
      <c r="L191" s="10">
        <f t="shared" si="110"/>
        <v>0</v>
      </c>
      <c r="M191" s="17">
        <f t="shared" ref="M191:M197" si="111">SUM(I191:L191)</f>
        <v>0</v>
      </c>
      <c r="N191" s="10">
        <f t="shared" ref="N191:Q197" si="112">IF(AC191="",N422,AC191)</f>
        <v>0</v>
      </c>
      <c r="O191" s="10">
        <f t="shared" si="112"/>
        <v>0</v>
      </c>
      <c r="P191" s="10">
        <f t="shared" si="112"/>
        <v>0</v>
      </c>
      <c r="Q191" s="10">
        <f t="shared" si="112"/>
        <v>0</v>
      </c>
      <c r="R191" s="22">
        <f t="shared" ref="R191:R197" si="113">SUM(N191:Q191)</f>
        <v>0</v>
      </c>
      <c r="S191" s="23">
        <f t="shared" ref="S191:U197" si="114">IF(AH191="",S422,AH191)</f>
        <v>0</v>
      </c>
      <c r="T191" s="23">
        <f t="shared" si="114"/>
        <v>0</v>
      </c>
      <c r="U191" s="23">
        <f t="shared" si="114"/>
        <v>0</v>
      </c>
      <c r="W191" s="79" t="str">
        <f>E191</f>
        <v>Depreciation Expense 1</v>
      </c>
      <c r="X191" s="64"/>
      <c r="Y191" s="64"/>
      <c r="Z191" s="64"/>
      <c r="AA191" s="64"/>
      <c r="AB191" s="60"/>
      <c r="AC191" s="64"/>
      <c r="AD191" s="64"/>
      <c r="AE191" s="64"/>
      <c r="AF191" s="64"/>
      <c r="AG191" s="60"/>
      <c r="AH191" s="64"/>
      <c r="AI191" s="64"/>
      <c r="AJ191" s="64"/>
    </row>
    <row r="192" spans="2:36" hidden="1" outlineLevel="1" x14ac:dyDescent="0.25">
      <c r="C192" s="229" t="s">
        <v>195</v>
      </c>
      <c r="E192" s="78" t="s">
        <v>90</v>
      </c>
      <c r="F192" s="21">
        <f t="shared" ref="F192:H197" si="115">F423</f>
        <v>0</v>
      </c>
      <c r="G192" s="21">
        <f t="shared" si="115"/>
        <v>0</v>
      </c>
      <c r="H192" s="21">
        <f t="shared" si="115"/>
        <v>0</v>
      </c>
      <c r="I192" s="10">
        <f t="shared" si="110"/>
        <v>0</v>
      </c>
      <c r="J192" s="10">
        <f t="shared" si="110"/>
        <v>0</v>
      </c>
      <c r="K192" s="10">
        <f t="shared" si="110"/>
        <v>0</v>
      </c>
      <c r="L192" s="10">
        <f t="shared" si="110"/>
        <v>0</v>
      </c>
      <c r="M192" s="17">
        <f t="shared" si="111"/>
        <v>0</v>
      </c>
      <c r="N192" s="10">
        <f t="shared" si="112"/>
        <v>0</v>
      </c>
      <c r="O192" s="10">
        <f t="shared" si="112"/>
        <v>0</v>
      </c>
      <c r="P192" s="10">
        <f t="shared" si="112"/>
        <v>0</v>
      </c>
      <c r="Q192" s="10">
        <f t="shared" si="112"/>
        <v>0</v>
      </c>
      <c r="R192" s="22">
        <f t="shared" si="113"/>
        <v>0</v>
      </c>
      <c r="S192" s="23">
        <f t="shared" si="114"/>
        <v>0</v>
      </c>
      <c r="T192" s="23">
        <f t="shared" si="114"/>
        <v>0</v>
      </c>
      <c r="U192" s="23">
        <f t="shared" si="114"/>
        <v>0</v>
      </c>
      <c r="W192" s="79" t="str">
        <f t="shared" ref="W192:W197" si="116">E192</f>
        <v>Depreciation Expense 2</v>
      </c>
      <c r="X192" s="64"/>
      <c r="Y192" s="64"/>
      <c r="Z192" s="64"/>
      <c r="AA192" s="64"/>
      <c r="AB192" s="60"/>
      <c r="AC192" s="64"/>
      <c r="AD192" s="64"/>
      <c r="AE192" s="64"/>
      <c r="AF192" s="64"/>
      <c r="AG192" s="60"/>
      <c r="AH192" s="64"/>
      <c r="AI192" s="64"/>
      <c r="AJ192" s="64"/>
    </row>
    <row r="193" spans="2:36" hidden="1" outlineLevel="1" x14ac:dyDescent="0.25">
      <c r="C193" s="229" t="s">
        <v>195</v>
      </c>
      <c r="E193" s="78" t="s">
        <v>91</v>
      </c>
      <c r="F193" s="21">
        <f t="shared" si="115"/>
        <v>0</v>
      </c>
      <c r="G193" s="21">
        <f t="shared" si="115"/>
        <v>0</v>
      </c>
      <c r="H193" s="21">
        <f t="shared" si="115"/>
        <v>0</v>
      </c>
      <c r="I193" s="10">
        <f t="shared" si="110"/>
        <v>0</v>
      </c>
      <c r="J193" s="10">
        <f t="shared" si="110"/>
        <v>0</v>
      </c>
      <c r="K193" s="10">
        <f t="shared" si="110"/>
        <v>0</v>
      </c>
      <c r="L193" s="10">
        <f t="shared" si="110"/>
        <v>0</v>
      </c>
      <c r="M193" s="17">
        <f t="shared" si="111"/>
        <v>0</v>
      </c>
      <c r="N193" s="10">
        <f t="shared" si="112"/>
        <v>0</v>
      </c>
      <c r="O193" s="10">
        <f t="shared" si="112"/>
        <v>0</v>
      </c>
      <c r="P193" s="10">
        <f t="shared" si="112"/>
        <v>0</v>
      </c>
      <c r="Q193" s="10">
        <f t="shared" si="112"/>
        <v>0</v>
      </c>
      <c r="R193" s="22">
        <f t="shared" si="113"/>
        <v>0</v>
      </c>
      <c r="S193" s="23">
        <f t="shared" si="114"/>
        <v>0</v>
      </c>
      <c r="T193" s="23">
        <f t="shared" si="114"/>
        <v>0</v>
      </c>
      <c r="U193" s="23">
        <f t="shared" si="114"/>
        <v>0</v>
      </c>
      <c r="W193" s="79" t="str">
        <f t="shared" si="116"/>
        <v>Depreciation Expense 3</v>
      </c>
      <c r="X193" s="64"/>
      <c r="Y193" s="64"/>
      <c r="Z193" s="64"/>
      <c r="AA193" s="64"/>
      <c r="AB193" s="60"/>
      <c r="AC193" s="64"/>
      <c r="AD193" s="64"/>
      <c r="AE193" s="64"/>
      <c r="AF193" s="64"/>
      <c r="AG193" s="60"/>
      <c r="AH193" s="64"/>
      <c r="AI193" s="64"/>
      <c r="AJ193" s="64"/>
    </row>
    <row r="194" spans="2:36" hidden="1" outlineLevel="1" x14ac:dyDescent="0.25">
      <c r="C194" s="229" t="s">
        <v>195</v>
      </c>
      <c r="E194" s="78" t="s">
        <v>92</v>
      </c>
      <c r="F194" s="21">
        <f t="shared" si="115"/>
        <v>0</v>
      </c>
      <c r="G194" s="21">
        <f t="shared" si="115"/>
        <v>0</v>
      </c>
      <c r="H194" s="21">
        <f t="shared" si="115"/>
        <v>0</v>
      </c>
      <c r="I194" s="10">
        <f t="shared" si="110"/>
        <v>0</v>
      </c>
      <c r="J194" s="10">
        <f t="shared" si="110"/>
        <v>0</v>
      </c>
      <c r="K194" s="10">
        <f t="shared" si="110"/>
        <v>0</v>
      </c>
      <c r="L194" s="10">
        <f t="shared" si="110"/>
        <v>0</v>
      </c>
      <c r="M194" s="17">
        <f t="shared" si="111"/>
        <v>0</v>
      </c>
      <c r="N194" s="10">
        <f t="shared" si="112"/>
        <v>0</v>
      </c>
      <c r="O194" s="10">
        <f t="shared" si="112"/>
        <v>0</v>
      </c>
      <c r="P194" s="10">
        <f t="shared" si="112"/>
        <v>0</v>
      </c>
      <c r="Q194" s="10">
        <f t="shared" si="112"/>
        <v>0</v>
      </c>
      <c r="R194" s="22">
        <f t="shared" si="113"/>
        <v>0</v>
      </c>
      <c r="S194" s="23">
        <f t="shared" si="114"/>
        <v>0</v>
      </c>
      <c r="T194" s="23">
        <f t="shared" si="114"/>
        <v>0</v>
      </c>
      <c r="U194" s="23">
        <f t="shared" si="114"/>
        <v>0</v>
      </c>
      <c r="W194" s="79" t="str">
        <f t="shared" si="116"/>
        <v>Depreciation Expense 4</v>
      </c>
      <c r="X194" s="64"/>
      <c r="Y194" s="64"/>
      <c r="Z194" s="64"/>
      <c r="AA194" s="64"/>
      <c r="AB194" s="60"/>
      <c r="AC194" s="64"/>
      <c r="AD194" s="64"/>
      <c r="AE194" s="64"/>
      <c r="AF194" s="64"/>
      <c r="AG194" s="60"/>
      <c r="AH194" s="64"/>
      <c r="AI194" s="64"/>
      <c r="AJ194" s="64"/>
    </row>
    <row r="195" spans="2:36" hidden="1" outlineLevel="1" x14ac:dyDescent="0.25">
      <c r="C195" s="229" t="s">
        <v>195</v>
      </c>
      <c r="E195" s="78" t="s">
        <v>93</v>
      </c>
      <c r="F195" s="21">
        <f t="shared" si="115"/>
        <v>0</v>
      </c>
      <c r="G195" s="21">
        <f t="shared" si="115"/>
        <v>0</v>
      </c>
      <c r="H195" s="21">
        <f t="shared" si="115"/>
        <v>0</v>
      </c>
      <c r="I195" s="10">
        <f t="shared" si="110"/>
        <v>0</v>
      </c>
      <c r="J195" s="10">
        <f t="shared" si="110"/>
        <v>0</v>
      </c>
      <c r="K195" s="10">
        <f t="shared" si="110"/>
        <v>0</v>
      </c>
      <c r="L195" s="10">
        <f t="shared" si="110"/>
        <v>0</v>
      </c>
      <c r="M195" s="17">
        <f t="shared" si="111"/>
        <v>0</v>
      </c>
      <c r="N195" s="10">
        <f t="shared" si="112"/>
        <v>0</v>
      </c>
      <c r="O195" s="10">
        <f t="shared" si="112"/>
        <v>0</v>
      </c>
      <c r="P195" s="10">
        <f t="shared" si="112"/>
        <v>0</v>
      </c>
      <c r="Q195" s="10">
        <f t="shared" si="112"/>
        <v>0</v>
      </c>
      <c r="R195" s="22">
        <f t="shared" si="113"/>
        <v>0</v>
      </c>
      <c r="S195" s="23">
        <f t="shared" si="114"/>
        <v>0</v>
      </c>
      <c r="T195" s="23">
        <f t="shared" si="114"/>
        <v>0</v>
      </c>
      <c r="U195" s="23">
        <f t="shared" si="114"/>
        <v>0</v>
      </c>
      <c r="W195" s="79" t="str">
        <f t="shared" si="116"/>
        <v>Depreciation Expense 5</v>
      </c>
      <c r="X195" s="64"/>
      <c r="Y195" s="64"/>
      <c r="Z195" s="64"/>
      <c r="AA195" s="64"/>
      <c r="AB195" s="60"/>
      <c r="AC195" s="64"/>
      <c r="AD195" s="64"/>
      <c r="AE195" s="64"/>
      <c r="AF195" s="64"/>
      <c r="AG195" s="60"/>
      <c r="AH195" s="64"/>
      <c r="AI195" s="64"/>
      <c r="AJ195" s="64"/>
    </row>
    <row r="196" spans="2:36" hidden="1" outlineLevel="1" x14ac:dyDescent="0.25">
      <c r="C196" s="229" t="s">
        <v>195</v>
      </c>
      <c r="E196" s="78" t="s">
        <v>88</v>
      </c>
      <c r="F196" s="21">
        <f t="shared" si="115"/>
        <v>0</v>
      </c>
      <c r="G196" s="21">
        <f t="shared" si="115"/>
        <v>0</v>
      </c>
      <c r="H196" s="21">
        <f t="shared" si="115"/>
        <v>0</v>
      </c>
      <c r="I196" s="10">
        <f t="shared" si="110"/>
        <v>0</v>
      </c>
      <c r="J196" s="10">
        <f t="shared" si="110"/>
        <v>0</v>
      </c>
      <c r="K196" s="10">
        <f t="shared" si="110"/>
        <v>0</v>
      </c>
      <c r="L196" s="10">
        <f t="shared" si="110"/>
        <v>0</v>
      </c>
      <c r="M196" s="17">
        <f t="shared" si="111"/>
        <v>0</v>
      </c>
      <c r="N196" s="10">
        <f t="shared" si="112"/>
        <v>0</v>
      </c>
      <c r="O196" s="10">
        <f t="shared" si="112"/>
        <v>0</v>
      </c>
      <c r="P196" s="10">
        <f t="shared" si="112"/>
        <v>0</v>
      </c>
      <c r="Q196" s="10">
        <f t="shared" si="112"/>
        <v>0</v>
      </c>
      <c r="R196" s="22">
        <f t="shared" si="113"/>
        <v>0</v>
      </c>
      <c r="S196" s="23">
        <f t="shared" si="114"/>
        <v>0</v>
      </c>
      <c r="T196" s="23">
        <f t="shared" si="114"/>
        <v>0</v>
      </c>
      <c r="U196" s="23">
        <f t="shared" si="114"/>
        <v>0</v>
      </c>
      <c r="W196" s="79" t="str">
        <f t="shared" si="116"/>
        <v>All Other</v>
      </c>
      <c r="X196" s="64"/>
      <c r="Y196" s="64"/>
      <c r="Z196" s="64"/>
      <c r="AA196" s="64"/>
      <c r="AB196" s="60"/>
      <c r="AC196" s="64"/>
      <c r="AD196" s="64"/>
      <c r="AE196" s="64"/>
      <c r="AF196" s="64"/>
      <c r="AG196" s="60"/>
      <c r="AH196" s="64"/>
      <c r="AI196" s="64"/>
      <c r="AJ196" s="64"/>
    </row>
    <row r="197" spans="2:36" hidden="1" outlineLevel="1" x14ac:dyDescent="0.25">
      <c r="C197" s="229" t="s">
        <v>195</v>
      </c>
      <c r="E197" s="78" t="s">
        <v>77</v>
      </c>
      <c r="F197" s="21">
        <f t="shared" si="115"/>
        <v>0</v>
      </c>
      <c r="G197" s="21">
        <f t="shared" si="115"/>
        <v>0</v>
      </c>
      <c r="H197" s="21">
        <f t="shared" si="115"/>
        <v>0</v>
      </c>
      <c r="I197" s="10">
        <f t="shared" si="110"/>
        <v>0</v>
      </c>
      <c r="J197" s="10">
        <f t="shared" si="110"/>
        <v>0</v>
      </c>
      <c r="K197" s="10">
        <f t="shared" si="110"/>
        <v>0</v>
      </c>
      <c r="L197" s="10">
        <f t="shared" si="110"/>
        <v>0</v>
      </c>
      <c r="M197" s="17">
        <f t="shared" si="111"/>
        <v>0</v>
      </c>
      <c r="N197" s="10">
        <f t="shared" si="112"/>
        <v>0</v>
      </c>
      <c r="O197" s="10">
        <f t="shared" si="112"/>
        <v>0</v>
      </c>
      <c r="P197" s="10">
        <f t="shared" si="112"/>
        <v>0</v>
      </c>
      <c r="Q197" s="10">
        <f t="shared" si="112"/>
        <v>0</v>
      </c>
      <c r="R197" s="22">
        <f t="shared" si="113"/>
        <v>0</v>
      </c>
      <c r="S197" s="23">
        <f t="shared" si="114"/>
        <v>0</v>
      </c>
      <c r="T197" s="23">
        <f t="shared" si="114"/>
        <v>0</v>
      </c>
      <c r="U197" s="23">
        <f t="shared" si="114"/>
        <v>0</v>
      </c>
      <c r="W197" s="79" t="str">
        <f t="shared" si="116"/>
        <v>blank</v>
      </c>
      <c r="X197" s="64"/>
      <c r="Y197" s="64"/>
      <c r="Z197" s="64"/>
      <c r="AA197" s="64"/>
      <c r="AB197" s="60"/>
      <c r="AC197" s="64"/>
      <c r="AD197" s="64"/>
      <c r="AE197" s="64"/>
      <c r="AF197" s="64"/>
      <c r="AG197" s="60"/>
      <c r="AH197" s="64"/>
      <c r="AI197" s="64"/>
      <c r="AJ197" s="64"/>
    </row>
    <row r="198" spans="2:36" ht="15.75" hidden="1" outlineLevel="1" thickBot="1" x14ac:dyDescent="0.3">
      <c r="E198" s="8" t="s">
        <v>27</v>
      </c>
      <c r="F198" s="9">
        <f t="shared" ref="F198:U198" si="117">SUM(F191:F197)</f>
        <v>0</v>
      </c>
      <c r="G198" s="9">
        <f t="shared" si="117"/>
        <v>0</v>
      </c>
      <c r="H198" s="9">
        <f t="shared" si="117"/>
        <v>0</v>
      </c>
      <c r="I198" s="11">
        <f t="shared" si="117"/>
        <v>0</v>
      </c>
      <c r="J198" s="11">
        <f t="shared" si="117"/>
        <v>0</v>
      </c>
      <c r="K198" s="11">
        <f t="shared" si="117"/>
        <v>0</v>
      </c>
      <c r="L198" s="11">
        <f t="shared" si="117"/>
        <v>0</v>
      </c>
      <c r="M198" s="18">
        <f t="shared" si="117"/>
        <v>0</v>
      </c>
      <c r="N198" s="11">
        <f t="shared" si="117"/>
        <v>0</v>
      </c>
      <c r="O198" s="11">
        <f t="shared" si="117"/>
        <v>0</v>
      </c>
      <c r="P198" s="11">
        <f t="shared" si="117"/>
        <v>0</v>
      </c>
      <c r="Q198" s="11">
        <f t="shared" si="117"/>
        <v>0</v>
      </c>
      <c r="R198" s="19">
        <f t="shared" si="117"/>
        <v>0</v>
      </c>
      <c r="S198" s="20">
        <f t="shared" si="117"/>
        <v>0</v>
      </c>
      <c r="T198" s="20">
        <f t="shared" si="117"/>
        <v>0</v>
      </c>
      <c r="U198" s="20">
        <f t="shared" si="117"/>
        <v>0</v>
      </c>
    </row>
    <row r="199" spans="2:36" ht="15.75" hidden="1" outlineLevel="1" thickTop="1" x14ac:dyDescent="0.25"/>
    <row r="200" spans="2:36" hidden="1" outlineLevel="1" x14ac:dyDescent="0.25"/>
    <row r="201" spans="2:36" hidden="1" outlineLevel="1" x14ac:dyDescent="0.25"/>
    <row r="202" spans="2:36" hidden="1" outlineLevel="1" x14ac:dyDescent="0.25">
      <c r="E202" s="4" t="s">
        <v>101</v>
      </c>
      <c r="W202" s="4" t="str">
        <f>E202</f>
        <v>Asset Sale (Show As negative)</v>
      </c>
    </row>
    <row r="203" spans="2:36" hidden="1" outlineLevel="1" x14ac:dyDescent="0.25">
      <c r="E203" s="6" t="s">
        <v>25</v>
      </c>
      <c r="W203" s="61" t="s">
        <v>62</v>
      </c>
    </row>
    <row r="204" spans="2:36" hidden="1" outlineLevel="1" x14ac:dyDescent="0.25"/>
    <row r="205" spans="2:36" hidden="1" outlineLevel="1" x14ac:dyDescent="0.25">
      <c r="F205" s="12">
        <f>Inputs!$C$7</f>
        <v>2023</v>
      </c>
      <c r="G205" s="12">
        <f>Inputs!$C$8</f>
        <v>2024</v>
      </c>
      <c r="H205" s="12">
        <f>Inputs!$C$9</f>
        <v>2025</v>
      </c>
      <c r="I205" s="13" t="s">
        <v>1</v>
      </c>
      <c r="J205" s="13" t="s">
        <v>2</v>
      </c>
      <c r="K205" s="13" t="s">
        <v>3</v>
      </c>
      <c r="L205" s="13" t="s">
        <v>4</v>
      </c>
      <c r="M205" s="13">
        <f>Inputs!$C$10</f>
        <v>2026</v>
      </c>
      <c r="N205" s="14" t="s">
        <v>1</v>
      </c>
      <c r="O205" s="14" t="s">
        <v>2</v>
      </c>
      <c r="P205" s="14" t="s">
        <v>3</v>
      </c>
      <c r="Q205" s="14" t="s">
        <v>4</v>
      </c>
      <c r="R205" s="15">
        <f>Inputs!$C$11</f>
        <v>2027</v>
      </c>
      <c r="S205" s="16">
        <f>Inputs!$C$12</f>
        <v>2028</v>
      </c>
      <c r="T205" s="16">
        <f>Inputs!$C$13</f>
        <v>2029</v>
      </c>
      <c r="U205" s="16">
        <f>Inputs!$C$14</f>
        <v>2030</v>
      </c>
      <c r="X205" s="13" t="s">
        <v>1</v>
      </c>
      <c r="Y205" s="13" t="s">
        <v>2</v>
      </c>
      <c r="Z205" s="13" t="s">
        <v>3</v>
      </c>
      <c r="AA205" s="13" t="s">
        <v>4</v>
      </c>
      <c r="AB205" s="13">
        <f>Inputs!$C$10</f>
        <v>2026</v>
      </c>
      <c r="AC205" s="14" t="s">
        <v>1</v>
      </c>
      <c r="AD205" s="14" t="s">
        <v>2</v>
      </c>
      <c r="AE205" s="14" t="s">
        <v>3</v>
      </c>
      <c r="AF205" s="14" t="s">
        <v>4</v>
      </c>
      <c r="AG205" s="15">
        <f>Inputs!$C$11</f>
        <v>2027</v>
      </c>
      <c r="AH205" s="16">
        <f>Inputs!$C$12</f>
        <v>2028</v>
      </c>
      <c r="AI205" s="16">
        <f>Inputs!$C$13</f>
        <v>2029</v>
      </c>
      <c r="AJ205" s="16">
        <f>Inputs!$C$14</f>
        <v>2030</v>
      </c>
    </row>
    <row r="206" spans="2:36" hidden="1" outlineLevel="1" x14ac:dyDescent="0.25">
      <c r="F206" s="71" t="s">
        <v>63</v>
      </c>
      <c r="G206" s="71" t="s">
        <v>63</v>
      </c>
      <c r="H206" s="71" t="s">
        <v>63</v>
      </c>
      <c r="I206" s="71" t="s">
        <v>63</v>
      </c>
      <c r="J206" s="71" t="s">
        <v>63</v>
      </c>
      <c r="K206" s="71" t="s">
        <v>63</v>
      </c>
      <c r="L206" s="71" t="s">
        <v>63</v>
      </c>
      <c r="M206" s="71" t="s">
        <v>63</v>
      </c>
      <c r="N206" s="71" t="s">
        <v>63</v>
      </c>
      <c r="O206" s="71" t="s">
        <v>63</v>
      </c>
      <c r="P206" s="71" t="s">
        <v>63</v>
      </c>
      <c r="Q206" s="71" t="s">
        <v>63</v>
      </c>
      <c r="R206" s="71" t="s">
        <v>63</v>
      </c>
      <c r="S206" s="71" t="s">
        <v>63</v>
      </c>
      <c r="T206" s="71" t="s">
        <v>63</v>
      </c>
      <c r="U206" s="71" t="s">
        <v>63</v>
      </c>
      <c r="X206" s="63" t="s">
        <v>30</v>
      </c>
      <c r="Y206" s="63" t="s">
        <v>30</v>
      </c>
      <c r="Z206" s="63" t="s">
        <v>30</v>
      </c>
      <c r="AA206" s="63" t="s">
        <v>30</v>
      </c>
      <c r="AB206" s="62"/>
      <c r="AC206" s="63" t="s">
        <v>30</v>
      </c>
      <c r="AD206" s="63" t="s">
        <v>30</v>
      </c>
      <c r="AE206" s="63" t="s">
        <v>30</v>
      </c>
      <c r="AF206" s="63" t="s">
        <v>30</v>
      </c>
      <c r="AG206" s="62"/>
      <c r="AH206" s="63" t="s">
        <v>30</v>
      </c>
      <c r="AI206" s="63" t="s">
        <v>30</v>
      </c>
      <c r="AJ206" s="63" t="s">
        <v>30</v>
      </c>
    </row>
    <row r="207" spans="2:36" hidden="1" outlineLevel="1" x14ac:dyDescent="0.25">
      <c r="B207" s="229" t="s">
        <v>195</v>
      </c>
      <c r="E207" s="78" t="s">
        <v>94</v>
      </c>
      <c r="F207" s="21">
        <f>F438</f>
        <v>0</v>
      </c>
      <c r="G207" s="21">
        <f t="shared" ref="G207:H207" si="118">G438</f>
        <v>0</v>
      </c>
      <c r="H207" s="21">
        <f t="shared" si="118"/>
        <v>0</v>
      </c>
      <c r="I207" s="10">
        <f t="shared" ref="I207:L213" si="119">IF(X207="",I438,X207)</f>
        <v>0</v>
      </c>
      <c r="J207" s="10">
        <f t="shared" si="119"/>
        <v>0</v>
      </c>
      <c r="K207" s="10">
        <f t="shared" si="119"/>
        <v>0</v>
      </c>
      <c r="L207" s="10">
        <f t="shared" si="119"/>
        <v>0</v>
      </c>
      <c r="M207" s="17">
        <f t="shared" ref="M207:M213" si="120">SUM(I207:L207)</f>
        <v>0</v>
      </c>
      <c r="N207" s="10">
        <f t="shared" ref="N207:Q213" si="121">IF(AC207="",N438,AC207)</f>
        <v>0</v>
      </c>
      <c r="O207" s="10">
        <f t="shared" si="121"/>
        <v>0</v>
      </c>
      <c r="P207" s="10">
        <f t="shared" si="121"/>
        <v>0</v>
      </c>
      <c r="Q207" s="10">
        <f t="shared" si="121"/>
        <v>0</v>
      </c>
      <c r="R207" s="22">
        <f t="shared" ref="R207:R213" si="122">SUM(N207:Q207)</f>
        <v>0</v>
      </c>
      <c r="S207" s="23">
        <f t="shared" ref="S207:U213" si="123">IF(AH207="",S438,AH207)</f>
        <v>0</v>
      </c>
      <c r="T207" s="23">
        <f t="shared" si="123"/>
        <v>0</v>
      </c>
      <c r="U207" s="23">
        <f t="shared" si="123"/>
        <v>0</v>
      </c>
      <c r="W207" s="79" t="str">
        <f>E207</f>
        <v>Asset Sale 1</v>
      </c>
      <c r="X207" s="64"/>
      <c r="Y207" s="64"/>
      <c r="Z207" s="64"/>
      <c r="AA207" s="64"/>
      <c r="AB207" s="60"/>
      <c r="AC207" s="64"/>
      <c r="AD207" s="64"/>
      <c r="AE207" s="64"/>
      <c r="AF207" s="64"/>
      <c r="AG207" s="60"/>
      <c r="AH207" s="64"/>
      <c r="AI207" s="64"/>
      <c r="AJ207" s="64"/>
    </row>
    <row r="208" spans="2:36" hidden="1" outlineLevel="1" x14ac:dyDescent="0.25">
      <c r="B208" s="229" t="s">
        <v>195</v>
      </c>
      <c r="E208" s="78" t="s">
        <v>95</v>
      </c>
      <c r="F208" s="21">
        <f t="shared" ref="F208:H213" si="124">F439</f>
        <v>0</v>
      </c>
      <c r="G208" s="21">
        <f t="shared" si="124"/>
        <v>0</v>
      </c>
      <c r="H208" s="21">
        <f t="shared" si="124"/>
        <v>0</v>
      </c>
      <c r="I208" s="10">
        <f t="shared" si="119"/>
        <v>0</v>
      </c>
      <c r="J208" s="10">
        <f t="shared" si="119"/>
        <v>0</v>
      </c>
      <c r="K208" s="10">
        <f t="shared" si="119"/>
        <v>0</v>
      </c>
      <c r="L208" s="10">
        <f t="shared" si="119"/>
        <v>0</v>
      </c>
      <c r="M208" s="17">
        <f t="shared" si="120"/>
        <v>0</v>
      </c>
      <c r="N208" s="10">
        <f t="shared" si="121"/>
        <v>0</v>
      </c>
      <c r="O208" s="10">
        <f t="shared" si="121"/>
        <v>0</v>
      </c>
      <c r="P208" s="10">
        <f t="shared" si="121"/>
        <v>0</v>
      </c>
      <c r="Q208" s="10">
        <f t="shared" si="121"/>
        <v>0</v>
      </c>
      <c r="R208" s="22">
        <f t="shared" si="122"/>
        <v>0</v>
      </c>
      <c r="S208" s="23">
        <f t="shared" si="123"/>
        <v>0</v>
      </c>
      <c r="T208" s="23">
        <f t="shared" si="123"/>
        <v>0</v>
      </c>
      <c r="U208" s="23">
        <f t="shared" si="123"/>
        <v>0</v>
      </c>
      <c r="W208" s="79" t="str">
        <f t="shared" ref="W208:W213" si="125">E208</f>
        <v>Asset Sale 2</v>
      </c>
      <c r="X208" s="64"/>
      <c r="Y208" s="64"/>
      <c r="Z208" s="64"/>
      <c r="AA208" s="64"/>
      <c r="AB208" s="60"/>
      <c r="AC208" s="64"/>
      <c r="AD208" s="64"/>
      <c r="AE208" s="64"/>
      <c r="AF208" s="64"/>
      <c r="AG208" s="60"/>
      <c r="AH208" s="64"/>
      <c r="AI208" s="64"/>
      <c r="AJ208" s="64"/>
    </row>
    <row r="209" spans="2:36" hidden="1" outlineLevel="1" x14ac:dyDescent="0.25">
      <c r="B209" s="229" t="s">
        <v>195</v>
      </c>
      <c r="E209" s="78" t="s">
        <v>96</v>
      </c>
      <c r="F209" s="21">
        <f t="shared" si="124"/>
        <v>0</v>
      </c>
      <c r="G209" s="21">
        <f t="shared" si="124"/>
        <v>0</v>
      </c>
      <c r="H209" s="21">
        <f t="shared" si="124"/>
        <v>0</v>
      </c>
      <c r="I209" s="10">
        <f t="shared" si="119"/>
        <v>0</v>
      </c>
      <c r="J209" s="10">
        <f t="shared" si="119"/>
        <v>0</v>
      </c>
      <c r="K209" s="10">
        <f t="shared" si="119"/>
        <v>0</v>
      </c>
      <c r="L209" s="10">
        <f t="shared" si="119"/>
        <v>0</v>
      </c>
      <c r="M209" s="17">
        <f t="shared" si="120"/>
        <v>0</v>
      </c>
      <c r="N209" s="10">
        <f t="shared" si="121"/>
        <v>0</v>
      </c>
      <c r="O209" s="10">
        <f t="shared" si="121"/>
        <v>0</v>
      </c>
      <c r="P209" s="10">
        <f t="shared" si="121"/>
        <v>0</v>
      </c>
      <c r="Q209" s="10">
        <f t="shared" si="121"/>
        <v>0</v>
      </c>
      <c r="R209" s="22">
        <f t="shared" si="122"/>
        <v>0</v>
      </c>
      <c r="S209" s="23">
        <f t="shared" si="123"/>
        <v>0</v>
      </c>
      <c r="T209" s="23">
        <f t="shared" si="123"/>
        <v>0</v>
      </c>
      <c r="U209" s="23">
        <f t="shared" si="123"/>
        <v>0</v>
      </c>
      <c r="W209" s="79" t="str">
        <f t="shared" si="125"/>
        <v>Asset Sale 3</v>
      </c>
      <c r="X209" s="64"/>
      <c r="Y209" s="64"/>
      <c r="Z209" s="64"/>
      <c r="AA209" s="64"/>
      <c r="AB209" s="60"/>
      <c r="AC209" s="64"/>
      <c r="AD209" s="64"/>
      <c r="AE209" s="64"/>
      <c r="AF209" s="64"/>
      <c r="AG209" s="60"/>
      <c r="AH209" s="64"/>
      <c r="AI209" s="64"/>
      <c r="AJ209" s="64"/>
    </row>
    <row r="210" spans="2:36" hidden="1" outlineLevel="1" x14ac:dyDescent="0.25">
      <c r="B210" s="229" t="s">
        <v>195</v>
      </c>
      <c r="E210" s="78" t="s">
        <v>97</v>
      </c>
      <c r="F210" s="21">
        <f t="shared" si="124"/>
        <v>0</v>
      </c>
      <c r="G210" s="21">
        <f t="shared" si="124"/>
        <v>0</v>
      </c>
      <c r="H210" s="21">
        <f t="shared" si="124"/>
        <v>0</v>
      </c>
      <c r="I210" s="10">
        <f t="shared" si="119"/>
        <v>0</v>
      </c>
      <c r="J210" s="10">
        <f t="shared" si="119"/>
        <v>0</v>
      </c>
      <c r="K210" s="10">
        <f t="shared" si="119"/>
        <v>0</v>
      </c>
      <c r="L210" s="10">
        <f t="shared" si="119"/>
        <v>0</v>
      </c>
      <c r="M210" s="17">
        <f t="shared" si="120"/>
        <v>0</v>
      </c>
      <c r="N210" s="10">
        <f t="shared" si="121"/>
        <v>0</v>
      </c>
      <c r="O210" s="10">
        <f t="shared" si="121"/>
        <v>0</v>
      </c>
      <c r="P210" s="10">
        <f t="shared" si="121"/>
        <v>0</v>
      </c>
      <c r="Q210" s="10">
        <f t="shared" si="121"/>
        <v>0</v>
      </c>
      <c r="R210" s="22">
        <f t="shared" si="122"/>
        <v>0</v>
      </c>
      <c r="S210" s="23">
        <f t="shared" si="123"/>
        <v>0</v>
      </c>
      <c r="T210" s="23">
        <f t="shared" si="123"/>
        <v>0</v>
      </c>
      <c r="U210" s="23">
        <f t="shared" si="123"/>
        <v>0</v>
      </c>
      <c r="W210" s="79" t="str">
        <f t="shared" si="125"/>
        <v>Asset Sale 4</v>
      </c>
      <c r="X210" s="64"/>
      <c r="Y210" s="64"/>
      <c r="Z210" s="64"/>
      <c r="AA210" s="64"/>
      <c r="AB210" s="60"/>
      <c r="AC210" s="64"/>
      <c r="AD210" s="64"/>
      <c r="AE210" s="64"/>
      <c r="AF210" s="64"/>
      <c r="AG210" s="60"/>
      <c r="AH210" s="64"/>
      <c r="AI210" s="64"/>
      <c r="AJ210" s="64"/>
    </row>
    <row r="211" spans="2:36" hidden="1" outlineLevel="1" x14ac:dyDescent="0.25">
      <c r="B211" s="229" t="s">
        <v>195</v>
      </c>
      <c r="E211" s="78" t="s">
        <v>98</v>
      </c>
      <c r="F211" s="21">
        <f t="shared" si="124"/>
        <v>0</v>
      </c>
      <c r="G211" s="21">
        <f t="shared" si="124"/>
        <v>0</v>
      </c>
      <c r="H211" s="21">
        <f t="shared" si="124"/>
        <v>0</v>
      </c>
      <c r="I211" s="10">
        <f t="shared" si="119"/>
        <v>0</v>
      </c>
      <c r="J211" s="10">
        <f t="shared" si="119"/>
        <v>0</v>
      </c>
      <c r="K211" s="10">
        <f t="shared" si="119"/>
        <v>0</v>
      </c>
      <c r="L211" s="10">
        <f t="shared" si="119"/>
        <v>0</v>
      </c>
      <c r="M211" s="17">
        <f t="shared" si="120"/>
        <v>0</v>
      </c>
      <c r="N211" s="10">
        <f t="shared" si="121"/>
        <v>0</v>
      </c>
      <c r="O211" s="10">
        <f t="shared" si="121"/>
        <v>0</v>
      </c>
      <c r="P211" s="10">
        <f t="shared" si="121"/>
        <v>0</v>
      </c>
      <c r="Q211" s="10">
        <f t="shared" si="121"/>
        <v>0</v>
      </c>
      <c r="R211" s="22">
        <f t="shared" si="122"/>
        <v>0</v>
      </c>
      <c r="S211" s="23">
        <f t="shared" si="123"/>
        <v>0</v>
      </c>
      <c r="T211" s="23">
        <f t="shared" si="123"/>
        <v>0</v>
      </c>
      <c r="U211" s="23">
        <f t="shared" si="123"/>
        <v>0</v>
      </c>
      <c r="W211" s="79" t="str">
        <f t="shared" si="125"/>
        <v>Asset Sale 5</v>
      </c>
      <c r="X211" s="64"/>
      <c r="Y211" s="64"/>
      <c r="Z211" s="64"/>
      <c r="AA211" s="64"/>
      <c r="AB211" s="60"/>
      <c r="AC211" s="64"/>
      <c r="AD211" s="64"/>
      <c r="AE211" s="64"/>
      <c r="AF211" s="64"/>
      <c r="AG211" s="60"/>
      <c r="AH211" s="64"/>
      <c r="AI211" s="64"/>
      <c r="AJ211" s="64"/>
    </row>
    <row r="212" spans="2:36" hidden="1" outlineLevel="1" x14ac:dyDescent="0.25">
      <c r="B212" s="229" t="s">
        <v>195</v>
      </c>
      <c r="E212" s="78" t="s">
        <v>88</v>
      </c>
      <c r="F212" s="21">
        <f t="shared" si="124"/>
        <v>0</v>
      </c>
      <c r="G212" s="21">
        <f t="shared" si="124"/>
        <v>0</v>
      </c>
      <c r="H212" s="21">
        <f t="shared" si="124"/>
        <v>0</v>
      </c>
      <c r="I212" s="10">
        <f t="shared" si="119"/>
        <v>0</v>
      </c>
      <c r="J212" s="10">
        <f t="shared" si="119"/>
        <v>0</v>
      </c>
      <c r="K212" s="10">
        <f t="shared" si="119"/>
        <v>0</v>
      </c>
      <c r="L212" s="10">
        <f t="shared" si="119"/>
        <v>0</v>
      </c>
      <c r="M212" s="17">
        <f t="shared" si="120"/>
        <v>0</v>
      </c>
      <c r="N212" s="10">
        <f t="shared" si="121"/>
        <v>0</v>
      </c>
      <c r="O212" s="10">
        <f t="shared" si="121"/>
        <v>0</v>
      </c>
      <c r="P212" s="10">
        <f t="shared" si="121"/>
        <v>0</v>
      </c>
      <c r="Q212" s="10">
        <f t="shared" si="121"/>
        <v>0</v>
      </c>
      <c r="R212" s="22">
        <f t="shared" si="122"/>
        <v>0</v>
      </c>
      <c r="S212" s="23">
        <f t="shared" si="123"/>
        <v>0</v>
      </c>
      <c r="T212" s="23">
        <f t="shared" si="123"/>
        <v>0</v>
      </c>
      <c r="U212" s="23">
        <f t="shared" si="123"/>
        <v>0</v>
      </c>
      <c r="W212" s="79" t="str">
        <f t="shared" si="125"/>
        <v>All Other</v>
      </c>
      <c r="X212" s="64"/>
      <c r="Y212" s="64"/>
      <c r="Z212" s="64"/>
      <c r="AA212" s="64"/>
      <c r="AB212" s="60"/>
      <c r="AC212" s="64"/>
      <c r="AD212" s="64"/>
      <c r="AE212" s="64"/>
      <c r="AF212" s="64"/>
      <c r="AG212" s="60"/>
      <c r="AH212" s="64"/>
      <c r="AI212" s="64"/>
      <c r="AJ212" s="64"/>
    </row>
    <row r="213" spans="2:36" hidden="1" outlineLevel="1" x14ac:dyDescent="0.25">
      <c r="B213" s="229" t="s">
        <v>195</v>
      </c>
      <c r="E213" s="78" t="s">
        <v>77</v>
      </c>
      <c r="F213" s="21">
        <f t="shared" si="124"/>
        <v>0</v>
      </c>
      <c r="G213" s="21">
        <f t="shared" si="124"/>
        <v>0</v>
      </c>
      <c r="H213" s="21">
        <f t="shared" si="124"/>
        <v>0</v>
      </c>
      <c r="I213" s="10">
        <f t="shared" si="119"/>
        <v>0</v>
      </c>
      <c r="J213" s="10">
        <f t="shared" si="119"/>
        <v>0</v>
      </c>
      <c r="K213" s="10">
        <f t="shared" si="119"/>
        <v>0</v>
      </c>
      <c r="L213" s="10">
        <f t="shared" si="119"/>
        <v>0</v>
      </c>
      <c r="M213" s="17">
        <f t="shared" si="120"/>
        <v>0</v>
      </c>
      <c r="N213" s="10">
        <f t="shared" si="121"/>
        <v>0</v>
      </c>
      <c r="O213" s="10">
        <f t="shared" si="121"/>
        <v>0</v>
      </c>
      <c r="P213" s="10">
        <f t="shared" si="121"/>
        <v>0</v>
      </c>
      <c r="Q213" s="10">
        <f t="shared" si="121"/>
        <v>0</v>
      </c>
      <c r="R213" s="22">
        <f t="shared" si="122"/>
        <v>0</v>
      </c>
      <c r="S213" s="23">
        <f t="shared" si="123"/>
        <v>0</v>
      </c>
      <c r="T213" s="23">
        <f t="shared" si="123"/>
        <v>0</v>
      </c>
      <c r="U213" s="23">
        <f t="shared" si="123"/>
        <v>0</v>
      </c>
      <c r="W213" s="79" t="str">
        <f t="shared" si="125"/>
        <v>blank</v>
      </c>
      <c r="X213" s="64"/>
      <c r="Y213" s="64"/>
      <c r="Z213" s="64"/>
      <c r="AA213" s="64"/>
      <c r="AB213" s="60"/>
      <c r="AC213" s="64"/>
      <c r="AD213" s="64"/>
      <c r="AE213" s="64"/>
      <c r="AF213" s="64"/>
      <c r="AG213" s="60"/>
      <c r="AH213" s="64"/>
      <c r="AI213" s="64"/>
      <c r="AJ213" s="64"/>
    </row>
    <row r="214" spans="2:36" ht="15.75" hidden="1" outlineLevel="1" thickBot="1" x14ac:dyDescent="0.3">
      <c r="E214" s="8" t="s">
        <v>27</v>
      </c>
      <c r="F214" s="9">
        <f t="shared" ref="F214:U214" si="126">SUM(F207:F213)</f>
        <v>0</v>
      </c>
      <c r="G214" s="9">
        <f t="shared" si="126"/>
        <v>0</v>
      </c>
      <c r="H214" s="9">
        <f t="shared" si="126"/>
        <v>0</v>
      </c>
      <c r="I214" s="11">
        <f t="shared" si="126"/>
        <v>0</v>
      </c>
      <c r="J214" s="11">
        <f t="shared" si="126"/>
        <v>0</v>
      </c>
      <c r="K214" s="11">
        <f t="shared" si="126"/>
        <v>0</v>
      </c>
      <c r="L214" s="11">
        <f t="shared" si="126"/>
        <v>0</v>
      </c>
      <c r="M214" s="18">
        <f t="shared" si="126"/>
        <v>0</v>
      </c>
      <c r="N214" s="11">
        <f t="shared" si="126"/>
        <v>0</v>
      </c>
      <c r="O214" s="11">
        <f t="shared" si="126"/>
        <v>0</v>
      </c>
      <c r="P214" s="11">
        <f t="shared" si="126"/>
        <v>0</v>
      </c>
      <c r="Q214" s="11">
        <f t="shared" si="126"/>
        <v>0</v>
      </c>
      <c r="R214" s="19">
        <f t="shared" si="126"/>
        <v>0</v>
      </c>
      <c r="S214" s="20">
        <f t="shared" si="126"/>
        <v>0</v>
      </c>
      <c r="T214" s="20">
        <f t="shared" si="126"/>
        <v>0</v>
      </c>
      <c r="U214" s="20">
        <f t="shared" si="126"/>
        <v>0</v>
      </c>
    </row>
    <row r="215" spans="2:36" ht="15.75" hidden="1" outlineLevel="1" thickTop="1" x14ac:dyDescent="0.25"/>
    <row r="216" spans="2:36" hidden="1" outlineLevel="1" x14ac:dyDescent="0.25"/>
    <row r="217" spans="2:36" hidden="1" outlineLevel="1" x14ac:dyDescent="0.25"/>
    <row r="218" spans="2:36" hidden="1" outlineLevel="1" x14ac:dyDescent="0.25">
      <c r="E218" s="4" t="s">
        <v>105</v>
      </c>
      <c r="W218" s="4" t="str">
        <f>E218</f>
        <v>Restructuring Costs</v>
      </c>
    </row>
    <row r="219" spans="2:36" hidden="1" outlineLevel="1" x14ac:dyDescent="0.25">
      <c r="E219" s="6" t="s">
        <v>25</v>
      </c>
      <c r="W219" s="61" t="s">
        <v>62</v>
      </c>
    </row>
    <row r="220" spans="2:36" hidden="1" outlineLevel="1" x14ac:dyDescent="0.25"/>
    <row r="221" spans="2:36" hidden="1" outlineLevel="1" x14ac:dyDescent="0.25">
      <c r="F221" s="12">
        <f>Inputs!$C$7</f>
        <v>2023</v>
      </c>
      <c r="G221" s="12">
        <f>Inputs!$C$8</f>
        <v>2024</v>
      </c>
      <c r="H221" s="12">
        <f>Inputs!$C$9</f>
        <v>2025</v>
      </c>
      <c r="I221" s="13" t="s">
        <v>1</v>
      </c>
      <c r="J221" s="13" t="s">
        <v>2</v>
      </c>
      <c r="K221" s="13" t="s">
        <v>3</v>
      </c>
      <c r="L221" s="13" t="s">
        <v>4</v>
      </c>
      <c r="M221" s="13">
        <f>Inputs!$C$10</f>
        <v>2026</v>
      </c>
      <c r="N221" s="14" t="s">
        <v>1</v>
      </c>
      <c r="O221" s="14" t="s">
        <v>2</v>
      </c>
      <c r="P221" s="14" t="s">
        <v>3</v>
      </c>
      <c r="Q221" s="14" t="s">
        <v>4</v>
      </c>
      <c r="R221" s="15">
        <f>Inputs!$C$11</f>
        <v>2027</v>
      </c>
      <c r="S221" s="16">
        <f>Inputs!$C$12</f>
        <v>2028</v>
      </c>
      <c r="T221" s="16">
        <f>Inputs!$C$13</f>
        <v>2029</v>
      </c>
      <c r="U221" s="16">
        <f>Inputs!$C$14</f>
        <v>2030</v>
      </c>
      <c r="X221" s="13" t="s">
        <v>1</v>
      </c>
      <c r="Y221" s="13" t="s">
        <v>2</v>
      </c>
      <c r="Z221" s="13" t="s">
        <v>3</v>
      </c>
      <c r="AA221" s="13" t="s">
        <v>4</v>
      </c>
      <c r="AB221" s="13">
        <f>Inputs!$C$10</f>
        <v>2026</v>
      </c>
      <c r="AC221" s="14" t="s">
        <v>1</v>
      </c>
      <c r="AD221" s="14" t="s">
        <v>2</v>
      </c>
      <c r="AE221" s="14" t="s">
        <v>3</v>
      </c>
      <c r="AF221" s="14" t="s">
        <v>4</v>
      </c>
      <c r="AG221" s="15">
        <f>Inputs!$C$11</f>
        <v>2027</v>
      </c>
      <c r="AH221" s="16">
        <f>Inputs!$C$12</f>
        <v>2028</v>
      </c>
      <c r="AI221" s="16">
        <f>Inputs!$C$13</f>
        <v>2029</v>
      </c>
      <c r="AJ221" s="16">
        <f>Inputs!$C$14</f>
        <v>2030</v>
      </c>
    </row>
    <row r="222" spans="2:36" hidden="1" outlineLevel="1" x14ac:dyDescent="0.25">
      <c r="F222" s="71" t="s">
        <v>63</v>
      </c>
      <c r="G222" s="71" t="s">
        <v>63</v>
      </c>
      <c r="H222" s="71" t="s">
        <v>63</v>
      </c>
      <c r="I222" s="71" t="s">
        <v>63</v>
      </c>
      <c r="J222" s="71" t="s">
        <v>63</v>
      </c>
      <c r="K222" s="71" t="s">
        <v>63</v>
      </c>
      <c r="L222" s="71" t="s">
        <v>63</v>
      </c>
      <c r="M222" s="71" t="s">
        <v>63</v>
      </c>
      <c r="N222" s="71" t="s">
        <v>63</v>
      </c>
      <c r="O222" s="71" t="s">
        <v>63</v>
      </c>
      <c r="P222" s="71" t="s">
        <v>63</v>
      </c>
      <c r="Q222" s="71" t="s">
        <v>63</v>
      </c>
      <c r="R222" s="71" t="s">
        <v>63</v>
      </c>
      <c r="S222" s="71" t="s">
        <v>63</v>
      </c>
      <c r="T222" s="71" t="s">
        <v>63</v>
      </c>
      <c r="U222" s="71" t="s">
        <v>63</v>
      </c>
      <c r="X222" s="63" t="s">
        <v>30</v>
      </c>
      <c r="Y222" s="63" t="s">
        <v>30</v>
      </c>
      <c r="Z222" s="63" t="s">
        <v>30</v>
      </c>
      <c r="AA222" s="63" t="s">
        <v>30</v>
      </c>
      <c r="AB222" s="62"/>
      <c r="AC222" s="63" t="s">
        <v>30</v>
      </c>
      <c r="AD222" s="63" t="s">
        <v>30</v>
      </c>
      <c r="AE222" s="63" t="s">
        <v>30</v>
      </c>
      <c r="AF222" s="63" t="s">
        <v>30</v>
      </c>
      <c r="AG222" s="62"/>
      <c r="AH222" s="63" t="s">
        <v>30</v>
      </c>
      <c r="AI222" s="63" t="s">
        <v>30</v>
      </c>
      <c r="AJ222" s="63" t="s">
        <v>30</v>
      </c>
    </row>
    <row r="223" spans="2:36" hidden="1" outlineLevel="1" x14ac:dyDescent="0.25">
      <c r="B223" s="229" t="s">
        <v>195</v>
      </c>
      <c r="C223" s="229" t="s">
        <v>195</v>
      </c>
      <c r="E223" s="78" t="s">
        <v>106</v>
      </c>
      <c r="F223" s="21">
        <f>F454</f>
        <v>0</v>
      </c>
      <c r="G223" s="21">
        <f t="shared" ref="G223:H223" si="127">G454</f>
        <v>0</v>
      </c>
      <c r="H223" s="21">
        <f t="shared" si="127"/>
        <v>0</v>
      </c>
      <c r="I223" s="10">
        <f t="shared" ref="I223:L229" si="128">IF(X223="",I454,X223)</f>
        <v>0</v>
      </c>
      <c r="J223" s="10">
        <f t="shared" si="128"/>
        <v>0</v>
      </c>
      <c r="K223" s="10">
        <f t="shared" si="128"/>
        <v>0</v>
      </c>
      <c r="L223" s="10">
        <f t="shared" si="128"/>
        <v>0</v>
      </c>
      <c r="M223" s="17">
        <f t="shared" ref="M223:M229" si="129">SUM(I223:L223)</f>
        <v>0</v>
      </c>
      <c r="N223" s="10">
        <f t="shared" ref="N223:Q229" si="130">IF(AC223="",N454,AC223)</f>
        <v>0</v>
      </c>
      <c r="O223" s="10">
        <f t="shared" si="130"/>
        <v>0</v>
      </c>
      <c r="P223" s="10">
        <f t="shared" si="130"/>
        <v>0</v>
      </c>
      <c r="Q223" s="10">
        <f t="shared" si="130"/>
        <v>0</v>
      </c>
      <c r="R223" s="22">
        <f t="shared" ref="R223:R229" si="131">SUM(N223:Q223)</f>
        <v>0</v>
      </c>
      <c r="S223" s="23">
        <f t="shared" ref="S223:U229" si="132">IF(AH223="",S454,AH223)</f>
        <v>0</v>
      </c>
      <c r="T223" s="23">
        <f t="shared" si="132"/>
        <v>0</v>
      </c>
      <c r="U223" s="23">
        <f t="shared" si="132"/>
        <v>0</v>
      </c>
      <c r="W223" s="78" t="str">
        <f>E223</f>
        <v>Fixed Asset Write offs</v>
      </c>
      <c r="X223" s="64"/>
      <c r="Y223" s="64"/>
      <c r="Z223" s="64"/>
      <c r="AA223" s="64"/>
      <c r="AB223" s="60"/>
      <c r="AC223" s="64"/>
      <c r="AD223" s="64"/>
      <c r="AE223" s="64"/>
      <c r="AF223" s="64"/>
      <c r="AG223" s="60"/>
      <c r="AH223" s="64"/>
      <c r="AI223" s="64"/>
      <c r="AJ223" s="64"/>
    </row>
    <row r="224" spans="2:36" hidden="1" outlineLevel="1" x14ac:dyDescent="0.25">
      <c r="B224" s="229" t="s">
        <v>195</v>
      </c>
      <c r="C224" s="229" t="s">
        <v>195</v>
      </c>
      <c r="E224" s="78" t="s">
        <v>100</v>
      </c>
      <c r="F224" s="21">
        <f t="shared" ref="F224:H229" si="133">F455</f>
        <v>0</v>
      </c>
      <c r="G224" s="21">
        <f t="shared" si="133"/>
        <v>0</v>
      </c>
      <c r="H224" s="21">
        <f t="shared" si="133"/>
        <v>0</v>
      </c>
      <c r="I224" s="10">
        <f t="shared" si="128"/>
        <v>0</v>
      </c>
      <c r="J224" s="10">
        <f t="shared" si="128"/>
        <v>0</v>
      </c>
      <c r="K224" s="10">
        <f t="shared" si="128"/>
        <v>0</v>
      </c>
      <c r="L224" s="10">
        <f t="shared" si="128"/>
        <v>0</v>
      </c>
      <c r="M224" s="17">
        <f t="shared" si="129"/>
        <v>0</v>
      </c>
      <c r="N224" s="10">
        <f t="shared" si="130"/>
        <v>0</v>
      </c>
      <c r="O224" s="10">
        <f t="shared" si="130"/>
        <v>0</v>
      </c>
      <c r="P224" s="10">
        <f t="shared" si="130"/>
        <v>0</v>
      </c>
      <c r="Q224" s="10">
        <f t="shared" si="130"/>
        <v>0</v>
      </c>
      <c r="R224" s="22">
        <f t="shared" si="131"/>
        <v>0</v>
      </c>
      <c r="S224" s="23">
        <f t="shared" si="132"/>
        <v>0</v>
      </c>
      <c r="T224" s="23">
        <f t="shared" si="132"/>
        <v>0</v>
      </c>
      <c r="U224" s="23">
        <f t="shared" si="132"/>
        <v>0</v>
      </c>
      <c r="W224" s="78" t="str">
        <f t="shared" ref="W224:W229" si="134">E224</f>
        <v>E&amp;O Impact</v>
      </c>
      <c r="X224" s="64"/>
      <c r="Y224" s="64"/>
      <c r="Z224" s="64"/>
      <c r="AA224" s="64"/>
      <c r="AB224" s="60"/>
      <c r="AC224" s="64"/>
      <c r="AD224" s="64"/>
      <c r="AE224" s="64"/>
      <c r="AF224" s="64"/>
      <c r="AG224" s="60"/>
      <c r="AH224" s="64"/>
      <c r="AI224" s="64"/>
      <c r="AJ224" s="64"/>
    </row>
    <row r="225" spans="2:36" hidden="1" outlineLevel="1" x14ac:dyDescent="0.25">
      <c r="B225" s="229" t="s">
        <v>195</v>
      </c>
      <c r="C225" s="229" t="s">
        <v>195</v>
      </c>
      <c r="E225" s="78" t="s">
        <v>107</v>
      </c>
      <c r="F225" s="21">
        <f t="shared" si="133"/>
        <v>0</v>
      </c>
      <c r="G225" s="21">
        <f t="shared" si="133"/>
        <v>0</v>
      </c>
      <c r="H225" s="21">
        <f t="shared" si="133"/>
        <v>0</v>
      </c>
      <c r="I225" s="10">
        <f t="shared" si="128"/>
        <v>0</v>
      </c>
      <c r="J225" s="10">
        <f t="shared" si="128"/>
        <v>0</v>
      </c>
      <c r="K225" s="10">
        <f t="shared" si="128"/>
        <v>0</v>
      </c>
      <c r="L225" s="10">
        <f t="shared" si="128"/>
        <v>0</v>
      </c>
      <c r="M225" s="17">
        <f t="shared" si="129"/>
        <v>0</v>
      </c>
      <c r="N225" s="10">
        <f t="shared" si="130"/>
        <v>0</v>
      </c>
      <c r="O225" s="10">
        <f t="shared" si="130"/>
        <v>0</v>
      </c>
      <c r="P225" s="10">
        <f t="shared" si="130"/>
        <v>0</v>
      </c>
      <c r="Q225" s="10">
        <f t="shared" si="130"/>
        <v>0</v>
      </c>
      <c r="R225" s="22">
        <f t="shared" si="131"/>
        <v>0</v>
      </c>
      <c r="S225" s="23">
        <f t="shared" si="132"/>
        <v>0</v>
      </c>
      <c r="T225" s="23">
        <f t="shared" si="132"/>
        <v>0</v>
      </c>
      <c r="U225" s="23">
        <f t="shared" si="132"/>
        <v>0</v>
      </c>
      <c r="W225" s="78" t="str">
        <f t="shared" si="134"/>
        <v>Employee Severances</v>
      </c>
      <c r="X225" s="64"/>
      <c r="Y225" s="64"/>
      <c r="Z225" s="64"/>
      <c r="AA225" s="64"/>
      <c r="AB225" s="60"/>
      <c r="AC225" s="64"/>
      <c r="AD225" s="64"/>
      <c r="AE225" s="64"/>
      <c r="AF225" s="64"/>
      <c r="AG225" s="60"/>
      <c r="AH225" s="64"/>
      <c r="AI225" s="64"/>
      <c r="AJ225" s="64"/>
    </row>
    <row r="226" spans="2:36" hidden="1" outlineLevel="1" x14ac:dyDescent="0.25">
      <c r="B226" s="229" t="s">
        <v>195</v>
      </c>
      <c r="C226" s="229" t="s">
        <v>195</v>
      </c>
      <c r="E226" s="78" t="s">
        <v>88</v>
      </c>
      <c r="F226" s="21">
        <f t="shared" si="133"/>
        <v>0</v>
      </c>
      <c r="G226" s="21">
        <f t="shared" si="133"/>
        <v>0</v>
      </c>
      <c r="H226" s="21">
        <f t="shared" si="133"/>
        <v>0</v>
      </c>
      <c r="I226" s="10">
        <f t="shared" si="128"/>
        <v>0</v>
      </c>
      <c r="J226" s="10">
        <f t="shared" si="128"/>
        <v>0</v>
      </c>
      <c r="K226" s="10">
        <f t="shared" si="128"/>
        <v>0</v>
      </c>
      <c r="L226" s="10">
        <f t="shared" si="128"/>
        <v>0</v>
      </c>
      <c r="M226" s="17">
        <f t="shared" si="129"/>
        <v>0</v>
      </c>
      <c r="N226" s="10">
        <f t="shared" si="130"/>
        <v>0</v>
      </c>
      <c r="O226" s="10">
        <f t="shared" si="130"/>
        <v>0</v>
      </c>
      <c r="P226" s="10">
        <f t="shared" si="130"/>
        <v>0</v>
      </c>
      <c r="Q226" s="10">
        <f t="shared" si="130"/>
        <v>0</v>
      </c>
      <c r="R226" s="22">
        <f t="shared" si="131"/>
        <v>0</v>
      </c>
      <c r="S226" s="23">
        <f t="shared" si="132"/>
        <v>0</v>
      </c>
      <c r="T226" s="23">
        <f t="shared" si="132"/>
        <v>0</v>
      </c>
      <c r="U226" s="23">
        <f t="shared" si="132"/>
        <v>0</v>
      </c>
      <c r="W226" s="78" t="str">
        <f t="shared" si="134"/>
        <v>All Other</v>
      </c>
      <c r="X226" s="64"/>
      <c r="Y226" s="64"/>
      <c r="Z226" s="64"/>
      <c r="AA226" s="64"/>
      <c r="AB226" s="60"/>
      <c r="AC226" s="64"/>
      <c r="AD226" s="64"/>
      <c r="AE226" s="64"/>
      <c r="AF226" s="64"/>
      <c r="AG226" s="60"/>
      <c r="AH226" s="64"/>
      <c r="AI226" s="64"/>
      <c r="AJ226" s="64"/>
    </row>
    <row r="227" spans="2:36" hidden="1" outlineLevel="1" x14ac:dyDescent="0.25">
      <c r="B227" s="229" t="s">
        <v>195</v>
      </c>
      <c r="C227" s="229" t="s">
        <v>195</v>
      </c>
      <c r="E227" s="78" t="s">
        <v>77</v>
      </c>
      <c r="F227" s="21">
        <f t="shared" si="133"/>
        <v>0</v>
      </c>
      <c r="G227" s="21">
        <f t="shared" si="133"/>
        <v>0</v>
      </c>
      <c r="H227" s="21">
        <f t="shared" si="133"/>
        <v>0</v>
      </c>
      <c r="I227" s="10">
        <f t="shared" si="128"/>
        <v>0</v>
      </c>
      <c r="J227" s="10">
        <f t="shared" si="128"/>
        <v>0</v>
      </c>
      <c r="K227" s="10">
        <f t="shared" si="128"/>
        <v>0</v>
      </c>
      <c r="L227" s="10">
        <f t="shared" si="128"/>
        <v>0</v>
      </c>
      <c r="M227" s="17">
        <f t="shared" si="129"/>
        <v>0</v>
      </c>
      <c r="N227" s="10">
        <f t="shared" si="130"/>
        <v>0</v>
      </c>
      <c r="O227" s="10">
        <f t="shared" si="130"/>
        <v>0</v>
      </c>
      <c r="P227" s="10">
        <f t="shared" si="130"/>
        <v>0</v>
      </c>
      <c r="Q227" s="10">
        <f t="shared" si="130"/>
        <v>0</v>
      </c>
      <c r="R227" s="22">
        <f t="shared" si="131"/>
        <v>0</v>
      </c>
      <c r="S227" s="23">
        <f t="shared" si="132"/>
        <v>0</v>
      </c>
      <c r="T227" s="23">
        <f t="shared" si="132"/>
        <v>0</v>
      </c>
      <c r="U227" s="23">
        <f t="shared" si="132"/>
        <v>0</v>
      </c>
      <c r="W227" s="78" t="str">
        <f t="shared" si="134"/>
        <v>blank</v>
      </c>
      <c r="X227" s="64"/>
      <c r="Y227" s="64"/>
      <c r="Z227" s="64"/>
      <c r="AA227" s="64"/>
      <c r="AB227" s="60"/>
      <c r="AC227" s="64"/>
      <c r="AD227" s="64"/>
      <c r="AE227" s="64"/>
      <c r="AF227" s="64"/>
      <c r="AG227" s="60"/>
      <c r="AH227" s="64"/>
      <c r="AI227" s="64"/>
      <c r="AJ227" s="64"/>
    </row>
    <row r="228" spans="2:36" hidden="1" outlineLevel="1" x14ac:dyDescent="0.25">
      <c r="B228" s="229" t="s">
        <v>195</v>
      </c>
      <c r="C228" s="229" t="s">
        <v>195</v>
      </c>
      <c r="E228" s="78" t="s">
        <v>77</v>
      </c>
      <c r="F228" s="21">
        <f t="shared" si="133"/>
        <v>0</v>
      </c>
      <c r="G228" s="21">
        <f t="shared" si="133"/>
        <v>0</v>
      </c>
      <c r="H228" s="21">
        <f t="shared" si="133"/>
        <v>0</v>
      </c>
      <c r="I228" s="10">
        <f t="shared" si="128"/>
        <v>0</v>
      </c>
      <c r="J228" s="10">
        <f t="shared" si="128"/>
        <v>0</v>
      </c>
      <c r="K228" s="10">
        <f t="shared" si="128"/>
        <v>0</v>
      </c>
      <c r="L228" s="10">
        <f t="shared" si="128"/>
        <v>0</v>
      </c>
      <c r="M228" s="17">
        <f t="shared" si="129"/>
        <v>0</v>
      </c>
      <c r="N228" s="10">
        <f t="shared" si="130"/>
        <v>0</v>
      </c>
      <c r="O228" s="10">
        <f t="shared" si="130"/>
        <v>0</v>
      </c>
      <c r="P228" s="10">
        <f t="shared" si="130"/>
        <v>0</v>
      </c>
      <c r="Q228" s="10">
        <f t="shared" si="130"/>
        <v>0</v>
      </c>
      <c r="R228" s="22">
        <f t="shared" si="131"/>
        <v>0</v>
      </c>
      <c r="S228" s="23">
        <f t="shared" si="132"/>
        <v>0</v>
      </c>
      <c r="T228" s="23">
        <f t="shared" si="132"/>
        <v>0</v>
      </c>
      <c r="U228" s="23">
        <f t="shared" si="132"/>
        <v>0</v>
      </c>
      <c r="W228" s="78" t="str">
        <f t="shared" si="134"/>
        <v>blank</v>
      </c>
      <c r="X228" s="64"/>
      <c r="Y228" s="64"/>
      <c r="Z228" s="64"/>
      <c r="AA228" s="64"/>
      <c r="AB228" s="60"/>
      <c r="AC228" s="64"/>
      <c r="AD228" s="64"/>
      <c r="AE228" s="64"/>
      <c r="AF228" s="64"/>
      <c r="AG228" s="60"/>
      <c r="AH228" s="64"/>
      <c r="AI228" s="64"/>
      <c r="AJ228" s="64"/>
    </row>
    <row r="229" spans="2:36" hidden="1" outlineLevel="1" x14ac:dyDescent="0.25">
      <c r="B229" s="229" t="s">
        <v>195</v>
      </c>
      <c r="C229" s="229" t="s">
        <v>195</v>
      </c>
      <c r="E229" s="78" t="s">
        <v>77</v>
      </c>
      <c r="F229" s="21">
        <f t="shared" si="133"/>
        <v>0</v>
      </c>
      <c r="G229" s="21">
        <f t="shared" si="133"/>
        <v>0</v>
      </c>
      <c r="H229" s="21">
        <f t="shared" si="133"/>
        <v>0</v>
      </c>
      <c r="I229" s="10">
        <f t="shared" si="128"/>
        <v>0</v>
      </c>
      <c r="J229" s="10">
        <f t="shared" si="128"/>
        <v>0</v>
      </c>
      <c r="K229" s="10">
        <f t="shared" si="128"/>
        <v>0</v>
      </c>
      <c r="L229" s="10">
        <f t="shared" si="128"/>
        <v>0</v>
      </c>
      <c r="M229" s="17">
        <f t="shared" si="129"/>
        <v>0</v>
      </c>
      <c r="N229" s="10">
        <f t="shared" si="130"/>
        <v>0</v>
      </c>
      <c r="O229" s="10">
        <f t="shared" si="130"/>
        <v>0</v>
      </c>
      <c r="P229" s="10">
        <f t="shared" si="130"/>
        <v>0</v>
      </c>
      <c r="Q229" s="10">
        <f t="shared" si="130"/>
        <v>0</v>
      </c>
      <c r="R229" s="22">
        <f t="shared" si="131"/>
        <v>0</v>
      </c>
      <c r="S229" s="23">
        <f t="shared" si="132"/>
        <v>0</v>
      </c>
      <c r="T229" s="23">
        <f t="shared" si="132"/>
        <v>0</v>
      </c>
      <c r="U229" s="23">
        <f t="shared" si="132"/>
        <v>0</v>
      </c>
      <c r="W229" s="78" t="str">
        <f t="shared" si="134"/>
        <v>blank</v>
      </c>
      <c r="X229" s="64"/>
      <c r="Y229" s="64"/>
      <c r="Z229" s="64"/>
      <c r="AA229" s="64"/>
      <c r="AB229" s="60"/>
      <c r="AC229" s="64"/>
      <c r="AD229" s="64"/>
      <c r="AE229" s="64"/>
      <c r="AF229" s="64"/>
      <c r="AG229" s="60"/>
      <c r="AH229" s="64"/>
      <c r="AI229" s="64"/>
      <c r="AJ229" s="64"/>
    </row>
    <row r="230" spans="2:36" ht="15.75" hidden="1" outlineLevel="1" thickBot="1" x14ac:dyDescent="0.3">
      <c r="E230" s="8" t="s">
        <v>27</v>
      </c>
      <c r="F230" s="9">
        <f t="shared" ref="F230:U230" si="135">SUM(F223:F229)</f>
        <v>0</v>
      </c>
      <c r="G230" s="9">
        <f t="shared" si="135"/>
        <v>0</v>
      </c>
      <c r="H230" s="9">
        <f t="shared" si="135"/>
        <v>0</v>
      </c>
      <c r="I230" s="11">
        <f t="shared" si="135"/>
        <v>0</v>
      </c>
      <c r="J230" s="11">
        <f t="shared" si="135"/>
        <v>0</v>
      </c>
      <c r="K230" s="11">
        <f t="shared" si="135"/>
        <v>0</v>
      </c>
      <c r="L230" s="11">
        <f t="shared" si="135"/>
        <v>0</v>
      </c>
      <c r="M230" s="18">
        <f t="shared" si="135"/>
        <v>0</v>
      </c>
      <c r="N230" s="11">
        <f t="shared" si="135"/>
        <v>0</v>
      </c>
      <c r="O230" s="11">
        <f t="shared" si="135"/>
        <v>0</v>
      </c>
      <c r="P230" s="11">
        <f t="shared" si="135"/>
        <v>0</v>
      </c>
      <c r="Q230" s="11">
        <f t="shared" si="135"/>
        <v>0</v>
      </c>
      <c r="R230" s="19">
        <f t="shared" si="135"/>
        <v>0</v>
      </c>
      <c r="S230" s="20">
        <f t="shared" si="135"/>
        <v>0</v>
      </c>
      <c r="T230" s="20">
        <f t="shared" si="135"/>
        <v>0</v>
      </c>
      <c r="U230" s="20">
        <f t="shared" si="135"/>
        <v>0</v>
      </c>
    </row>
    <row r="231" spans="2:36" ht="15.75" hidden="1" outlineLevel="1" thickTop="1" x14ac:dyDescent="0.25"/>
    <row r="232" spans="2:36" hidden="1" outlineLevel="1" x14ac:dyDescent="0.25"/>
    <row r="233" spans="2:36" hidden="1" outlineLevel="1" x14ac:dyDescent="0.25"/>
    <row r="234" spans="2:36" ht="18.75" collapsed="1" x14ac:dyDescent="0.3">
      <c r="B234" s="4" t="s">
        <v>34</v>
      </c>
      <c r="C234" s="4" t="s">
        <v>387</v>
      </c>
      <c r="E234" s="53" t="str">
        <f>"Scenario 4: "&amp;Inputs!B25</f>
        <v>Scenario 4: Scenario 4</v>
      </c>
      <c r="F234" s="49"/>
      <c r="G234" s="49"/>
      <c r="H234" s="49"/>
      <c r="I234" s="49"/>
      <c r="J234" s="49"/>
      <c r="K234" s="49"/>
      <c r="L234" s="49"/>
      <c r="M234" s="49"/>
      <c r="N234" s="49"/>
      <c r="O234" s="49"/>
      <c r="P234" s="49"/>
      <c r="Q234" s="49"/>
      <c r="R234" s="49"/>
      <c r="S234" s="49"/>
      <c r="T234" s="49"/>
      <c r="U234" s="49"/>
    </row>
    <row r="235" spans="2:36" hidden="1" outlineLevel="1" x14ac:dyDescent="0.25">
      <c r="E235" s="52" t="str">
        <f>Inputs!C25</f>
        <v>Scenario 4 Description</v>
      </c>
    </row>
    <row r="236" spans="2:36" hidden="1" outlineLevel="1" x14ac:dyDescent="0.25"/>
    <row r="237" spans="2:36" hidden="1" outlineLevel="1" x14ac:dyDescent="0.25"/>
    <row r="238" spans="2:36" hidden="1" outlineLevel="1" x14ac:dyDescent="0.25">
      <c r="E238" s="4" t="s">
        <v>82</v>
      </c>
      <c r="W238" s="4" t="str">
        <f>E238</f>
        <v>Investments Required</v>
      </c>
    </row>
    <row r="239" spans="2:36" hidden="1" outlineLevel="1" x14ac:dyDescent="0.25">
      <c r="E239" s="6" t="s">
        <v>25</v>
      </c>
      <c r="W239" s="61" t="s">
        <v>62</v>
      </c>
    </row>
    <row r="240" spans="2:36" hidden="1" outlineLevel="1" x14ac:dyDescent="0.25"/>
    <row r="241" spans="2:36" hidden="1" outlineLevel="1" x14ac:dyDescent="0.25">
      <c r="F241" s="12">
        <f>Inputs!$C$7</f>
        <v>2023</v>
      </c>
      <c r="G241" s="12">
        <f>Inputs!$C$8</f>
        <v>2024</v>
      </c>
      <c r="H241" s="12">
        <f>Inputs!$C$9</f>
        <v>2025</v>
      </c>
      <c r="I241" s="13" t="s">
        <v>1</v>
      </c>
      <c r="J241" s="13" t="s">
        <v>2</v>
      </c>
      <c r="K241" s="13" t="s">
        <v>3</v>
      </c>
      <c r="L241" s="13" t="s">
        <v>4</v>
      </c>
      <c r="M241" s="13">
        <f>Inputs!$C$10</f>
        <v>2026</v>
      </c>
      <c r="N241" s="14" t="s">
        <v>1</v>
      </c>
      <c r="O241" s="14" t="s">
        <v>2</v>
      </c>
      <c r="P241" s="14" t="s">
        <v>3</v>
      </c>
      <c r="Q241" s="14" t="s">
        <v>4</v>
      </c>
      <c r="R241" s="15">
        <f>Inputs!$C$11</f>
        <v>2027</v>
      </c>
      <c r="S241" s="16">
        <f>Inputs!$C$12</f>
        <v>2028</v>
      </c>
      <c r="T241" s="16">
        <f>Inputs!$C$13</f>
        <v>2029</v>
      </c>
      <c r="U241" s="16">
        <f>Inputs!$C$14</f>
        <v>2030</v>
      </c>
      <c r="X241" s="13" t="s">
        <v>1</v>
      </c>
      <c r="Y241" s="13" t="s">
        <v>2</v>
      </c>
      <c r="Z241" s="13" t="s">
        <v>3</v>
      </c>
      <c r="AA241" s="13" t="s">
        <v>4</v>
      </c>
      <c r="AB241" s="13">
        <f>Inputs!$C$10</f>
        <v>2026</v>
      </c>
      <c r="AC241" s="14" t="s">
        <v>1</v>
      </c>
      <c r="AD241" s="14" t="s">
        <v>2</v>
      </c>
      <c r="AE241" s="14" t="s">
        <v>3</v>
      </c>
      <c r="AF241" s="14" t="s">
        <v>4</v>
      </c>
      <c r="AG241" s="15">
        <f>Inputs!$C$11</f>
        <v>2027</v>
      </c>
      <c r="AH241" s="16">
        <f>Inputs!$C$12</f>
        <v>2028</v>
      </c>
      <c r="AI241" s="16">
        <f>Inputs!$C$13</f>
        <v>2029</v>
      </c>
      <c r="AJ241" s="16">
        <f>Inputs!$C$14</f>
        <v>2030</v>
      </c>
    </row>
    <row r="242" spans="2:36" hidden="1" outlineLevel="1" x14ac:dyDescent="0.25">
      <c r="F242" s="71" t="s">
        <v>63</v>
      </c>
      <c r="G242" s="71" t="s">
        <v>63</v>
      </c>
      <c r="H242" s="71" t="s">
        <v>63</v>
      </c>
      <c r="I242" s="71" t="s">
        <v>63</v>
      </c>
      <c r="J242" s="71" t="s">
        <v>63</v>
      </c>
      <c r="K242" s="71" t="s">
        <v>63</v>
      </c>
      <c r="L242" s="71" t="s">
        <v>63</v>
      </c>
      <c r="M242" s="71" t="s">
        <v>63</v>
      </c>
      <c r="N242" s="71" t="s">
        <v>63</v>
      </c>
      <c r="O242" s="71" t="s">
        <v>63</v>
      </c>
      <c r="P242" s="71" t="s">
        <v>63</v>
      </c>
      <c r="Q242" s="71" t="s">
        <v>63</v>
      </c>
      <c r="R242" s="71" t="s">
        <v>63</v>
      </c>
      <c r="S242" s="71" t="s">
        <v>63</v>
      </c>
      <c r="T242" s="71" t="s">
        <v>63</v>
      </c>
      <c r="U242" s="71" t="s">
        <v>63</v>
      </c>
      <c r="X242" s="63" t="s">
        <v>30</v>
      </c>
      <c r="Y242" s="63" t="s">
        <v>30</v>
      </c>
      <c r="Z242" s="63" t="s">
        <v>30</v>
      </c>
      <c r="AA242" s="63" t="s">
        <v>30</v>
      </c>
      <c r="AB242" s="62"/>
      <c r="AC242" s="63" t="s">
        <v>30</v>
      </c>
      <c r="AD242" s="63" t="s">
        <v>30</v>
      </c>
      <c r="AE242" s="63" t="s">
        <v>30</v>
      </c>
      <c r="AF242" s="63" t="s">
        <v>30</v>
      </c>
      <c r="AG242" s="62"/>
      <c r="AH242" s="63" t="s">
        <v>30</v>
      </c>
      <c r="AI242" s="63" t="s">
        <v>30</v>
      </c>
      <c r="AJ242" s="63" t="s">
        <v>30</v>
      </c>
    </row>
    <row r="243" spans="2:36" hidden="1" outlineLevel="1" x14ac:dyDescent="0.25">
      <c r="B243" s="229" t="s">
        <v>195</v>
      </c>
      <c r="C243" s="229" t="s">
        <v>195</v>
      </c>
      <c r="E243" s="78" t="s">
        <v>102</v>
      </c>
      <c r="F243" s="21">
        <f>F397</f>
        <v>0</v>
      </c>
      <c r="G243" s="21">
        <f t="shared" ref="G243:H243" si="136">G397</f>
        <v>0</v>
      </c>
      <c r="H243" s="21">
        <f t="shared" si="136"/>
        <v>0</v>
      </c>
      <c r="I243" s="10">
        <f t="shared" ref="I243:L249" si="137">IF(X243="",I397,X243)</f>
        <v>0</v>
      </c>
      <c r="J243" s="10">
        <f t="shared" si="137"/>
        <v>0</v>
      </c>
      <c r="K243" s="10">
        <f t="shared" si="137"/>
        <v>0</v>
      </c>
      <c r="L243" s="10">
        <f t="shared" si="137"/>
        <v>0</v>
      </c>
      <c r="M243" s="17">
        <f t="shared" ref="M243:M249" si="138">SUM(I243:L243)</f>
        <v>0</v>
      </c>
      <c r="N243" s="10">
        <f t="shared" ref="N243:Q249" si="139">IF(AC243="",N397,AC243)</f>
        <v>0</v>
      </c>
      <c r="O243" s="10">
        <f t="shared" si="139"/>
        <v>0</v>
      </c>
      <c r="P243" s="10">
        <f t="shared" si="139"/>
        <v>0</v>
      </c>
      <c r="Q243" s="10">
        <f t="shared" si="139"/>
        <v>0</v>
      </c>
      <c r="R243" s="22">
        <f t="shared" ref="R243:R249" si="140">SUM(N243:Q243)</f>
        <v>0</v>
      </c>
      <c r="S243" s="23">
        <f t="shared" ref="S243:U249" si="141">IF(AH243="",S397,AH243)</f>
        <v>0</v>
      </c>
      <c r="T243" s="23">
        <f t="shared" si="141"/>
        <v>0</v>
      </c>
      <c r="U243" s="23">
        <f t="shared" si="141"/>
        <v>0</v>
      </c>
      <c r="W243" s="79" t="str">
        <f>E243</f>
        <v>3rd Party Expenses 1</v>
      </c>
      <c r="X243" s="64"/>
      <c r="Y243" s="64"/>
      <c r="Z243" s="64"/>
      <c r="AA243" s="64"/>
      <c r="AB243" s="60"/>
      <c r="AC243" s="64"/>
      <c r="AD243" s="64"/>
      <c r="AE243" s="64"/>
      <c r="AF243" s="64"/>
      <c r="AG243" s="60"/>
      <c r="AH243" s="64"/>
      <c r="AI243" s="64"/>
      <c r="AJ243" s="64"/>
    </row>
    <row r="244" spans="2:36" hidden="1" outlineLevel="1" x14ac:dyDescent="0.25">
      <c r="B244" s="229" t="s">
        <v>195</v>
      </c>
      <c r="C244" s="229" t="s">
        <v>195</v>
      </c>
      <c r="E244" s="78" t="s">
        <v>103</v>
      </c>
      <c r="F244" s="21">
        <f t="shared" ref="F244:H249" si="142">F398</f>
        <v>0</v>
      </c>
      <c r="G244" s="21">
        <f t="shared" si="142"/>
        <v>0</v>
      </c>
      <c r="H244" s="21">
        <f t="shared" si="142"/>
        <v>0</v>
      </c>
      <c r="I244" s="10">
        <f t="shared" si="137"/>
        <v>0</v>
      </c>
      <c r="J244" s="10">
        <f t="shared" si="137"/>
        <v>0</v>
      </c>
      <c r="K244" s="10">
        <f t="shared" si="137"/>
        <v>0</v>
      </c>
      <c r="L244" s="10">
        <f t="shared" si="137"/>
        <v>0</v>
      </c>
      <c r="M244" s="17">
        <f t="shared" si="138"/>
        <v>0</v>
      </c>
      <c r="N244" s="10">
        <f t="shared" si="139"/>
        <v>0</v>
      </c>
      <c r="O244" s="10">
        <f t="shared" si="139"/>
        <v>0</v>
      </c>
      <c r="P244" s="10">
        <f t="shared" si="139"/>
        <v>0</v>
      </c>
      <c r="Q244" s="10">
        <f t="shared" si="139"/>
        <v>0</v>
      </c>
      <c r="R244" s="22">
        <f t="shared" si="140"/>
        <v>0</v>
      </c>
      <c r="S244" s="23">
        <f t="shared" si="141"/>
        <v>0</v>
      </c>
      <c r="T244" s="23">
        <f t="shared" si="141"/>
        <v>0</v>
      </c>
      <c r="U244" s="23">
        <f t="shared" si="141"/>
        <v>0</v>
      </c>
      <c r="W244" s="79" t="str">
        <f t="shared" ref="W244:W249" si="143">E244</f>
        <v>3rd Party Expenses 2</v>
      </c>
      <c r="X244" s="64"/>
      <c r="Y244" s="64"/>
      <c r="Z244" s="64"/>
      <c r="AA244" s="64"/>
      <c r="AB244" s="60"/>
      <c r="AC244" s="64"/>
      <c r="AD244" s="64"/>
      <c r="AE244" s="64"/>
      <c r="AF244" s="64"/>
      <c r="AG244" s="60"/>
      <c r="AH244" s="64"/>
      <c r="AI244" s="64"/>
      <c r="AJ244" s="64"/>
    </row>
    <row r="245" spans="2:36" hidden="1" outlineLevel="1" x14ac:dyDescent="0.25">
      <c r="B245" s="229" t="s">
        <v>195</v>
      </c>
      <c r="C245" s="229" t="s">
        <v>195</v>
      </c>
      <c r="E245" s="78" t="s">
        <v>104</v>
      </c>
      <c r="F245" s="21">
        <f t="shared" si="142"/>
        <v>0</v>
      </c>
      <c r="G245" s="21">
        <f t="shared" si="142"/>
        <v>0</v>
      </c>
      <c r="H245" s="21">
        <f t="shared" si="142"/>
        <v>0</v>
      </c>
      <c r="I245" s="10">
        <f t="shared" si="137"/>
        <v>0</v>
      </c>
      <c r="J245" s="10">
        <f t="shared" si="137"/>
        <v>0</v>
      </c>
      <c r="K245" s="10">
        <f t="shared" si="137"/>
        <v>0</v>
      </c>
      <c r="L245" s="10">
        <f t="shared" si="137"/>
        <v>0</v>
      </c>
      <c r="M245" s="17">
        <f t="shared" si="138"/>
        <v>0</v>
      </c>
      <c r="N245" s="10">
        <f t="shared" si="139"/>
        <v>0</v>
      </c>
      <c r="O245" s="10">
        <f t="shared" si="139"/>
        <v>0</v>
      </c>
      <c r="P245" s="10">
        <f t="shared" si="139"/>
        <v>0</v>
      </c>
      <c r="Q245" s="10">
        <f t="shared" si="139"/>
        <v>0</v>
      </c>
      <c r="R245" s="22">
        <f t="shared" si="140"/>
        <v>0</v>
      </c>
      <c r="S245" s="23">
        <f t="shared" si="141"/>
        <v>0</v>
      </c>
      <c r="T245" s="23">
        <f t="shared" si="141"/>
        <v>0</v>
      </c>
      <c r="U245" s="23">
        <f t="shared" si="141"/>
        <v>0</v>
      </c>
      <c r="W245" s="79" t="str">
        <f t="shared" si="143"/>
        <v>3rd Party Expenses 3</v>
      </c>
      <c r="X245" s="64"/>
      <c r="Y245" s="64"/>
      <c r="Z245" s="64"/>
      <c r="AA245" s="64"/>
      <c r="AB245" s="60"/>
      <c r="AC245" s="64"/>
      <c r="AD245" s="64"/>
      <c r="AE245" s="64"/>
      <c r="AF245" s="64"/>
      <c r="AG245" s="60"/>
      <c r="AH245" s="64"/>
      <c r="AI245" s="64"/>
      <c r="AJ245" s="64"/>
    </row>
    <row r="246" spans="2:36" hidden="1" outlineLevel="1" x14ac:dyDescent="0.25">
      <c r="B246" s="229" t="s">
        <v>195</v>
      </c>
      <c r="C246" s="229" t="s">
        <v>195</v>
      </c>
      <c r="E246" s="78" t="s">
        <v>108</v>
      </c>
      <c r="F246" s="21">
        <f t="shared" si="142"/>
        <v>0</v>
      </c>
      <c r="G246" s="21">
        <f t="shared" si="142"/>
        <v>0</v>
      </c>
      <c r="H246" s="21">
        <f t="shared" si="142"/>
        <v>0</v>
      </c>
      <c r="I246" s="10">
        <f t="shared" si="137"/>
        <v>0</v>
      </c>
      <c r="J246" s="10">
        <f t="shared" si="137"/>
        <v>0</v>
      </c>
      <c r="K246" s="10">
        <f t="shared" si="137"/>
        <v>0</v>
      </c>
      <c r="L246" s="10">
        <f t="shared" si="137"/>
        <v>0</v>
      </c>
      <c r="M246" s="17">
        <f t="shared" si="138"/>
        <v>0</v>
      </c>
      <c r="N246" s="10">
        <f t="shared" si="139"/>
        <v>0</v>
      </c>
      <c r="O246" s="10">
        <f t="shared" si="139"/>
        <v>0</v>
      </c>
      <c r="P246" s="10">
        <f t="shared" si="139"/>
        <v>0</v>
      </c>
      <c r="Q246" s="10">
        <f t="shared" si="139"/>
        <v>0</v>
      </c>
      <c r="R246" s="22">
        <f t="shared" si="140"/>
        <v>0</v>
      </c>
      <c r="S246" s="23">
        <f t="shared" si="141"/>
        <v>0</v>
      </c>
      <c r="T246" s="23">
        <f t="shared" si="141"/>
        <v>0</v>
      </c>
      <c r="U246" s="23">
        <f t="shared" si="141"/>
        <v>0</v>
      </c>
      <c r="W246" s="79" t="str">
        <f t="shared" si="143"/>
        <v>3rd Party Expenses 4</v>
      </c>
      <c r="X246" s="64"/>
      <c r="Y246" s="64"/>
      <c r="Z246" s="64"/>
      <c r="AA246" s="64"/>
      <c r="AB246" s="60"/>
      <c r="AC246" s="64"/>
      <c r="AD246" s="64"/>
      <c r="AE246" s="64"/>
      <c r="AF246" s="64"/>
      <c r="AG246" s="60"/>
      <c r="AH246" s="64"/>
      <c r="AI246" s="64"/>
      <c r="AJ246" s="64"/>
    </row>
    <row r="247" spans="2:36" hidden="1" outlineLevel="1" x14ac:dyDescent="0.25">
      <c r="B247" s="229" t="s">
        <v>195</v>
      </c>
      <c r="C247" s="229" t="s">
        <v>195</v>
      </c>
      <c r="E247" s="78" t="s">
        <v>88</v>
      </c>
      <c r="F247" s="21">
        <f t="shared" si="142"/>
        <v>0</v>
      </c>
      <c r="G247" s="21">
        <f t="shared" si="142"/>
        <v>0</v>
      </c>
      <c r="H247" s="21">
        <f t="shared" si="142"/>
        <v>0</v>
      </c>
      <c r="I247" s="10">
        <f t="shared" si="137"/>
        <v>0</v>
      </c>
      <c r="J247" s="10">
        <f t="shared" si="137"/>
        <v>0</v>
      </c>
      <c r="K247" s="10">
        <f t="shared" si="137"/>
        <v>0</v>
      </c>
      <c r="L247" s="10">
        <f t="shared" si="137"/>
        <v>0</v>
      </c>
      <c r="M247" s="17">
        <f t="shared" si="138"/>
        <v>0</v>
      </c>
      <c r="N247" s="10">
        <f t="shared" si="139"/>
        <v>0</v>
      </c>
      <c r="O247" s="10">
        <f t="shared" si="139"/>
        <v>0</v>
      </c>
      <c r="P247" s="10">
        <f t="shared" si="139"/>
        <v>0</v>
      </c>
      <c r="Q247" s="10">
        <f t="shared" si="139"/>
        <v>0</v>
      </c>
      <c r="R247" s="22">
        <f t="shared" si="140"/>
        <v>0</v>
      </c>
      <c r="S247" s="23">
        <f t="shared" si="141"/>
        <v>0</v>
      </c>
      <c r="T247" s="23">
        <f t="shared" si="141"/>
        <v>0</v>
      </c>
      <c r="U247" s="23">
        <f t="shared" si="141"/>
        <v>0</v>
      </c>
      <c r="W247" s="79" t="str">
        <f t="shared" si="143"/>
        <v>All Other</v>
      </c>
      <c r="X247" s="64"/>
      <c r="Y247" s="64"/>
      <c r="Z247" s="64"/>
      <c r="AA247" s="64"/>
      <c r="AB247" s="60"/>
      <c r="AC247" s="64"/>
      <c r="AD247" s="64"/>
      <c r="AE247" s="64"/>
      <c r="AF247" s="64"/>
      <c r="AG247" s="60"/>
      <c r="AH247" s="64"/>
      <c r="AI247" s="64"/>
      <c r="AJ247" s="64"/>
    </row>
    <row r="248" spans="2:36" hidden="1" outlineLevel="1" x14ac:dyDescent="0.25">
      <c r="B248" s="229" t="s">
        <v>195</v>
      </c>
      <c r="C248" s="229" t="s">
        <v>195</v>
      </c>
      <c r="E248" s="78" t="s">
        <v>77</v>
      </c>
      <c r="F248" s="21">
        <f t="shared" si="142"/>
        <v>0</v>
      </c>
      <c r="G248" s="21">
        <f t="shared" si="142"/>
        <v>0</v>
      </c>
      <c r="H248" s="21">
        <f t="shared" si="142"/>
        <v>0</v>
      </c>
      <c r="I248" s="10">
        <f t="shared" si="137"/>
        <v>0</v>
      </c>
      <c r="J248" s="10">
        <f t="shared" si="137"/>
        <v>0</v>
      </c>
      <c r="K248" s="10">
        <f t="shared" si="137"/>
        <v>0</v>
      </c>
      <c r="L248" s="10">
        <f t="shared" si="137"/>
        <v>0</v>
      </c>
      <c r="M248" s="17">
        <f t="shared" si="138"/>
        <v>0</v>
      </c>
      <c r="N248" s="10">
        <f t="shared" si="139"/>
        <v>0</v>
      </c>
      <c r="O248" s="10">
        <f t="shared" si="139"/>
        <v>0</v>
      </c>
      <c r="P248" s="10">
        <f t="shared" si="139"/>
        <v>0</v>
      </c>
      <c r="Q248" s="10">
        <f t="shared" si="139"/>
        <v>0</v>
      </c>
      <c r="R248" s="22">
        <f t="shared" si="140"/>
        <v>0</v>
      </c>
      <c r="S248" s="23">
        <f t="shared" si="141"/>
        <v>0</v>
      </c>
      <c r="T248" s="23">
        <f t="shared" si="141"/>
        <v>0</v>
      </c>
      <c r="U248" s="23">
        <f t="shared" si="141"/>
        <v>0</v>
      </c>
      <c r="W248" s="79" t="str">
        <f t="shared" si="143"/>
        <v>blank</v>
      </c>
      <c r="X248" s="64"/>
      <c r="Y248" s="64"/>
      <c r="Z248" s="64"/>
      <c r="AA248" s="64"/>
      <c r="AB248" s="60"/>
      <c r="AC248" s="64"/>
      <c r="AD248" s="64"/>
      <c r="AE248" s="64"/>
      <c r="AF248" s="64"/>
      <c r="AG248" s="60"/>
      <c r="AH248" s="64"/>
      <c r="AI248" s="64"/>
      <c r="AJ248" s="64"/>
    </row>
    <row r="249" spans="2:36" hidden="1" outlineLevel="1" x14ac:dyDescent="0.25">
      <c r="B249" s="229" t="s">
        <v>195</v>
      </c>
      <c r="C249" s="229" t="s">
        <v>195</v>
      </c>
      <c r="E249" s="78" t="s">
        <v>77</v>
      </c>
      <c r="F249" s="21">
        <f t="shared" si="142"/>
        <v>0</v>
      </c>
      <c r="G249" s="21">
        <f t="shared" si="142"/>
        <v>0</v>
      </c>
      <c r="H249" s="21">
        <f t="shared" si="142"/>
        <v>0</v>
      </c>
      <c r="I249" s="10">
        <f t="shared" si="137"/>
        <v>0</v>
      </c>
      <c r="J249" s="10">
        <f t="shared" si="137"/>
        <v>0</v>
      </c>
      <c r="K249" s="10">
        <f t="shared" si="137"/>
        <v>0</v>
      </c>
      <c r="L249" s="10">
        <f t="shared" si="137"/>
        <v>0</v>
      </c>
      <c r="M249" s="17">
        <f t="shared" si="138"/>
        <v>0</v>
      </c>
      <c r="N249" s="10">
        <f t="shared" si="139"/>
        <v>0</v>
      </c>
      <c r="O249" s="10">
        <f t="shared" si="139"/>
        <v>0</v>
      </c>
      <c r="P249" s="10">
        <f t="shared" si="139"/>
        <v>0</v>
      </c>
      <c r="Q249" s="10">
        <f t="shared" si="139"/>
        <v>0</v>
      </c>
      <c r="R249" s="22">
        <f t="shared" si="140"/>
        <v>0</v>
      </c>
      <c r="S249" s="23">
        <f t="shared" si="141"/>
        <v>0</v>
      </c>
      <c r="T249" s="23">
        <f t="shared" si="141"/>
        <v>0</v>
      </c>
      <c r="U249" s="23">
        <f t="shared" si="141"/>
        <v>0</v>
      </c>
      <c r="W249" s="79" t="str">
        <f t="shared" si="143"/>
        <v>blank</v>
      </c>
      <c r="X249" s="64"/>
      <c r="Y249" s="64"/>
      <c r="Z249" s="64"/>
      <c r="AA249" s="64"/>
      <c r="AB249" s="60"/>
      <c r="AC249" s="64"/>
      <c r="AD249" s="64"/>
      <c r="AE249" s="64"/>
      <c r="AF249" s="64"/>
      <c r="AG249" s="60"/>
      <c r="AH249" s="64"/>
      <c r="AI249" s="64"/>
      <c r="AJ249" s="64"/>
    </row>
    <row r="250" spans="2:36" ht="15.75" hidden="1" outlineLevel="1" thickBot="1" x14ac:dyDescent="0.3">
      <c r="E250" s="8" t="s">
        <v>27</v>
      </c>
      <c r="F250" s="9">
        <f t="shared" ref="F250:U250" si="144">SUM(F243:F249)</f>
        <v>0</v>
      </c>
      <c r="G250" s="9">
        <f t="shared" si="144"/>
        <v>0</v>
      </c>
      <c r="H250" s="9">
        <f t="shared" si="144"/>
        <v>0</v>
      </c>
      <c r="I250" s="11">
        <f t="shared" si="144"/>
        <v>0</v>
      </c>
      <c r="J250" s="11">
        <f t="shared" si="144"/>
        <v>0</v>
      </c>
      <c r="K250" s="11">
        <f t="shared" si="144"/>
        <v>0</v>
      </c>
      <c r="L250" s="11">
        <f t="shared" si="144"/>
        <v>0</v>
      </c>
      <c r="M250" s="18">
        <f t="shared" si="144"/>
        <v>0</v>
      </c>
      <c r="N250" s="11">
        <f t="shared" si="144"/>
        <v>0</v>
      </c>
      <c r="O250" s="11">
        <f t="shared" si="144"/>
        <v>0</v>
      </c>
      <c r="P250" s="11">
        <f t="shared" si="144"/>
        <v>0</v>
      </c>
      <c r="Q250" s="11">
        <f t="shared" si="144"/>
        <v>0</v>
      </c>
      <c r="R250" s="19">
        <f t="shared" si="144"/>
        <v>0</v>
      </c>
      <c r="S250" s="20">
        <f t="shared" si="144"/>
        <v>0</v>
      </c>
      <c r="T250" s="20">
        <f t="shared" si="144"/>
        <v>0</v>
      </c>
      <c r="U250" s="20">
        <f t="shared" si="144"/>
        <v>0</v>
      </c>
    </row>
    <row r="251" spans="2:36" ht="15.75" hidden="1" outlineLevel="1" thickTop="1" x14ac:dyDescent="0.25">
      <c r="M251" s="3"/>
    </row>
    <row r="252" spans="2:36" hidden="1" outlineLevel="1" x14ac:dyDescent="0.25">
      <c r="M252" s="3"/>
    </row>
    <row r="253" spans="2:36" hidden="1" outlineLevel="1" x14ac:dyDescent="0.25">
      <c r="M253" s="3"/>
    </row>
    <row r="254" spans="2:36" hidden="1" outlineLevel="1" x14ac:dyDescent="0.25">
      <c r="E254" s="4" t="s">
        <v>28</v>
      </c>
      <c r="W254" s="4" t="str">
        <f>E254</f>
        <v>Capital Expenditures</v>
      </c>
    </row>
    <row r="255" spans="2:36" hidden="1" outlineLevel="1" x14ac:dyDescent="0.25">
      <c r="E255" s="6" t="s">
        <v>25</v>
      </c>
      <c r="W255" s="61" t="s">
        <v>62</v>
      </c>
    </row>
    <row r="256" spans="2:36" hidden="1" outlineLevel="1" x14ac:dyDescent="0.25"/>
    <row r="257" spans="2:36" hidden="1" outlineLevel="1" x14ac:dyDescent="0.25">
      <c r="F257" s="12">
        <f>Inputs!$C$7</f>
        <v>2023</v>
      </c>
      <c r="G257" s="12">
        <f>Inputs!$C$8</f>
        <v>2024</v>
      </c>
      <c r="H257" s="12">
        <f>Inputs!$C$9</f>
        <v>2025</v>
      </c>
      <c r="I257" s="13" t="s">
        <v>1</v>
      </c>
      <c r="J257" s="13" t="s">
        <v>2</v>
      </c>
      <c r="K257" s="13" t="s">
        <v>3</v>
      </c>
      <c r="L257" s="13" t="s">
        <v>4</v>
      </c>
      <c r="M257" s="13">
        <f>Inputs!$C$10</f>
        <v>2026</v>
      </c>
      <c r="N257" s="14" t="s">
        <v>1</v>
      </c>
      <c r="O257" s="14" t="s">
        <v>2</v>
      </c>
      <c r="P257" s="14" t="s">
        <v>3</v>
      </c>
      <c r="Q257" s="14" t="s">
        <v>4</v>
      </c>
      <c r="R257" s="15">
        <f>Inputs!$C$11</f>
        <v>2027</v>
      </c>
      <c r="S257" s="16">
        <f>Inputs!$C$12</f>
        <v>2028</v>
      </c>
      <c r="T257" s="16">
        <f>Inputs!$C$13</f>
        <v>2029</v>
      </c>
      <c r="U257" s="16">
        <f>Inputs!$C$14</f>
        <v>2030</v>
      </c>
      <c r="X257" s="13" t="s">
        <v>1</v>
      </c>
      <c r="Y257" s="13" t="s">
        <v>2</v>
      </c>
      <c r="Z257" s="13" t="s">
        <v>3</v>
      </c>
      <c r="AA257" s="13" t="s">
        <v>4</v>
      </c>
      <c r="AB257" s="13">
        <f>Inputs!$C$10</f>
        <v>2026</v>
      </c>
      <c r="AC257" s="14" t="s">
        <v>1</v>
      </c>
      <c r="AD257" s="14" t="s">
        <v>2</v>
      </c>
      <c r="AE257" s="14" t="s">
        <v>3</v>
      </c>
      <c r="AF257" s="14" t="s">
        <v>4</v>
      </c>
      <c r="AG257" s="15">
        <f>Inputs!$C$11</f>
        <v>2027</v>
      </c>
      <c r="AH257" s="16">
        <f>Inputs!$C$12</f>
        <v>2028</v>
      </c>
      <c r="AI257" s="16">
        <f>Inputs!$C$13</f>
        <v>2029</v>
      </c>
      <c r="AJ257" s="16">
        <f>Inputs!$C$14</f>
        <v>2030</v>
      </c>
    </row>
    <row r="258" spans="2:36" hidden="1" outlineLevel="1" x14ac:dyDescent="0.25">
      <c r="F258" s="71" t="s">
        <v>63</v>
      </c>
      <c r="G258" s="71" t="s">
        <v>63</v>
      </c>
      <c r="H258" s="71" t="s">
        <v>63</v>
      </c>
      <c r="I258" s="71" t="s">
        <v>63</v>
      </c>
      <c r="J258" s="71" t="s">
        <v>63</v>
      </c>
      <c r="K258" s="71" t="s">
        <v>63</v>
      </c>
      <c r="L258" s="71" t="s">
        <v>63</v>
      </c>
      <c r="M258" s="71" t="s">
        <v>63</v>
      </c>
      <c r="N258" s="71" t="s">
        <v>63</v>
      </c>
      <c r="O258" s="71" t="s">
        <v>63</v>
      </c>
      <c r="P258" s="71" t="s">
        <v>63</v>
      </c>
      <c r="Q258" s="71" t="s">
        <v>63</v>
      </c>
      <c r="R258" s="71" t="s">
        <v>63</v>
      </c>
      <c r="S258" s="71" t="s">
        <v>63</v>
      </c>
      <c r="T258" s="71" t="s">
        <v>63</v>
      </c>
      <c r="U258" s="71" t="s">
        <v>63</v>
      </c>
      <c r="X258" s="63" t="s">
        <v>30</v>
      </c>
      <c r="Y258" s="63" t="s">
        <v>30</v>
      </c>
      <c r="Z258" s="63" t="s">
        <v>30</v>
      </c>
      <c r="AA258" s="63" t="s">
        <v>30</v>
      </c>
      <c r="AB258" s="62"/>
      <c r="AC258" s="63" t="s">
        <v>30</v>
      </c>
      <c r="AD258" s="63" t="s">
        <v>30</v>
      </c>
      <c r="AE258" s="63" t="s">
        <v>30</v>
      </c>
      <c r="AF258" s="63" t="s">
        <v>30</v>
      </c>
      <c r="AG258" s="62"/>
      <c r="AH258" s="63" t="s">
        <v>30</v>
      </c>
      <c r="AI258" s="63" t="s">
        <v>30</v>
      </c>
      <c r="AJ258" s="63" t="s">
        <v>30</v>
      </c>
    </row>
    <row r="259" spans="2:36" hidden="1" outlineLevel="1" x14ac:dyDescent="0.25">
      <c r="B259" s="229" t="s">
        <v>195</v>
      </c>
      <c r="E259" s="78" t="s">
        <v>83</v>
      </c>
      <c r="F259" s="21">
        <f>F413</f>
        <v>0</v>
      </c>
      <c r="G259" s="21">
        <f t="shared" ref="G259:H259" si="145">G413</f>
        <v>0</v>
      </c>
      <c r="H259" s="21">
        <f t="shared" si="145"/>
        <v>0</v>
      </c>
      <c r="I259" s="10">
        <f t="shared" ref="I259:L265" si="146">IF(X259="",I413,X259)</f>
        <v>0</v>
      </c>
      <c r="J259" s="10">
        <f t="shared" si="146"/>
        <v>0</v>
      </c>
      <c r="K259" s="10">
        <f t="shared" si="146"/>
        <v>0</v>
      </c>
      <c r="L259" s="10">
        <f t="shared" si="146"/>
        <v>0</v>
      </c>
      <c r="M259" s="17">
        <f t="shared" ref="M259:M265" si="147">SUM(I259:L259)</f>
        <v>0</v>
      </c>
      <c r="N259" s="10">
        <f t="shared" ref="N259:Q265" si="148">IF(AC259="",N413,AC259)</f>
        <v>0</v>
      </c>
      <c r="O259" s="10">
        <f t="shared" si="148"/>
        <v>0</v>
      </c>
      <c r="P259" s="10">
        <f t="shared" si="148"/>
        <v>0</v>
      </c>
      <c r="Q259" s="10">
        <f t="shared" si="148"/>
        <v>0</v>
      </c>
      <c r="R259" s="22">
        <f t="shared" ref="R259:R265" si="149">SUM(N259:Q259)</f>
        <v>0</v>
      </c>
      <c r="S259" s="23">
        <f t="shared" ref="S259:U265" si="150">IF(AH259="",S413,AH259)</f>
        <v>0</v>
      </c>
      <c r="T259" s="23">
        <f t="shared" si="150"/>
        <v>0</v>
      </c>
      <c r="U259" s="23">
        <f t="shared" si="150"/>
        <v>0</v>
      </c>
      <c r="W259" s="79" t="str">
        <f>E259</f>
        <v>Capital Expenditure 1</v>
      </c>
      <c r="X259" s="64"/>
      <c r="Y259" s="64"/>
      <c r="Z259" s="64"/>
      <c r="AA259" s="64"/>
      <c r="AB259" s="60"/>
      <c r="AC259" s="64"/>
      <c r="AD259" s="64"/>
      <c r="AE259" s="64"/>
      <c r="AF259" s="64"/>
      <c r="AG259" s="60"/>
      <c r="AH259" s="64"/>
      <c r="AI259" s="64"/>
      <c r="AJ259" s="64"/>
    </row>
    <row r="260" spans="2:36" hidden="1" outlineLevel="1" x14ac:dyDescent="0.25">
      <c r="B260" s="229" t="s">
        <v>195</v>
      </c>
      <c r="E260" s="78" t="s">
        <v>84</v>
      </c>
      <c r="F260" s="21">
        <f t="shared" ref="F260:H265" si="151">F414</f>
        <v>0</v>
      </c>
      <c r="G260" s="21">
        <f t="shared" si="151"/>
        <v>0</v>
      </c>
      <c r="H260" s="21">
        <f t="shared" si="151"/>
        <v>0</v>
      </c>
      <c r="I260" s="10">
        <f t="shared" si="146"/>
        <v>0</v>
      </c>
      <c r="J260" s="10">
        <f t="shared" si="146"/>
        <v>0</v>
      </c>
      <c r="K260" s="10">
        <f t="shared" si="146"/>
        <v>0</v>
      </c>
      <c r="L260" s="10">
        <f t="shared" si="146"/>
        <v>0</v>
      </c>
      <c r="M260" s="17">
        <f t="shared" si="147"/>
        <v>0</v>
      </c>
      <c r="N260" s="10">
        <f t="shared" si="148"/>
        <v>0</v>
      </c>
      <c r="O260" s="10">
        <f t="shared" si="148"/>
        <v>0</v>
      </c>
      <c r="P260" s="10">
        <f t="shared" si="148"/>
        <v>0</v>
      </c>
      <c r="Q260" s="10">
        <f t="shared" si="148"/>
        <v>0</v>
      </c>
      <c r="R260" s="22">
        <f t="shared" si="149"/>
        <v>0</v>
      </c>
      <c r="S260" s="23">
        <f t="shared" si="150"/>
        <v>0</v>
      </c>
      <c r="T260" s="23">
        <f t="shared" si="150"/>
        <v>0</v>
      </c>
      <c r="U260" s="23">
        <f t="shared" si="150"/>
        <v>0</v>
      </c>
      <c r="W260" s="79" t="str">
        <f t="shared" ref="W260:W265" si="152">E260</f>
        <v>Capital Expenditure 2</v>
      </c>
      <c r="X260" s="64"/>
      <c r="Y260" s="64"/>
      <c r="Z260" s="64"/>
      <c r="AA260" s="64"/>
      <c r="AB260" s="60"/>
      <c r="AC260" s="64"/>
      <c r="AD260" s="64"/>
      <c r="AE260" s="64"/>
      <c r="AF260" s="64"/>
      <c r="AG260" s="60"/>
      <c r="AH260" s="64"/>
      <c r="AI260" s="64"/>
      <c r="AJ260" s="64"/>
    </row>
    <row r="261" spans="2:36" hidden="1" outlineLevel="1" x14ac:dyDescent="0.25">
      <c r="B261" s="229" t="s">
        <v>195</v>
      </c>
      <c r="E261" s="78" t="s">
        <v>85</v>
      </c>
      <c r="F261" s="21">
        <f t="shared" si="151"/>
        <v>0</v>
      </c>
      <c r="G261" s="21">
        <f t="shared" si="151"/>
        <v>0</v>
      </c>
      <c r="H261" s="21">
        <f t="shared" si="151"/>
        <v>0</v>
      </c>
      <c r="I261" s="10">
        <f t="shared" si="146"/>
        <v>0</v>
      </c>
      <c r="J261" s="10">
        <f t="shared" si="146"/>
        <v>0</v>
      </c>
      <c r="K261" s="10">
        <f t="shared" si="146"/>
        <v>0</v>
      </c>
      <c r="L261" s="10">
        <f t="shared" si="146"/>
        <v>0</v>
      </c>
      <c r="M261" s="17">
        <f t="shared" si="147"/>
        <v>0</v>
      </c>
      <c r="N261" s="10">
        <f t="shared" si="148"/>
        <v>0</v>
      </c>
      <c r="O261" s="10">
        <f t="shared" si="148"/>
        <v>0</v>
      </c>
      <c r="P261" s="10">
        <f t="shared" si="148"/>
        <v>0</v>
      </c>
      <c r="Q261" s="10">
        <f t="shared" si="148"/>
        <v>0</v>
      </c>
      <c r="R261" s="22">
        <f t="shared" si="149"/>
        <v>0</v>
      </c>
      <c r="S261" s="23">
        <f t="shared" si="150"/>
        <v>0</v>
      </c>
      <c r="T261" s="23">
        <f t="shared" si="150"/>
        <v>0</v>
      </c>
      <c r="U261" s="23">
        <f t="shared" si="150"/>
        <v>0</v>
      </c>
      <c r="W261" s="79" t="str">
        <f t="shared" si="152"/>
        <v>Capital Expenditure 3</v>
      </c>
      <c r="X261" s="64"/>
      <c r="Y261" s="64"/>
      <c r="Z261" s="64"/>
      <c r="AA261" s="64"/>
      <c r="AB261" s="60"/>
      <c r="AC261" s="64"/>
      <c r="AD261" s="64"/>
      <c r="AE261" s="64"/>
      <c r="AF261" s="64"/>
      <c r="AG261" s="60"/>
      <c r="AH261" s="64"/>
      <c r="AI261" s="64"/>
      <c r="AJ261" s="64"/>
    </row>
    <row r="262" spans="2:36" hidden="1" outlineLevel="1" x14ac:dyDescent="0.25">
      <c r="B262" s="229" t="s">
        <v>195</v>
      </c>
      <c r="E262" s="78" t="s">
        <v>86</v>
      </c>
      <c r="F262" s="21">
        <f t="shared" si="151"/>
        <v>0</v>
      </c>
      <c r="G262" s="21">
        <f t="shared" si="151"/>
        <v>0</v>
      </c>
      <c r="H262" s="21">
        <f t="shared" si="151"/>
        <v>0</v>
      </c>
      <c r="I262" s="10">
        <f t="shared" si="146"/>
        <v>0</v>
      </c>
      <c r="J262" s="10">
        <f t="shared" si="146"/>
        <v>0</v>
      </c>
      <c r="K262" s="10">
        <f t="shared" si="146"/>
        <v>0</v>
      </c>
      <c r="L262" s="10">
        <f t="shared" si="146"/>
        <v>0</v>
      </c>
      <c r="M262" s="17">
        <f t="shared" si="147"/>
        <v>0</v>
      </c>
      <c r="N262" s="10">
        <f t="shared" si="148"/>
        <v>0</v>
      </c>
      <c r="O262" s="10">
        <f t="shared" si="148"/>
        <v>0</v>
      </c>
      <c r="P262" s="10">
        <f t="shared" si="148"/>
        <v>0</v>
      </c>
      <c r="Q262" s="10">
        <f t="shared" si="148"/>
        <v>0</v>
      </c>
      <c r="R262" s="22">
        <f t="shared" si="149"/>
        <v>0</v>
      </c>
      <c r="S262" s="23">
        <f t="shared" si="150"/>
        <v>0</v>
      </c>
      <c r="T262" s="23">
        <f t="shared" si="150"/>
        <v>0</v>
      </c>
      <c r="U262" s="23">
        <f t="shared" si="150"/>
        <v>0</v>
      </c>
      <c r="W262" s="79" t="str">
        <f t="shared" si="152"/>
        <v>Capital Expenditure 4</v>
      </c>
      <c r="X262" s="64"/>
      <c r="Y262" s="64"/>
      <c r="Z262" s="64"/>
      <c r="AA262" s="64"/>
      <c r="AB262" s="60"/>
      <c r="AC262" s="64"/>
      <c r="AD262" s="64"/>
      <c r="AE262" s="64"/>
      <c r="AF262" s="64"/>
      <c r="AG262" s="60"/>
      <c r="AH262" s="64"/>
      <c r="AI262" s="64"/>
      <c r="AJ262" s="64"/>
    </row>
    <row r="263" spans="2:36" hidden="1" outlineLevel="1" x14ac:dyDescent="0.25">
      <c r="B263" s="229" t="s">
        <v>195</v>
      </c>
      <c r="E263" s="78" t="s">
        <v>87</v>
      </c>
      <c r="F263" s="21">
        <f t="shared" si="151"/>
        <v>0</v>
      </c>
      <c r="G263" s="21">
        <f t="shared" si="151"/>
        <v>0</v>
      </c>
      <c r="H263" s="21">
        <f t="shared" si="151"/>
        <v>0</v>
      </c>
      <c r="I263" s="10">
        <f t="shared" si="146"/>
        <v>0</v>
      </c>
      <c r="J263" s="10">
        <f t="shared" si="146"/>
        <v>0</v>
      </c>
      <c r="K263" s="10">
        <f t="shared" si="146"/>
        <v>0</v>
      </c>
      <c r="L263" s="10">
        <f t="shared" si="146"/>
        <v>0</v>
      </c>
      <c r="M263" s="17">
        <f t="shared" si="147"/>
        <v>0</v>
      </c>
      <c r="N263" s="10">
        <f t="shared" si="148"/>
        <v>0</v>
      </c>
      <c r="O263" s="10">
        <f t="shared" si="148"/>
        <v>0</v>
      </c>
      <c r="P263" s="10">
        <f t="shared" si="148"/>
        <v>0</v>
      </c>
      <c r="Q263" s="10">
        <f t="shared" si="148"/>
        <v>0</v>
      </c>
      <c r="R263" s="22">
        <f t="shared" si="149"/>
        <v>0</v>
      </c>
      <c r="S263" s="23">
        <f t="shared" si="150"/>
        <v>0</v>
      </c>
      <c r="T263" s="23">
        <f t="shared" si="150"/>
        <v>0</v>
      </c>
      <c r="U263" s="23">
        <f t="shared" si="150"/>
        <v>0</v>
      </c>
      <c r="W263" s="79" t="str">
        <f t="shared" si="152"/>
        <v>Capital Expenditure 5</v>
      </c>
      <c r="X263" s="64"/>
      <c r="Y263" s="64"/>
      <c r="Z263" s="64"/>
      <c r="AA263" s="64"/>
      <c r="AB263" s="60"/>
      <c r="AC263" s="64"/>
      <c r="AD263" s="64"/>
      <c r="AE263" s="64"/>
      <c r="AF263" s="64"/>
      <c r="AG263" s="60"/>
      <c r="AH263" s="64"/>
      <c r="AI263" s="64"/>
      <c r="AJ263" s="64"/>
    </row>
    <row r="264" spans="2:36" hidden="1" outlineLevel="1" x14ac:dyDescent="0.25">
      <c r="B264" s="229" t="s">
        <v>195</v>
      </c>
      <c r="E264" s="78" t="s">
        <v>88</v>
      </c>
      <c r="F264" s="21">
        <f t="shared" si="151"/>
        <v>0</v>
      </c>
      <c r="G264" s="21">
        <f t="shared" si="151"/>
        <v>0</v>
      </c>
      <c r="H264" s="21">
        <f t="shared" si="151"/>
        <v>0</v>
      </c>
      <c r="I264" s="10">
        <f t="shared" si="146"/>
        <v>0</v>
      </c>
      <c r="J264" s="10">
        <f t="shared" si="146"/>
        <v>0</v>
      </c>
      <c r="K264" s="10">
        <f t="shared" si="146"/>
        <v>0</v>
      </c>
      <c r="L264" s="10">
        <f t="shared" si="146"/>
        <v>0</v>
      </c>
      <c r="M264" s="17">
        <f t="shared" si="147"/>
        <v>0</v>
      </c>
      <c r="N264" s="10">
        <f t="shared" si="148"/>
        <v>0</v>
      </c>
      <c r="O264" s="10">
        <f t="shared" si="148"/>
        <v>0</v>
      </c>
      <c r="P264" s="10">
        <f t="shared" si="148"/>
        <v>0</v>
      </c>
      <c r="Q264" s="10">
        <f t="shared" si="148"/>
        <v>0</v>
      </c>
      <c r="R264" s="22">
        <f t="shared" si="149"/>
        <v>0</v>
      </c>
      <c r="S264" s="23">
        <f t="shared" si="150"/>
        <v>0</v>
      </c>
      <c r="T264" s="23">
        <f t="shared" si="150"/>
        <v>0</v>
      </c>
      <c r="U264" s="23">
        <f t="shared" si="150"/>
        <v>0</v>
      </c>
      <c r="W264" s="79" t="str">
        <f t="shared" si="152"/>
        <v>All Other</v>
      </c>
      <c r="X264" s="64"/>
      <c r="Y264" s="64"/>
      <c r="Z264" s="64"/>
      <c r="AA264" s="64"/>
      <c r="AB264" s="60"/>
      <c r="AC264" s="64"/>
      <c r="AD264" s="64"/>
      <c r="AE264" s="64"/>
      <c r="AF264" s="64"/>
      <c r="AG264" s="60"/>
      <c r="AH264" s="64"/>
      <c r="AI264" s="64"/>
      <c r="AJ264" s="64"/>
    </row>
    <row r="265" spans="2:36" hidden="1" outlineLevel="1" x14ac:dyDescent="0.25">
      <c r="B265" s="229" t="s">
        <v>195</v>
      </c>
      <c r="E265" s="78" t="s">
        <v>77</v>
      </c>
      <c r="F265" s="21">
        <f t="shared" si="151"/>
        <v>0</v>
      </c>
      <c r="G265" s="21">
        <f t="shared" si="151"/>
        <v>0</v>
      </c>
      <c r="H265" s="21">
        <f t="shared" si="151"/>
        <v>0</v>
      </c>
      <c r="I265" s="10">
        <f t="shared" si="146"/>
        <v>0</v>
      </c>
      <c r="J265" s="10">
        <f t="shared" si="146"/>
        <v>0</v>
      </c>
      <c r="K265" s="10">
        <f t="shared" si="146"/>
        <v>0</v>
      </c>
      <c r="L265" s="10">
        <f t="shared" si="146"/>
        <v>0</v>
      </c>
      <c r="M265" s="17">
        <f t="shared" si="147"/>
        <v>0</v>
      </c>
      <c r="N265" s="10">
        <f t="shared" si="148"/>
        <v>0</v>
      </c>
      <c r="O265" s="10">
        <f t="shared" si="148"/>
        <v>0</v>
      </c>
      <c r="P265" s="10">
        <f t="shared" si="148"/>
        <v>0</v>
      </c>
      <c r="Q265" s="10">
        <f t="shared" si="148"/>
        <v>0</v>
      </c>
      <c r="R265" s="22">
        <f t="shared" si="149"/>
        <v>0</v>
      </c>
      <c r="S265" s="23">
        <f t="shared" si="150"/>
        <v>0</v>
      </c>
      <c r="T265" s="23">
        <f t="shared" si="150"/>
        <v>0</v>
      </c>
      <c r="U265" s="23">
        <f t="shared" si="150"/>
        <v>0</v>
      </c>
      <c r="W265" s="79" t="str">
        <f t="shared" si="152"/>
        <v>blank</v>
      </c>
      <c r="X265" s="64"/>
      <c r="Y265" s="64"/>
      <c r="Z265" s="64"/>
      <c r="AA265" s="64"/>
      <c r="AB265" s="60"/>
      <c r="AC265" s="64"/>
      <c r="AD265" s="64"/>
      <c r="AE265" s="64"/>
      <c r="AF265" s="64"/>
      <c r="AG265" s="60"/>
      <c r="AH265" s="64"/>
      <c r="AI265" s="64"/>
      <c r="AJ265" s="64"/>
    </row>
    <row r="266" spans="2:36" ht="15.75" hidden="1" outlineLevel="1" thickBot="1" x14ac:dyDescent="0.3">
      <c r="E266" s="8" t="s">
        <v>27</v>
      </c>
      <c r="F266" s="9">
        <f t="shared" ref="F266:U266" si="153">SUM(F259:F265)</f>
        <v>0</v>
      </c>
      <c r="G266" s="9">
        <f t="shared" si="153"/>
        <v>0</v>
      </c>
      <c r="H266" s="9">
        <f t="shared" si="153"/>
        <v>0</v>
      </c>
      <c r="I266" s="11">
        <f t="shared" si="153"/>
        <v>0</v>
      </c>
      <c r="J266" s="11">
        <f t="shared" si="153"/>
        <v>0</v>
      </c>
      <c r="K266" s="11">
        <f t="shared" si="153"/>
        <v>0</v>
      </c>
      <c r="L266" s="11">
        <f t="shared" si="153"/>
        <v>0</v>
      </c>
      <c r="M266" s="18">
        <f t="shared" si="153"/>
        <v>0</v>
      </c>
      <c r="N266" s="11">
        <f t="shared" si="153"/>
        <v>0</v>
      </c>
      <c r="O266" s="11">
        <f t="shared" si="153"/>
        <v>0</v>
      </c>
      <c r="P266" s="11">
        <f t="shared" si="153"/>
        <v>0</v>
      </c>
      <c r="Q266" s="11">
        <f t="shared" si="153"/>
        <v>0</v>
      </c>
      <c r="R266" s="19">
        <f t="shared" si="153"/>
        <v>0</v>
      </c>
      <c r="S266" s="20">
        <f t="shared" si="153"/>
        <v>0</v>
      </c>
      <c r="T266" s="20">
        <f t="shared" si="153"/>
        <v>0</v>
      </c>
      <c r="U266" s="20">
        <f t="shared" si="153"/>
        <v>0</v>
      </c>
    </row>
    <row r="267" spans="2:36" ht="15.75" hidden="1" outlineLevel="1" thickTop="1" x14ac:dyDescent="0.25"/>
    <row r="268" spans="2:36" hidden="1" outlineLevel="1" x14ac:dyDescent="0.25">
      <c r="C268" s="229" t="s">
        <v>195</v>
      </c>
      <c r="E268" s="78" t="s">
        <v>89</v>
      </c>
      <c r="F268" s="21">
        <f>F422</f>
        <v>0</v>
      </c>
      <c r="G268" s="21">
        <f t="shared" ref="G268:H268" si="154">G422</f>
        <v>0</v>
      </c>
      <c r="H268" s="21">
        <f t="shared" si="154"/>
        <v>0</v>
      </c>
      <c r="I268" s="10">
        <f t="shared" ref="I268:L274" si="155">IF(X268="",I422,X268)</f>
        <v>0</v>
      </c>
      <c r="J268" s="10">
        <f t="shared" si="155"/>
        <v>0</v>
      </c>
      <c r="K268" s="10">
        <f t="shared" si="155"/>
        <v>0</v>
      </c>
      <c r="L268" s="10">
        <f t="shared" si="155"/>
        <v>0</v>
      </c>
      <c r="M268" s="17">
        <f t="shared" ref="M268:M274" si="156">SUM(I268:L268)</f>
        <v>0</v>
      </c>
      <c r="N268" s="10">
        <f t="shared" ref="N268:Q274" si="157">IF(AC268="",N422,AC268)</f>
        <v>0</v>
      </c>
      <c r="O268" s="10">
        <f t="shared" si="157"/>
        <v>0</v>
      </c>
      <c r="P268" s="10">
        <f t="shared" si="157"/>
        <v>0</v>
      </c>
      <c r="Q268" s="10">
        <f t="shared" si="157"/>
        <v>0</v>
      </c>
      <c r="R268" s="22">
        <f t="shared" ref="R268:R274" si="158">SUM(N268:Q268)</f>
        <v>0</v>
      </c>
      <c r="S268" s="23">
        <f t="shared" ref="S268:U274" si="159">IF(AH268="",S422,AH268)</f>
        <v>0</v>
      </c>
      <c r="T268" s="23">
        <f t="shared" si="159"/>
        <v>0</v>
      </c>
      <c r="U268" s="23">
        <f t="shared" si="159"/>
        <v>0</v>
      </c>
      <c r="W268" s="79" t="str">
        <f>E268</f>
        <v>Depreciation Expense 1</v>
      </c>
      <c r="X268" s="64"/>
      <c r="Y268" s="64"/>
      <c r="Z268" s="64"/>
      <c r="AA268" s="64"/>
      <c r="AB268" s="60"/>
      <c r="AC268" s="64"/>
      <c r="AD268" s="64"/>
      <c r="AE268" s="64"/>
      <c r="AF268" s="64"/>
      <c r="AG268" s="60"/>
      <c r="AH268" s="64"/>
      <c r="AI268" s="64"/>
      <c r="AJ268" s="64"/>
    </row>
    <row r="269" spans="2:36" hidden="1" outlineLevel="1" x14ac:dyDescent="0.25">
      <c r="C269" s="229" t="s">
        <v>195</v>
      </c>
      <c r="E269" s="78" t="s">
        <v>90</v>
      </c>
      <c r="F269" s="21">
        <f t="shared" ref="F269:H274" si="160">F423</f>
        <v>0</v>
      </c>
      <c r="G269" s="21">
        <f t="shared" si="160"/>
        <v>0</v>
      </c>
      <c r="H269" s="21">
        <f t="shared" si="160"/>
        <v>0</v>
      </c>
      <c r="I269" s="10">
        <f t="shared" si="155"/>
        <v>0</v>
      </c>
      <c r="J269" s="10">
        <f t="shared" si="155"/>
        <v>0</v>
      </c>
      <c r="K269" s="10">
        <f t="shared" si="155"/>
        <v>0</v>
      </c>
      <c r="L269" s="10">
        <f t="shared" si="155"/>
        <v>0</v>
      </c>
      <c r="M269" s="17">
        <f t="shared" si="156"/>
        <v>0</v>
      </c>
      <c r="N269" s="10">
        <f t="shared" si="157"/>
        <v>0</v>
      </c>
      <c r="O269" s="10">
        <f t="shared" si="157"/>
        <v>0</v>
      </c>
      <c r="P269" s="10">
        <f t="shared" si="157"/>
        <v>0</v>
      </c>
      <c r="Q269" s="10">
        <f t="shared" si="157"/>
        <v>0</v>
      </c>
      <c r="R269" s="22">
        <f t="shared" si="158"/>
        <v>0</v>
      </c>
      <c r="S269" s="23">
        <f t="shared" si="159"/>
        <v>0</v>
      </c>
      <c r="T269" s="23">
        <f t="shared" si="159"/>
        <v>0</v>
      </c>
      <c r="U269" s="23">
        <f t="shared" si="159"/>
        <v>0</v>
      </c>
      <c r="W269" s="79" t="str">
        <f t="shared" ref="W269:W274" si="161">E269</f>
        <v>Depreciation Expense 2</v>
      </c>
      <c r="X269" s="64"/>
      <c r="Y269" s="64"/>
      <c r="Z269" s="64"/>
      <c r="AA269" s="64"/>
      <c r="AB269" s="60"/>
      <c r="AC269" s="64"/>
      <c r="AD269" s="64"/>
      <c r="AE269" s="64"/>
      <c r="AF269" s="64"/>
      <c r="AG269" s="60"/>
      <c r="AH269" s="64"/>
      <c r="AI269" s="64"/>
      <c r="AJ269" s="64"/>
    </row>
    <row r="270" spans="2:36" hidden="1" outlineLevel="1" x14ac:dyDescent="0.25">
      <c r="C270" s="229" t="s">
        <v>195</v>
      </c>
      <c r="E270" s="78" t="s">
        <v>91</v>
      </c>
      <c r="F270" s="21">
        <f t="shared" si="160"/>
        <v>0</v>
      </c>
      <c r="G270" s="21">
        <f t="shared" si="160"/>
        <v>0</v>
      </c>
      <c r="H270" s="21">
        <f t="shared" si="160"/>
        <v>0</v>
      </c>
      <c r="I270" s="10">
        <f t="shared" si="155"/>
        <v>0</v>
      </c>
      <c r="J270" s="10">
        <f t="shared" si="155"/>
        <v>0</v>
      </c>
      <c r="K270" s="10">
        <f t="shared" si="155"/>
        <v>0</v>
      </c>
      <c r="L270" s="10">
        <f t="shared" si="155"/>
        <v>0</v>
      </c>
      <c r="M270" s="17">
        <f t="shared" si="156"/>
        <v>0</v>
      </c>
      <c r="N270" s="10">
        <f t="shared" si="157"/>
        <v>0</v>
      </c>
      <c r="O270" s="10">
        <f t="shared" si="157"/>
        <v>0</v>
      </c>
      <c r="P270" s="10">
        <f t="shared" si="157"/>
        <v>0</v>
      </c>
      <c r="Q270" s="10">
        <f t="shared" si="157"/>
        <v>0</v>
      </c>
      <c r="R270" s="22">
        <f t="shared" si="158"/>
        <v>0</v>
      </c>
      <c r="S270" s="23">
        <f t="shared" si="159"/>
        <v>0</v>
      </c>
      <c r="T270" s="23">
        <f t="shared" si="159"/>
        <v>0</v>
      </c>
      <c r="U270" s="23">
        <f t="shared" si="159"/>
        <v>0</v>
      </c>
      <c r="W270" s="79" t="str">
        <f t="shared" si="161"/>
        <v>Depreciation Expense 3</v>
      </c>
      <c r="X270" s="64"/>
      <c r="Y270" s="64"/>
      <c r="Z270" s="64"/>
      <c r="AA270" s="64"/>
      <c r="AB270" s="60"/>
      <c r="AC270" s="64"/>
      <c r="AD270" s="64"/>
      <c r="AE270" s="64"/>
      <c r="AF270" s="64"/>
      <c r="AG270" s="60"/>
      <c r="AH270" s="64"/>
      <c r="AI270" s="64"/>
      <c r="AJ270" s="64"/>
    </row>
    <row r="271" spans="2:36" hidden="1" outlineLevel="1" x14ac:dyDescent="0.25">
      <c r="C271" s="229" t="s">
        <v>195</v>
      </c>
      <c r="E271" s="78" t="s">
        <v>92</v>
      </c>
      <c r="F271" s="21">
        <f t="shared" si="160"/>
        <v>0</v>
      </c>
      <c r="G271" s="21">
        <f t="shared" si="160"/>
        <v>0</v>
      </c>
      <c r="H271" s="21">
        <f t="shared" si="160"/>
        <v>0</v>
      </c>
      <c r="I271" s="10">
        <f t="shared" si="155"/>
        <v>0</v>
      </c>
      <c r="J271" s="10">
        <f t="shared" si="155"/>
        <v>0</v>
      </c>
      <c r="K271" s="10">
        <f t="shared" si="155"/>
        <v>0</v>
      </c>
      <c r="L271" s="10">
        <f t="shared" si="155"/>
        <v>0</v>
      </c>
      <c r="M271" s="17">
        <f t="shared" si="156"/>
        <v>0</v>
      </c>
      <c r="N271" s="10">
        <f t="shared" si="157"/>
        <v>0</v>
      </c>
      <c r="O271" s="10">
        <f t="shared" si="157"/>
        <v>0</v>
      </c>
      <c r="P271" s="10">
        <f t="shared" si="157"/>
        <v>0</v>
      </c>
      <c r="Q271" s="10">
        <f t="shared" si="157"/>
        <v>0</v>
      </c>
      <c r="R271" s="22">
        <f t="shared" si="158"/>
        <v>0</v>
      </c>
      <c r="S271" s="23">
        <f t="shared" si="159"/>
        <v>0</v>
      </c>
      <c r="T271" s="23">
        <f t="shared" si="159"/>
        <v>0</v>
      </c>
      <c r="U271" s="23">
        <f t="shared" si="159"/>
        <v>0</v>
      </c>
      <c r="W271" s="79" t="str">
        <f t="shared" si="161"/>
        <v>Depreciation Expense 4</v>
      </c>
      <c r="X271" s="64"/>
      <c r="Y271" s="64"/>
      <c r="Z271" s="64"/>
      <c r="AA271" s="64"/>
      <c r="AB271" s="60"/>
      <c r="AC271" s="64"/>
      <c r="AD271" s="64"/>
      <c r="AE271" s="64"/>
      <c r="AF271" s="64"/>
      <c r="AG271" s="60"/>
      <c r="AH271" s="64"/>
      <c r="AI271" s="64"/>
      <c r="AJ271" s="64"/>
    </row>
    <row r="272" spans="2:36" hidden="1" outlineLevel="1" x14ac:dyDescent="0.25">
      <c r="C272" s="229" t="s">
        <v>195</v>
      </c>
      <c r="E272" s="78" t="s">
        <v>93</v>
      </c>
      <c r="F272" s="21">
        <f t="shared" si="160"/>
        <v>0</v>
      </c>
      <c r="G272" s="21">
        <f t="shared" si="160"/>
        <v>0</v>
      </c>
      <c r="H272" s="21">
        <f t="shared" si="160"/>
        <v>0</v>
      </c>
      <c r="I272" s="10">
        <f t="shared" si="155"/>
        <v>0</v>
      </c>
      <c r="J272" s="10">
        <f t="shared" si="155"/>
        <v>0</v>
      </c>
      <c r="K272" s="10">
        <f t="shared" si="155"/>
        <v>0</v>
      </c>
      <c r="L272" s="10">
        <f t="shared" si="155"/>
        <v>0</v>
      </c>
      <c r="M272" s="17">
        <f t="shared" si="156"/>
        <v>0</v>
      </c>
      <c r="N272" s="10">
        <f t="shared" si="157"/>
        <v>0</v>
      </c>
      <c r="O272" s="10">
        <f t="shared" si="157"/>
        <v>0</v>
      </c>
      <c r="P272" s="10">
        <f t="shared" si="157"/>
        <v>0</v>
      </c>
      <c r="Q272" s="10">
        <f t="shared" si="157"/>
        <v>0</v>
      </c>
      <c r="R272" s="22">
        <f t="shared" si="158"/>
        <v>0</v>
      </c>
      <c r="S272" s="23">
        <f t="shared" si="159"/>
        <v>0</v>
      </c>
      <c r="T272" s="23">
        <f t="shared" si="159"/>
        <v>0</v>
      </c>
      <c r="U272" s="23">
        <f t="shared" si="159"/>
        <v>0</v>
      </c>
      <c r="W272" s="79" t="str">
        <f t="shared" si="161"/>
        <v>Depreciation Expense 5</v>
      </c>
      <c r="X272" s="64"/>
      <c r="Y272" s="64"/>
      <c r="Z272" s="64"/>
      <c r="AA272" s="64"/>
      <c r="AB272" s="60"/>
      <c r="AC272" s="64"/>
      <c r="AD272" s="64"/>
      <c r="AE272" s="64"/>
      <c r="AF272" s="64"/>
      <c r="AG272" s="60"/>
      <c r="AH272" s="64"/>
      <c r="AI272" s="64"/>
      <c r="AJ272" s="64"/>
    </row>
    <row r="273" spans="2:36" hidden="1" outlineLevel="1" x14ac:dyDescent="0.25">
      <c r="C273" s="229" t="s">
        <v>195</v>
      </c>
      <c r="E273" s="78" t="s">
        <v>88</v>
      </c>
      <c r="F273" s="21">
        <f t="shared" si="160"/>
        <v>0</v>
      </c>
      <c r="G273" s="21">
        <f t="shared" si="160"/>
        <v>0</v>
      </c>
      <c r="H273" s="21">
        <f t="shared" si="160"/>
        <v>0</v>
      </c>
      <c r="I273" s="10">
        <f t="shared" si="155"/>
        <v>0</v>
      </c>
      <c r="J273" s="10">
        <f t="shared" si="155"/>
        <v>0</v>
      </c>
      <c r="K273" s="10">
        <f t="shared" si="155"/>
        <v>0</v>
      </c>
      <c r="L273" s="10">
        <f t="shared" si="155"/>
        <v>0</v>
      </c>
      <c r="M273" s="17">
        <f t="shared" si="156"/>
        <v>0</v>
      </c>
      <c r="N273" s="10">
        <f t="shared" si="157"/>
        <v>0</v>
      </c>
      <c r="O273" s="10">
        <f t="shared" si="157"/>
        <v>0</v>
      </c>
      <c r="P273" s="10">
        <f t="shared" si="157"/>
        <v>0</v>
      </c>
      <c r="Q273" s="10">
        <f t="shared" si="157"/>
        <v>0</v>
      </c>
      <c r="R273" s="22">
        <f t="shared" si="158"/>
        <v>0</v>
      </c>
      <c r="S273" s="23">
        <f t="shared" si="159"/>
        <v>0</v>
      </c>
      <c r="T273" s="23">
        <f t="shared" si="159"/>
        <v>0</v>
      </c>
      <c r="U273" s="23">
        <f t="shared" si="159"/>
        <v>0</v>
      </c>
      <c r="W273" s="79" t="str">
        <f t="shared" si="161"/>
        <v>All Other</v>
      </c>
      <c r="X273" s="64"/>
      <c r="Y273" s="64"/>
      <c r="Z273" s="64"/>
      <c r="AA273" s="64"/>
      <c r="AB273" s="60"/>
      <c r="AC273" s="64"/>
      <c r="AD273" s="64"/>
      <c r="AE273" s="64"/>
      <c r="AF273" s="64"/>
      <c r="AG273" s="60"/>
      <c r="AH273" s="64"/>
      <c r="AI273" s="64"/>
      <c r="AJ273" s="64"/>
    </row>
    <row r="274" spans="2:36" hidden="1" outlineLevel="1" x14ac:dyDescent="0.25">
      <c r="C274" s="229" t="s">
        <v>195</v>
      </c>
      <c r="E274" s="78" t="s">
        <v>77</v>
      </c>
      <c r="F274" s="21">
        <f t="shared" si="160"/>
        <v>0</v>
      </c>
      <c r="G274" s="21">
        <f t="shared" si="160"/>
        <v>0</v>
      </c>
      <c r="H274" s="21">
        <f t="shared" si="160"/>
        <v>0</v>
      </c>
      <c r="I274" s="10">
        <f t="shared" si="155"/>
        <v>0</v>
      </c>
      <c r="J274" s="10">
        <f t="shared" si="155"/>
        <v>0</v>
      </c>
      <c r="K274" s="10">
        <f t="shared" si="155"/>
        <v>0</v>
      </c>
      <c r="L274" s="10">
        <f t="shared" si="155"/>
        <v>0</v>
      </c>
      <c r="M274" s="17">
        <f t="shared" si="156"/>
        <v>0</v>
      </c>
      <c r="N274" s="10">
        <f t="shared" si="157"/>
        <v>0</v>
      </c>
      <c r="O274" s="10">
        <f t="shared" si="157"/>
        <v>0</v>
      </c>
      <c r="P274" s="10">
        <f t="shared" si="157"/>
        <v>0</v>
      </c>
      <c r="Q274" s="10">
        <f t="shared" si="157"/>
        <v>0</v>
      </c>
      <c r="R274" s="22">
        <f t="shared" si="158"/>
        <v>0</v>
      </c>
      <c r="S274" s="23">
        <f t="shared" si="159"/>
        <v>0</v>
      </c>
      <c r="T274" s="23">
        <f t="shared" si="159"/>
        <v>0</v>
      </c>
      <c r="U274" s="23">
        <f t="shared" si="159"/>
        <v>0</v>
      </c>
      <c r="W274" s="79" t="str">
        <f t="shared" si="161"/>
        <v>blank</v>
      </c>
      <c r="X274" s="64"/>
      <c r="Y274" s="64"/>
      <c r="Z274" s="64"/>
      <c r="AA274" s="64"/>
      <c r="AB274" s="60"/>
      <c r="AC274" s="64"/>
      <c r="AD274" s="64"/>
      <c r="AE274" s="64"/>
      <c r="AF274" s="64"/>
      <c r="AG274" s="60"/>
      <c r="AH274" s="64"/>
      <c r="AI274" s="64"/>
      <c r="AJ274" s="64"/>
    </row>
    <row r="275" spans="2:36" ht="15.75" hidden="1" outlineLevel="1" thickBot="1" x14ac:dyDescent="0.3">
      <c r="E275" s="8" t="s">
        <v>27</v>
      </c>
      <c r="F275" s="9">
        <f t="shared" ref="F275:U275" si="162">SUM(F268:F274)</f>
        <v>0</v>
      </c>
      <c r="G275" s="9">
        <f t="shared" si="162"/>
        <v>0</v>
      </c>
      <c r="H275" s="9">
        <f t="shared" si="162"/>
        <v>0</v>
      </c>
      <c r="I275" s="11">
        <f t="shared" si="162"/>
        <v>0</v>
      </c>
      <c r="J275" s="11">
        <f t="shared" si="162"/>
        <v>0</v>
      </c>
      <c r="K275" s="11">
        <f t="shared" si="162"/>
        <v>0</v>
      </c>
      <c r="L275" s="11">
        <f t="shared" si="162"/>
        <v>0</v>
      </c>
      <c r="M275" s="18">
        <f t="shared" si="162"/>
        <v>0</v>
      </c>
      <c r="N275" s="11">
        <f t="shared" si="162"/>
        <v>0</v>
      </c>
      <c r="O275" s="11">
        <f t="shared" si="162"/>
        <v>0</v>
      </c>
      <c r="P275" s="11">
        <f t="shared" si="162"/>
        <v>0</v>
      </c>
      <c r="Q275" s="11">
        <f t="shared" si="162"/>
        <v>0</v>
      </c>
      <c r="R275" s="19">
        <f t="shared" si="162"/>
        <v>0</v>
      </c>
      <c r="S275" s="20">
        <f t="shared" si="162"/>
        <v>0</v>
      </c>
      <c r="T275" s="20">
        <f t="shared" si="162"/>
        <v>0</v>
      </c>
      <c r="U275" s="20">
        <f t="shared" si="162"/>
        <v>0</v>
      </c>
    </row>
    <row r="276" spans="2:36" ht="15.75" hidden="1" outlineLevel="1" thickTop="1" x14ac:dyDescent="0.25"/>
    <row r="277" spans="2:36" hidden="1" outlineLevel="1" x14ac:dyDescent="0.25"/>
    <row r="278" spans="2:36" hidden="1" outlineLevel="1" x14ac:dyDescent="0.25"/>
    <row r="279" spans="2:36" hidden="1" outlineLevel="1" x14ac:dyDescent="0.25">
      <c r="E279" s="4" t="s">
        <v>101</v>
      </c>
      <c r="W279" s="4" t="str">
        <f>E279</f>
        <v>Asset Sale (Show As negative)</v>
      </c>
    </row>
    <row r="280" spans="2:36" hidden="1" outlineLevel="1" x14ac:dyDescent="0.25">
      <c r="E280" s="6" t="s">
        <v>25</v>
      </c>
      <c r="W280" s="61" t="s">
        <v>62</v>
      </c>
    </row>
    <row r="281" spans="2:36" hidden="1" outlineLevel="1" x14ac:dyDescent="0.25"/>
    <row r="282" spans="2:36" hidden="1" outlineLevel="1" x14ac:dyDescent="0.25">
      <c r="F282" s="12">
        <f>Inputs!$C$7</f>
        <v>2023</v>
      </c>
      <c r="G282" s="12">
        <f>Inputs!$C$8</f>
        <v>2024</v>
      </c>
      <c r="H282" s="12">
        <f>Inputs!$C$9</f>
        <v>2025</v>
      </c>
      <c r="I282" s="13" t="s">
        <v>1</v>
      </c>
      <c r="J282" s="13" t="s">
        <v>2</v>
      </c>
      <c r="K282" s="13" t="s">
        <v>3</v>
      </c>
      <c r="L282" s="13" t="s">
        <v>4</v>
      </c>
      <c r="M282" s="13">
        <f>Inputs!$C$10</f>
        <v>2026</v>
      </c>
      <c r="N282" s="14" t="s">
        <v>1</v>
      </c>
      <c r="O282" s="14" t="s">
        <v>2</v>
      </c>
      <c r="P282" s="14" t="s">
        <v>3</v>
      </c>
      <c r="Q282" s="14" t="s">
        <v>4</v>
      </c>
      <c r="R282" s="15">
        <f>Inputs!$C$11</f>
        <v>2027</v>
      </c>
      <c r="S282" s="16">
        <f>Inputs!$C$12</f>
        <v>2028</v>
      </c>
      <c r="T282" s="16">
        <f>Inputs!$C$13</f>
        <v>2029</v>
      </c>
      <c r="U282" s="16">
        <f>Inputs!$C$14</f>
        <v>2030</v>
      </c>
      <c r="X282" s="13" t="s">
        <v>1</v>
      </c>
      <c r="Y282" s="13" t="s">
        <v>2</v>
      </c>
      <c r="Z282" s="13" t="s">
        <v>3</v>
      </c>
      <c r="AA282" s="13" t="s">
        <v>4</v>
      </c>
      <c r="AB282" s="13">
        <f>Inputs!$C$10</f>
        <v>2026</v>
      </c>
      <c r="AC282" s="14" t="s">
        <v>1</v>
      </c>
      <c r="AD282" s="14" t="s">
        <v>2</v>
      </c>
      <c r="AE282" s="14" t="s">
        <v>3</v>
      </c>
      <c r="AF282" s="14" t="s">
        <v>4</v>
      </c>
      <c r="AG282" s="15">
        <f>Inputs!$C$11</f>
        <v>2027</v>
      </c>
      <c r="AH282" s="16">
        <f>Inputs!$C$12</f>
        <v>2028</v>
      </c>
      <c r="AI282" s="16">
        <f>Inputs!$C$13</f>
        <v>2029</v>
      </c>
      <c r="AJ282" s="16">
        <f>Inputs!$C$14</f>
        <v>2030</v>
      </c>
    </row>
    <row r="283" spans="2:36" hidden="1" outlineLevel="1" x14ac:dyDescent="0.25">
      <c r="F283" s="71" t="s">
        <v>63</v>
      </c>
      <c r="G283" s="71" t="s">
        <v>63</v>
      </c>
      <c r="H283" s="71" t="s">
        <v>63</v>
      </c>
      <c r="I283" s="71" t="s">
        <v>63</v>
      </c>
      <c r="J283" s="71" t="s">
        <v>63</v>
      </c>
      <c r="K283" s="71" t="s">
        <v>63</v>
      </c>
      <c r="L283" s="71" t="s">
        <v>63</v>
      </c>
      <c r="M283" s="71" t="s">
        <v>63</v>
      </c>
      <c r="N283" s="71" t="s">
        <v>63</v>
      </c>
      <c r="O283" s="71" t="s">
        <v>63</v>
      </c>
      <c r="P283" s="71" t="s">
        <v>63</v>
      </c>
      <c r="Q283" s="71" t="s">
        <v>63</v>
      </c>
      <c r="R283" s="71" t="s">
        <v>63</v>
      </c>
      <c r="S283" s="71" t="s">
        <v>63</v>
      </c>
      <c r="T283" s="71" t="s">
        <v>63</v>
      </c>
      <c r="U283" s="71" t="s">
        <v>63</v>
      </c>
      <c r="X283" s="63" t="s">
        <v>30</v>
      </c>
      <c r="Y283" s="63" t="s">
        <v>30</v>
      </c>
      <c r="Z283" s="63" t="s">
        <v>30</v>
      </c>
      <c r="AA283" s="63" t="s">
        <v>30</v>
      </c>
      <c r="AB283" s="62"/>
      <c r="AC283" s="63" t="s">
        <v>30</v>
      </c>
      <c r="AD283" s="63" t="s">
        <v>30</v>
      </c>
      <c r="AE283" s="63" t="s">
        <v>30</v>
      </c>
      <c r="AF283" s="63" t="s">
        <v>30</v>
      </c>
      <c r="AG283" s="62"/>
      <c r="AH283" s="63" t="s">
        <v>30</v>
      </c>
      <c r="AI283" s="63" t="s">
        <v>30</v>
      </c>
      <c r="AJ283" s="63" t="s">
        <v>30</v>
      </c>
    </row>
    <row r="284" spans="2:36" hidden="1" outlineLevel="1" x14ac:dyDescent="0.25">
      <c r="B284" s="229" t="s">
        <v>195</v>
      </c>
      <c r="E284" s="78" t="s">
        <v>94</v>
      </c>
      <c r="F284" s="21">
        <f>F438</f>
        <v>0</v>
      </c>
      <c r="G284" s="21">
        <f t="shared" ref="G284:H284" si="163">G438</f>
        <v>0</v>
      </c>
      <c r="H284" s="21">
        <f t="shared" si="163"/>
        <v>0</v>
      </c>
      <c r="I284" s="10">
        <f t="shared" ref="I284:L290" si="164">IF(X284="",I438,X284)</f>
        <v>0</v>
      </c>
      <c r="J284" s="10">
        <f t="shared" si="164"/>
        <v>0</v>
      </c>
      <c r="K284" s="10">
        <f t="shared" si="164"/>
        <v>0</v>
      </c>
      <c r="L284" s="10">
        <f t="shared" si="164"/>
        <v>0</v>
      </c>
      <c r="M284" s="17">
        <f t="shared" ref="M284:M290" si="165">SUM(I284:L284)</f>
        <v>0</v>
      </c>
      <c r="N284" s="10">
        <f t="shared" ref="N284:Q290" si="166">IF(AC284="",N438,AC284)</f>
        <v>0</v>
      </c>
      <c r="O284" s="10">
        <f t="shared" si="166"/>
        <v>0</v>
      </c>
      <c r="P284" s="10">
        <f t="shared" si="166"/>
        <v>0</v>
      </c>
      <c r="Q284" s="10">
        <f t="shared" si="166"/>
        <v>0</v>
      </c>
      <c r="R284" s="22">
        <f t="shared" ref="R284:R290" si="167">SUM(N284:Q284)</f>
        <v>0</v>
      </c>
      <c r="S284" s="23">
        <f t="shared" ref="S284:U290" si="168">IF(AH284="",S438,AH284)</f>
        <v>0</v>
      </c>
      <c r="T284" s="23">
        <f t="shared" si="168"/>
        <v>0</v>
      </c>
      <c r="U284" s="23">
        <f t="shared" si="168"/>
        <v>0</v>
      </c>
      <c r="W284" s="79" t="str">
        <f>E284</f>
        <v>Asset Sale 1</v>
      </c>
      <c r="X284" s="64"/>
      <c r="Y284" s="64"/>
      <c r="Z284" s="64"/>
      <c r="AA284" s="64"/>
      <c r="AB284" s="60"/>
      <c r="AC284" s="64"/>
      <c r="AD284" s="64"/>
      <c r="AE284" s="64"/>
      <c r="AF284" s="64"/>
      <c r="AG284" s="60"/>
      <c r="AH284" s="64"/>
      <c r="AI284" s="64"/>
      <c r="AJ284" s="64"/>
    </row>
    <row r="285" spans="2:36" hidden="1" outlineLevel="1" x14ac:dyDescent="0.25">
      <c r="B285" s="229" t="s">
        <v>195</v>
      </c>
      <c r="E285" s="78" t="s">
        <v>95</v>
      </c>
      <c r="F285" s="21">
        <f t="shared" ref="F285:H290" si="169">F439</f>
        <v>0</v>
      </c>
      <c r="G285" s="21">
        <f t="shared" si="169"/>
        <v>0</v>
      </c>
      <c r="H285" s="21">
        <f t="shared" si="169"/>
        <v>0</v>
      </c>
      <c r="I285" s="10">
        <f t="shared" si="164"/>
        <v>0</v>
      </c>
      <c r="J285" s="10">
        <f t="shared" si="164"/>
        <v>0</v>
      </c>
      <c r="K285" s="10">
        <f t="shared" si="164"/>
        <v>0</v>
      </c>
      <c r="L285" s="10">
        <f t="shared" si="164"/>
        <v>0</v>
      </c>
      <c r="M285" s="17">
        <f t="shared" si="165"/>
        <v>0</v>
      </c>
      <c r="N285" s="10">
        <f t="shared" si="166"/>
        <v>0</v>
      </c>
      <c r="O285" s="10">
        <f t="shared" si="166"/>
        <v>0</v>
      </c>
      <c r="P285" s="10">
        <f t="shared" si="166"/>
        <v>0</v>
      </c>
      <c r="Q285" s="10">
        <f t="shared" si="166"/>
        <v>0</v>
      </c>
      <c r="R285" s="22">
        <f t="shared" si="167"/>
        <v>0</v>
      </c>
      <c r="S285" s="23">
        <f t="shared" si="168"/>
        <v>0</v>
      </c>
      <c r="T285" s="23">
        <f t="shared" si="168"/>
        <v>0</v>
      </c>
      <c r="U285" s="23">
        <f t="shared" si="168"/>
        <v>0</v>
      </c>
      <c r="W285" s="79" t="str">
        <f t="shared" ref="W285:W290" si="170">E285</f>
        <v>Asset Sale 2</v>
      </c>
      <c r="X285" s="64"/>
      <c r="Y285" s="64"/>
      <c r="Z285" s="64"/>
      <c r="AA285" s="64"/>
      <c r="AB285" s="60"/>
      <c r="AC285" s="64"/>
      <c r="AD285" s="64"/>
      <c r="AE285" s="64"/>
      <c r="AF285" s="64"/>
      <c r="AG285" s="60"/>
      <c r="AH285" s="64"/>
      <c r="AI285" s="64"/>
      <c r="AJ285" s="64"/>
    </row>
    <row r="286" spans="2:36" hidden="1" outlineLevel="1" x14ac:dyDescent="0.25">
      <c r="B286" s="229" t="s">
        <v>195</v>
      </c>
      <c r="E286" s="78" t="s">
        <v>96</v>
      </c>
      <c r="F286" s="21">
        <f t="shared" si="169"/>
        <v>0</v>
      </c>
      <c r="G286" s="21">
        <f t="shared" si="169"/>
        <v>0</v>
      </c>
      <c r="H286" s="21">
        <f t="shared" si="169"/>
        <v>0</v>
      </c>
      <c r="I286" s="10">
        <f t="shared" si="164"/>
        <v>0</v>
      </c>
      <c r="J286" s="10">
        <f t="shared" si="164"/>
        <v>0</v>
      </c>
      <c r="K286" s="10">
        <f t="shared" si="164"/>
        <v>0</v>
      </c>
      <c r="L286" s="10">
        <f t="shared" si="164"/>
        <v>0</v>
      </c>
      <c r="M286" s="17">
        <f t="shared" si="165"/>
        <v>0</v>
      </c>
      <c r="N286" s="10">
        <f t="shared" si="166"/>
        <v>0</v>
      </c>
      <c r="O286" s="10">
        <f t="shared" si="166"/>
        <v>0</v>
      </c>
      <c r="P286" s="10">
        <f t="shared" si="166"/>
        <v>0</v>
      </c>
      <c r="Q286" s="10">
        <f t="shared" si="166"/>
        <v>0</v>
      </c>
      <c r="R286" s="22">
        <f t="shared" si="167"/>
        <v>0</v>
      </c>
      <c r="S286" s="23">
        <f t="shared" si="168"/>
        <v>0</v>
      </c>
      <c r="T286" s="23">
        <f t="shared" si="168"/>
        <v>0</v>
      </c>
      <c r="U286" s="23">
        <f t="shared" si="168"/>
        <v>0</v>
      </c>
      <c r="W286" s="79" t="str">
        <f t="shared" si="170"/>
        <v>Asset Sale 3</v>
      </c>
      <c r="X286" s="64"/>
      <c r="Y286" s="64"/>
      <c r="Z286" s="64"/>
      <c r="AA286" s="64"/>
      <c r="AB286" s="60"/>
      <c r="AC286" s="64"/>
      <c r="AD286" s="64"/>
      <c r="AE286" s="64"/>
      <c r="AF286" s="64"/>
      <c r="AG286" s="60"/>
      <c r="AH286" s="64"/>
      <c r="AI286" s="64"/>
      <c r="AJ286" s="64"/>
    </row>
    <row r="287" spans="2:36" hidden="1" outlineLevel="1" x14ac:dyDescent="0.25">
      <c r="B287" s="229" t="s">
        <v>195</v>
      </c>
      <c r="E287" s="78" t="s">
        <v>97</v>
      </c>
      <c r="F287" s="21">
        <f t="shared" si="169"/>
        <v>0</v>
      </c>
      <c r="G287" s="21">
        <f t="shared" si="169"/>
        <v>0</v>
      </c>
      <c r="H287" s="21">
        <f t="shared" si="169"/>
        <v>0</v>
      </c>
      <c r="I287" s="10">
        <f t="shared" si="164"/>
        <v>0</v>
      </c>
      <c r="J287" s="10">
        <f t="shared" si="164"/>
        <v>0</v>
      </c>
      <c r="K287" s="10">
        <f t="shared" si="164"/>
        <v>0</v>
      </c>
      <c r="L287" s="10">
        <f t="shared" si="164"/>
        <v>0</v>
      </c>
      <c r="M287" s="17">
        <f t="shared" si="165"/>
        <v>0</v>
      </c>
      <c r="N287" s="10">
        <f t="shared" si="166"/>
        <v>0</v>
      </c>
      <c r="O287" s="10">
        <f t="shared" si="166"/>
        <v>0</v>
      </c>
      <c r="P287" s="10">
        <f t="shared" si="166"/>
        <v>0</v>
      </c>
      <c r="Q287" s="10">
        <f t="shared" si="166"/>
        <v>0</v>
      </c>
      <c r="R287" s="22">
        <f t="shared" si="167"/>
        <v>0</v>
      </c>
      <c r="S287" s="23">
        <f t="shared" si="168"/>
        <v>0</v>
      </c>
      <c r="T287" s="23">
        <f t="shared" si="168"/>
        <v>0</v>
      </c>
      <c r="U287" s="23">
        <f t="shared" si="168"/>
        <v>0</v>
      </c>
      <c r="W287" s="79" t="str">
        <f t="shared" si="170"/>
        <v>Asset Sale 4</v>
      </c>
      <c r="X287" s="64"/>
      <c r="Y287" s="64"/>
      <c r="Z287" s="64"/>
      <c r="AA287" s="64"/>
      <c r="AB287" s="60"/>
      <c r="AC287" s="64"/>
      <c r="AD287" s="64"/>
      <c r="AE287" s="64"/>
      <c r="AF287" s="64"/>
      <c r="AG287" s="60"/>
      <c r="AH287" s="64"/>
      <c r="AI287" s="64"/>
      <c r="AJ287" s="64"/>
    </row>
    <row r="288" spans="2:36" hidden="1" outlineLevel="1" x14ac:dyDescent="0.25">
      <c r="B288" s="229" t="s">
        <v>195</v>
      </c>
      <c r="E288" s="78" t="s">
        <v>98</v>
      </c>
      <c r="F288" s="21">
        <f t="shared" si="169"/>
        <v>0</v>
      </c>
      <c r="G288" s="21">
        <f t="shared" si="169"/>
        <v>0</v>
      </c>
      <c r="H288" s="21">
        <f t="shared" si="169"/>
        <v>0</v>
      </c>
      <c r="I288" s="10">
        <f t="shared" si="164"/>
        <v>0</v>
      </c>
      <c r="J288" s="10">
        <f t="shared" si="164"/>
        <v>0</v>
      </c>
      <c r="K288" s="10">
        <f t="shared" si="164"/>
        <v>0</v>
      </c>
      <c r="L288" s="10">
        <f t="shared" si="164"/>
        <v>0</v>
      </c>
      <c r="M288" s="17">
        <f t="shared" si="165"/>
        <v>0</v>
      </c>
      <c r="N288" s="10">
        <f t="shared" si="166"/>
        <v>0</v>
      </c>
      <c r="O288" s="10">
        <f t="shared" si="166"/>
        <v>0</v>
      </c>
      <c r="P288" s="10">
        <f t="shared" si="166"/>
        <v>0</v>
      </c>
      <c r="Q288" s="10">
        <f t="shared" si="166"/>
        <v>0</v>
      </c>
      <c r="R288" s="22">
        <f t="shared" si="167"/>
        <v>0</v>
      </c>
      <c r="S288" s="23">
        <f t="shared" si="168"/>
        <v>0</v>
      </c>
      <c r="T288" s="23">
        <f t="shared" si="168"/>
        <v>0</v>
      </c>
      <c r="U288" s="23">
        <f t="shared" si="168"/>
        <v>0</v>
      </c>
      <c r="W288" s="79" t="str">
        <f t="shared" si="170"/>
        <v>Asset Sale 5</v>
      </c>
      <c r="X288" s="64"/>
      <c r="Y288" s="64"/>
      <c r="Z288" s="64"/>
      <c r="AA288" s="64"/>
      <c r="AB288" s="60"/>
      <c r="AC288" s="64"/>
      <c r="AD288" s="64"/>
      <c r="AE288" s="64"/>
      <c r="AF288" s="64"/>
      <c r="AG288" s="60"/>
      <c r="AH288" s="64"/>
      <c r="AI288" s="64"/>
      <c r="AJ288" s="64"/>
    </row>
    <row r="289" spans="2:36" hidden="1" outlineLevel="1" x14ac:dyDescent="0.25">
      <c r="B289" s="229" t="s">
        <v>195</v>
      </c>
      <c r="E289" s="78" t="s">
        <v>88</v>
      </c>
      <c r="F289" s="21">
        <f t="shared" si="169"/>
        <v>0</v>
      </c>
      <c r="G289" s="21">
        <f t="shared" si="169"/>
        <v>0</v>
      </c>
      <c r="H289" s="21">
        <f t="shared" si="169"/>
        <v>0</v>
      </c>
      <c r="I289" s="10">
        <f t="shared" si="164"/>
        <v>0</v>
      </c>
      <c r="J289" s="10">
        <f t="shared" si="164"/>
        <v>0</v>
      </c>
      <c r="K289" s="10">
        <f t="shared" si="164"/>
        <v>0</v>
      </c>
      <c r="L289" s="10">
        <f t="shared" si="164"/>
        <v>0</v>
      </c>
      <c r="M289" s="17">
        <f t="shared" si="165"/>
        <v>0</v>
      </c>
      <c r="N289" s="10">
        <f t="shared" si="166"/>
        <v>0</v>
      </c>
      <c r="O289" s="10">
        <f t="shared" si="166"/>
        <v>0</v>
      </c>
      <c r="P289" s="10">
        <f t="shared" si="166"/>
        <v>0</v>
      </c>
      <c r="Q289" s="10">
        <f t="shared" si="166"/>
        <v>0</v>
      </c>
      <c r="R289" s="22">
        <f t="shared" si="167"/>
        <v>0</v>
      </c>
      <c r="S289" s="23">
        <f t="shared" si="168"/>
        <v>0</v>
      </c>
      <c r="T289" s="23">
        <f t="shared" si="168"/>
        <v>0</v>
      </c>
      <c r="U289" s="23">
        <f t="shared" si="168"/>
        <v>0</v>
      </c>
      <c r="W289" s="79" t="str">
        <f t="shared" si="170"/>
        <v>All Other</v>
      </c>
      <c r="X289" s="64"/>
      <c r="Y289" s="64"/>
      <c r="Z289" s="64"/>
      <c r="AA289" s="64"/>
      <c r="AB289" s="60"/>
      <c r="AC289" s="64"/>
      <c r="AD289" s="64"/>
      <c r="AE289" s="64"/>
      <c r="AF289" s="64"/>
      <c r="AG289" s="60"/>
      <c r="AH289" s="64"/>
      <c r="AI289" s="64"/>
      <c r="AJ289" s="64"/>
    </row>
    <row r="290" spans="2:36" hidden="1" outlineLevel="1" x14ac:dyDescent="0.25">
      <c r="B290" s="229" t="s">
        <v>195</v>
      </c>
      <c r="E290" s="78" t="s">
        <v>77</v>
      </c>
      <c r="F290" s="21">
        <f t="shared" si="169"/>
        <v>0</v>
      </c>
      <c r="G290" s="21">
        <f t="shared" si="169"/>
        <v>0</v>
      </c>
      <c r="H290" s="21">
        <f t="shared" si="169"/>
        <v>0</v>
      </c>
      <c r="I290" s="10">
        <f t="shared" si="164"/>
        <v>0</v>
      </c>
      <c r="J290" s="10">
        <f t="shared" si="164"/>
        <v>0</v>
      </c>
      <c r="K290" s="10">
        <f t="shared" si="164"/>
        <v>0</v>
      </c>
      <c r="L290" s="10">
        <f t="shared" si="164"/>
        <v>0</v>
      </c>
      <c r="M290" s="17">
        <f t="shared" si="165"/>
        <v>0</v>
      </c>
      <c r="N290" s="10">
        <f t="shared" si="166"/>
        <v>0</v>
      </c>
      <c r="O290" s="10">
        <f t="shared" si="166"/>
        <v>0</v>
      </c>
      <c r="P290" s="10">
        <f t="shared" si="166"/>
        <v>0</v>
      </c>
      <c r="Q290" s="10">
        <f t="shared" si="166"/>
        <v>0</v>
      </c>
      <c r="R290" s="22">
        <f t="shared" si="167"/>
        <v>0</v>
      </c>
      <c r="S290" s="23">
        <f t="shared" si="168"/>
        <v>0</v>
      </c>
      <c r="T290" s="23">
        <f t="shared" si="168"/>
        <v>0</v>
      </c>
      <c r="U290" s="23">
        <f t="shared" si="168"/>
        <v>0</v>
      </c>
      <c r="W290" s="79" t="str">
        <f t="shared" si="170"/>
        <v>blank</v>
      </c>
      <c r="X290" s="64"/>
      <c r="Y290" s="64"/>
      <c r="Z290" s="64"/>
      <c r="AA290" s="64"/>
      <c r="AB290" s="60"/>
      <c r="AC290" s="64"/>
      <c r="AD290" s="64"/>
      <c r="AE290" s="64"/>
      <c r="AF290" s="64"/>
      <c r="AG290" s="60"/>
      <c r="AH290" s="64"/>
      <c r="AI290" s="64"/>
      <c r="AJ290" s="64"/>
    </row>
    <row r="291" spans="2:36" ht="15.75" hidden="1" outlineLevel="1" thickBot="1" x14ac:dyDescent="0.3">
      <c r="E291" s="8" t="s">
        <v>27</v>
      </c>
      <c r="F291" s="9">
        <f t="shared" ref="F291:U291" si="171">SUM(F284:F290)</f>
        <v>0</v>
      </c>
      <c r="G291" s="9">
        <f t="shared" si="171"/>
        <v>0</v>
      </c>
      <c r="H291" s="9">
        <f t="shared" si="171"/>
        <v>0</v>
      </c>
      <c r="I291" s="11">
        <f t="shared" si="171"/>
        <v>0</v>
      </c>
      <c r="J291" s="11">
        <f t="shared" si="171"/>
        <v>0</v>
      </c>
      <c r="K291" s="11">
        <f t="shared" si="171"/>
        <v>0</v>
      </c>
      <c r="L291" s="11">
        <f t="shared" si="171"/>
        <v>0</v>
      </c>
      <c r="M291" s="18">
        <f t="shared" si="171"/>
        <v>0</v>
      </c>
      <c r="N291" s="11">
        <f t="shared" si="171"/>
        <v>0</v>
      </c>
      <c r="O291" s="11">
        <f t="shared" si="171"/>
        <v>0</v>
      </c>
      <c r="P291" s="11">
        <f t="shared" si="171"/>
        <v>0</v>
      </c>
      <c r="Q291" s="11">
        <f t="shared" si="171"/>
        <v>0</v>
      </c>
      <c r="R291" s="19">
        <f t="shared" si="171"/>
        <v>0</v>
      </c>
      <c r="S291" s="20">
        <f t="shared" si="171"/>
        <v>0</v>
      </c>
      <c r="T291" s="20">
        <f t="shared" si="171"/>
        <v>0</v>
      </c>
      <c r="U291" s="20">
        <f t="shared" si="171"/>
        <v>0</v>
      </c>
    </row>
    <row r="292" spans="2:36" ht="15.75" hidden="1" outlineLevel="1" thickTop="1" x14ac:dyDescent="0.25"/>
    <row r="293" spans="2:36" hidden="1" outlineLevel="1" x14ac:dyDescent="0.25"/>
    <row r="294" spans="2:36" hidden="1" outlineLevel="1" x14ac:dyDescent="0.25"/>
    <row r="295" spans="2:36" hidden="1" outlineLevel="1" x14ac:dyDescent="0.25">
      <c r="E295" s="4" t="s">
        <v>105</v>
      </c>
      <c r="W295" s="4" t="str">
        <f>E295</f>
        <v>Restructuring Costs</v>
      </c>
    </row>
    <row r="296" spans="2:36" hidden="1" outlineLevel="1" x14ac:dyDescent="0.25">
      <c r="E296" s="6" t="s">
        <v>25</v>
      </c>
      <c r="W296" s="61" t="s">
        <v>62</v>
      </c>
    </row>
    <row r="297" spans="2:36" hidden="1" outlineLevel="1" x14ac:dyDescent="0.25"/>
    <row r="298" spans="2:36" hidden="1" outlineLevel="1" x14ac:dyDescent="0.25">
      <c r="F298" s="12">
        <f>Inputs!$C$7</f>
        <v>2023</v>
      </c>
      <c r="G298" s="12">
        <f>Inputs!$C$8</f>
        <v>2024</v>
      </c>
      <c r="H298" s="12">
        <f>Inputs!$C$9</f>
        <v>2025</v>
      </c>
      <c r="I298" s="13" t="s">
        <v>1</v>
      </c>
      <c r="J298" s="13" t="s">
        <v>2</v>
      </c>
      <c r="K298" s="13" t="s">
        <v>3</v>
      </c>
      <c r="L298" s="13" t="s">
        <v>4</v>
      </c>
      <c r="M298" s="13">
        <f>Inputs!$C$10</f>
        <v>2026</v>
      </c>
      <c r="N298" s="14" t="s">
        <v>1</v>
      </c>
      <c r="O298" s="14" t="s">
        <v>2</v>
      </c>
      <c r="P298" s="14" t="s">
        <v>3</v>
      </c>
      <c r="Q298" s="14" t="s">
        <v>4</v>
      </c>
      <c r="R298" s="15">
        <f>Inputs!$C$11</f>
        <v>2027</v>
      </c>
      <c r="S298" s="16">
        <f>Inputs!$C$12</f>
        <v>2028</v>
      </c>
      <c r="T298" s="16">
        <f>Inputs!$C$13</f>
        <v>2029</v>
      </c>
      <c r="U298" s="16">
        <f>Inputs!$C$14</f>
        <v>2030</v>
      </c>
      <c r="X298" s="13" t="s">
        <v>1</v>
      </c>
      <c r="Y298" s="13" t="s">
        <v>2</v>
      </c>
      <c r="Z298" s="13" t="s">
        <v>3</v>
      </c>
      <c r="AA298" s="13" t="s">
        <v>4</v>
      </c>
      <c r="AB298" s="13">
        <f>Inputs!$C$10</f>
        <v>2026</v>
      </c>
      <c r="AC298" s="14" t="s">
        <v>1</v>
      </c>
      <c r="AD298" s="14" t="s">
        <v>2</v>
      </c>
      <c r="AE298" s="14" t="s">
        <v>3</v>
      </c>
      <c r="AF298" s="14" t="s">
        <v>4</v>
      </c>
      <c r="AG298" s="15">
        <f>Inputs!$C$11</f>
        <v>2027</v>
      </c>
      <c r="AH298" s="16">
        <f>Inputs!$C$12</f>
        <v>2028</v>
      </c>
      <c r="AI298" s="16">
        <f>Inputs!$C$13</f>
        <v>2029</v>
      </c>
      <c r="AJ298" s="16">
        <f>Inputs!$C$14</f>
        <v>2030</v>
      </c>
    </row>
    <row r="299" spans="2:36" hidden="1" outlineLevel="1" x14ac:dyDescent="0.25">
      <c r="F299" s="71" t="s">
        <v>63</v>
      </c>
      <c r="G299" s="71" t="s">
        <v>63</v>
      </c>
      <c r="H299" s="71" t="s">
        <v>63</v>
      </c>
      <c r="I299" s="71" t="s">
        <v>63</v>
      </c>
      <c r="J299" s="71" t="s">
        <v>63</v>
      </c>
      <c r="K299" s="71" t="s">
        <v>63</v>
      </c>
      <c r="L299" s="71" t="s">
        <v>63</v>
      </c>
      <c r="M299" s="71" t="s">
        <v>63</v>
      </c>
      <c r="N299" s="71" t="s">
        <v>63</v>
      </c>
      <c r="O299" s="71" t="s">
        <v>63</v>
      </c>
      <c r="P299" s="71" t="s">
        <v>63</v>
      </c>
      <c r="Q299" s="71" t="s">
        <v>63</v>
      </c>
      <c r="R299" s="71" t="s">
        <v>63</v>
      </c>
      <c r="S299" s="71" t="s">
        <v>63</v>
      </c>
      <c r="T299" s="71" t="s">
        <v>63</v>
      </c>
      <c r="U299" s="71" t="s">
        <v>63</v>
      </c>
      <c r="X299" s="63" t="s">
        <v>30</v>
      </c>
      <c r="Y299" s="63" t="s">
        <v>30</v>
      </c>
      <c r="Z299" s="63" t="s">
        <v>30</v>
      </c>
      <c r="AA299" s="63" t="s">
        <v>30</v>
      </c>
      <c r="AB299" s="62"/>
      <c r="AC299" s="63" t="s">
        <v>30</v>
      </c>
      <c r="AD299" s="63" t="s">
        <v>30</v>
      </c>
      <c r="AE299" s="63" t="s">
        <v>30</v>
      </c>
      <c r="AF299" s="63" t="s">
        <v>30</v>
      </c>
      <c r="AG299" s="62"/>
      <c r="AH299" s="63" t="s">
        <v>30</v>
      </c>
      <c r="AI299" s="63" t="s">
        <v>30</v>
      </c>
      <c r="AJ299" s="63" t="s">
        <v>30</v>
      </c>
    </row>
    <row r="300" spans="2:36" hidden="1" outlineLevel="1" x14ac:dyDescent="0.25">
      <c r="B300" s="229" t="s">
        <v>195</v>
      </c>
      <c r="C300" s="229" t="s">
        <v>195</v>
      </c>
      <c r="E300" s="78" t="s">
        <v>106</v>
      </c>
      <c r="F300" s="21">
        <f>F454</f>
        <v>0</v>
      </c>
      <c r="G300" s="21">
        <f t="shared" ref="G300:H300" si="172">G454</f>
        <v>0</v>
      </c>
      <c r="H300" s="21">
        <f t="shared" si="172"/>
        <v>0</v>
      </c>
      <c r="I300" s="10">
        <f t="shared" ref="I300:L306" si="173">IF(X300="",I454,X300)</f>
        <v>0</v>
      </c>
      <c r="J300" s="10">
        <f t="shared" si="173"/>
        <v>0</v>
      </c>
      <c r="K300" s="10">
        <f t="shared" si="173"/>
        <v>0</v>
      </c>
      <c r="L300" s="10">
        <f t="shared" si="173"/>
        <v>0</v>
      </c>
      <c r="M300" s="17">
        <f t="shared" ref="M300:M306" si="174">SUM(I300:L300)</f>
        <v>0</v>
      </c>
      <c r="N300" s="10">
        <f t="shared" ref="N300:Q300" si="175">IF(AC300="",N454,AC300)</f>
        <v>0</v>
      </c>
      <c r="O300" s="10">
        <f t="shared" si="175"/>
        <v>0</v>
      </c>
      <c r="P300" s="10">
        <f t="shared" si="175"/>
        <v>0</v>
      </c>
      <c r="Q300" s="10">
        <f t="shared" si="175"/>
        <v>0</v>
      </c>
      <c r="R300" s="22">
        <f t="shared" ref="R300:R306" si="176">SUM(N300:Q300)</f>
        <v>0</v>
      </c>
      <c r="S300" s="23">
        <f t="shared" ref="S300:U300" si="177">IF(AH300="",S454,AH300)</f>
        <v>0</v>
      </c>
      <c r="T300" s="23">
        <f t="shared" si="177"/>
        <v>0</v>
      </c>
      <c r="U300" s="23">
        <f t="shared" si="177"/>
        <v>0</v>
      </c>
      <c r="W300" s="79" t="str">
        <f>E300</f>
        <v>Fixed Asset Write offs</v>
      </c>
      <c r="X300" s="64"/>
      <c r="Y300" s="64"/>
      <c r="Z300" s="64"/>
      <c r="AA300" s="64"/>
      <c r="AB300" s="60"/>
      <c r="AC300" s="64"/>
      <c r="AD300" s="64"/>
      <c r="AE300" s="64"/>
      <c r="AF300" s="64"/>
      <c r="AG300" s="60"/>
      <c r="AH300" s="64"/>
      <c r="AI300" s="64"/>
      <c r="AJ300" s="64"/>
    </row>
    <row r="301" spans="2:36" hidden="1" outlineLevel="1" x14ac:dyDescent="0.25">
      <c r="B301" s="229" t="s">
        <v>195</v>
      </c>
      <c r="C301" s="229" t="s">
        <v>195</v>
      </c>
      <c r="E301" s="78" t="s">
        <v>100</v>
      </c>
      <c r="F301" s="21">
        <f t="shared" ref="F301:H306" si="178">F455</f>
        <v>0</v>
      </c>
      <c r="G301" s="21">
        <f t="shared" si="178"/>
        <v>0</v>
      </c>
      <c r="H301" s="21">
        <f t="shared" si="178"/>
        <v>0</v>
      </c>
      <c r="I301" s="10">
        <f t="shared" si="173"/>
        <v>0</v>
      </c>
      <c r="J301" s="10">
        <f t="shared" si="173"/>
        <v>0</v>
      </c>
      <c r="K301" s="10">
        <f t="shared" si="173"/>
        <v>0</v>
      </c>
      <c r="L301" s="10">
        <f t="shared" si="173"/>
        <v>0</v>
      </c>
      <c r="M301" s="17">
        <f t="shared" si="174"/>
        <v>0</v>
      </c>
      <c r="N301" s="10">
        <f t="shared" ref="N301:Q301" si="179">IF(AC301="",N455,AC301)</f>
        <v>0</v>
      </c>
      <c r="O301" s="10">
        <f t="shared" si="179"/>
        <v>0</v>
      </c>
      <c r="P301" s="10">
        <f t="shared" si="179"/>
        <v>0</v>
      </c>
      <c r="Q301" s="10">
        <f t="shared" si="179"/>
        <v>0</v>
      </c>
      <c r="R301" s="22">
        <f t="shared" si="176"/>
        <v>0</v>
      </c>
      <c r="S301" s="23">
        <f t="shared" ref="S301:U301" si="180">IF(AH301="",S455,AH301)</f>
        <v>0</v>
      </c>
      <c r="T301" s="23">
        <f t="shared" si="180"/>
        <v>0</v>
      </c>
      <c r="U301" s="23">
        <f t="shared" si="180"/>
        <v>0</v>
      </c>
      <c r="W301" s="79" t="str">
        <f t="shared" ref="W301:W306" si="181">E301</f>
        <v>E&amp;O Impact</v>
      </c>
      <c r="X301" s="64"/>
      <c r="Y301" s="64"/>
      <c r="Z301" s="64"/>
      <c r="AA301" s="64"/>
      <c r="AB301" s="60"/>
      <c r="AC301" s="64"/>
      <c r="AD301" s="64"/>
      <c r="AE301" s="64"/>
      <c r="AF301" s="64"/>
      <c r="AG301" s="60"/>
      <c r="AH301" s="64"/>
      <c r="AI301" s="64"/>
      <c r="AJ301" s="64"/>
    </row>
    <row r="302" spans="2:36" hidden="1" outlineLevel="1" x14ac:dyDescent="0.25">
      <c r="B302" s="229" t="s">
        <v>195</v>
      </c>
      <c r="C302" s="229" t="s">
        <v>195</v>
      </c>
      <c r="E302" s="78" t="s">
        <v>107</v>
      </c>
      <c r="F302" s="21">
        <f t="shared" si="178"/>
        <v>0</v>
      </c>
      <c r="G302" s="21">
        <f t="shared" si="178"/>
        <v>0</v>
      </c>
      <c r="H302" s="21">
        <f t="shared" si="178"/>
        <v>0</v>
      </c>
      <c r="I302" s="10">
        <f t="shared" si="173"/>
        <v>0</v>
      </c>
      <c r="J302" s="10">
        <f t="shared" si="173"/>
        <v>0</v>
      </c>
      <c r="K302" s="10">
        <f t="shared" si="173"/>
        <v>0</v>
      </c>
      <c r="L302" s="10">
        <f t="shared" si="173"/>
        <v>0</v>
      </c>
      <c r="M302" s="17">
        <f t="shared" si="174"/>
        <v>0</v>
      </c>
      <c r="N302" s="10">
        <f t="shared" ref="N302:Q302" si="182">IF(AC302="",N456,AC302)</f>
        <v>0</v>
      </c>
      <c r="O302" s="10">
        <f t="shared" si="182"/>
        <v>0</v>
      </c>
      <c r="P302" s="10">
        <f t="shared" si="182"/>
        <v>0</v>
      </c>
      <c r="Q302" s="10">
        <f t="shared" si="182"/>
        <v>0</v>
      </c>
      <c r="R302" s="22">
        <f t="shared" si="176"/>
        <v>0</v>
      </c>
      <c r="S302" s="23">
        <f t="shared" ref="S302:U302" si="183">IF(AH302="",S456,AH302)</f>
        <v>0</v>
      </c>
      <c r="T302" s="23">
        <f t="shared" si="183"/>
        <v>0</v>
      </c>
      <c r="U302" s="23">
        <f t="shared" si="183"/>
        <v>0</v>
      </c>
      <c r="W302" s="79" t="str">
        <f t="shared" si="181"/>
        <v>Employee Severances</v>
      </c>
      <c r="X302" s="64"/>
      <c r="Y302" s="64"/>
      <c r="Z302" s="64"/>
      <c r="AA302" s="64"/>
      <c r="AB302" s="60"/>
      <c r="AC302" s="64"/>
      <c r="AD302" s="64"/>
      <c r="AE302" s="64"/>
      <c r="AF302" s="64"/>
      <c r="AG302" s="60"/>
      <c r="AH302" s="64"/>
      <c r="AI302" s="64"/>
      <c r="AJ302" s="64"/>
    </row>
    <row r="303" spans="2:36" hidden="1" outlineLevel="1" x14ac:dyDescent="0.25">
      <c r="B303" s="229" t="s">
        <v>195</v>
      </c>
      <c r="C303" s="229" t="s">
        <v>195</v>
      </c>
      <c r="E303" s="78" t="s">
        <v>88</v>
      </c>
      <c r="F303" s="21">
        <f t="shared" si="178"/>
        <v>0</v>
      </c>
      <c r="G303" s="21">
        <f t="shared" si="178"/>
        <v>0</v>
      </c>
      <c r="H303" s="21">
        <f t="shared" si="178"/>
        <v>0</v>
      </c>
      <c r="I303" s="10">
        <f t="shared" si="173"/>
        <v>0</v>
      </c>
      <c r="J303" s="10">
        <f t="shared" si="173"/>
        <v>0</v>
      </c>
      <c r="K303" s="10">
        <f t="shared" si="173"/>
        <v>0</v>
      </c>
      <c r="L303" s="10">
        <f t="shared" si="173"/>
        <v>0</v>
      </c>
      <c r="M303" s="17">
        <f t="shared" si="174"/>
        <v>0</v>
      </c>
      <c r="N303" s="10">
        <f t="shared" ref="N303:Q303" si="184">IF(AC303="",N457,AC303)</f>
        <v>0</v>
      </c>
      <c r="O303" s="10">
        <f t="shared" si="184"/>
        <v>0</v>
      </c>
      <c r="P303" s="10">
        <f t="shared" si="184"/>
        <v>0</v>
      </c>
      <c r="Q303" s="10">
        <f t="shared" si="184"/>
        <v>0</v>
      </c>
      <c r="R303" s="22">
        <f t="shared" si="176"/>
        <v>0</v>
      </c>
      <c r="S303" s="23">
        <f t="shared" ref="S303:U303" si="185">IF(AH303="",S457,AH303)</f>
        <v>0</v>
      </c>
      <c r="T303" s="23">
        <f t="shared" si="185"/>
        <v>0</v>
      </c>
      <c r="U303" s="23">
        <f t="shared" si="185"/>
        <v>0</v>
      </c>
      <c r="W303" s="79" t="str">
        <f t="shared" si="181"/>
        <v>All Other</v>
      </c>
      <c r="X303" s="64"/>
      <c r="Y303" s="64"/>
      <c r="Z303" s="64"/>
      <c r="AA303" s="64"/>
      <c r="AB303" s="60"/>
      <c r="AC303" s="64"/>
      <c r="AD303" s="64"/>
      <c r="AE303" s="64"/>
      <c r="AF303" s="64"/>
      <c r="AG303" s="60"/>
      <c r="AH303" s="64"/>
      <c r="AI303" s="64"/>
      <c r="AJ303" s="64"/>
    </row>
    <row r="304" spans="2:36" hidden="1" outlineLevel="1" x14ac:dyDescent="0.25">
      <c r="B304" s="229" t="s">
        <v>195</v>
      </c>
      <c r="C304" s="229" t="s">
        <v>195</v>
      </c>
      <c r="E304" s="78" t="s">
        <v>77</v>
      </c>
      <c r="F304" s="21">
        <f t="shared" si="178"/>
        <v>0</v>
      </c>
      <c r="G304" s="21">
        <f t="shared" si="178"/>
        <v>0</v>
      </c>
      <c r="H304" s="21">
        <f t="shared" si="178"/>
        <v>0</v>
      </c>
      <c r="I304" s="10">
        <f t="shared" si="173"/>
        <v>0</v>
      </c>
      <c r="J304" s="10">
        <f t="shared" si="173"/>
        <v>0</v>
      </c>
      <c r="K304" s="10">
        <f t="shared" si="173"/>
        <v>0</v>
      </c>
      <c r="L304" s="10">
        <f t="shared" si="173"/>
        <v>0</v>
      </c>
      <c r="M304" s="17">
        <f t="shared" si="174"/>
        <v>0</v>
      </c>
      <c r="N304" s="10">
        <f t="shared" ref="N304:Q304" si="186">IF(AC304="",N458,AC304)</f>
        <v>0</v>
      </c>
      <c r="O304" s="10">
        <f t="shared" si="186"/>
        <v>0</v>
      </c>
      <c r="P304" s="10">
        <f t="shared" si="186"/>
        <v>0</v>
      </c>
      <c r="Q304" s="10">
        <f t="shared" si="186"/>
        <v>0</v>
      </c>
      <c r="R304" s="22">
        <f t="shared" si="176"/>
        <v>0</v>
      </c>
      <c r="S304" s="23">
        <f t="shared" ref="S304:U304" si="187">IF(AH304="",S458,AH304)</f>
        <v>0</v>
      </c>
      <c r="T304" s="23">
        <f t="shared" si="187"/>
        <v>0</v>
      </c>
      <c r="U304" s="23">
        <f t="shared" si="187"/>
        <v>0</v>
      </c>
      <c r="W304" s="79" t="str">
        <f t="shared" si="181"/>
        <v>blank</v>
      </c>
      <c r="X304" s="64"/>
      <c r="Y304" s="64"/>
      <c r="Z304" s="64"/>
      <c r="AA304" s="64"/>
      <c r="AB304" s="60"/>
      <c r="AC304" s="64"/>
      <c r="AD304" s="64"/>
      <c r="AE304" s="64"/>
      <c r="AF304" s="64"/>
      <c r="AG304" s="60"/>
      <c r="AH304" s="64"/>
      <c r="AI304" s="64"/>
      <c r="AJ304" s="64"/>
    </row>
    <row r="305" spans="2:36" hidden="1" outlineLevel="1" x14ac:dyDescent="0.25">
      <c r="B305" s="229" t="s">
        <v>195</v>
      </c>
      <c r="C305" s="229" t="s">
        <v>195</v>
      </c>
      <c r="E305" s="78" t="s">
        <v>77</v>
      </c>
      <c r="F305" s="21">
        <f t="shared" si="178"/>
        <v>0</v>
      </c>
      <c r="G305" s="21">
        <f t="shared" si="178"/>
        <v>0</v>
      </c>
      <c r="H305" s="21">
        <f t="shared" si="178"/>
        <v>0</v>
      </c>
      <c r="I305" s="10">
        <f t="shared" si="173"/>
        <v>0</v>
      </c>
      <c r="J305" s="10">
        <f t="shared" si="173"/>
        <v>0</v>
      </c>
      <c r="K305" s="10">
        <f t="shared" si="173"/>
        <v>0</v>
      </c>
      <c r="L305" s="10">
        <f t="shared" si="173"/>
        <v>0</v>
      </c>
      <c r="M305" s="17">
        <f t="shared" si="174"/>
        <v>0</v>
      </c>
      <c r="N305" s="10">
        <f t="shared" ref="N305:Q305" si="188">IF(AC305="",N459,AC305)</f>
        <v>0</v>
      </c>
      <c r="O305" s="10">
        <f t="shared" si="188"/>
        <v>0</v>
      </c>
      <c r="P305" s="10">
        <f t="shared" si="188"/>
        <v>0</v>
      </c>
      <c r="Q305" s="10">
        <f t="shared" si="188"/>
        <v>0</v>
      </c>
      <c r="R305" s="22">
        <f t="shared" si="176"/>
        <v>0</v>
      </c>
      <c r="S305" s="23">
        <f t="shared" ref="S305:U305" si="189">IF(AH305="",S459,AH305)</f>
        <v>0</v>
      </c>
      <c r="T305" s="23">
        <f t="shared" si="189"/>
        <v>0</v>
      </c>
      <c r="U305" s="23">
        <f t="shared" si="189"/>
        <v>0</v>
      </c>
      <c r="W305" s="79" t="str">
        <f t="shared" si="181"/>
        <v>blank</v>
      </c>
      <c r="X305" s="64"/>
      <c r="Y305" s="64"/>
      <c r="Z305" s="64"/>
      <c r="AA305" s="64"/>
      <c r="AB305" s="60"/>
      <c r="AC305" s="64"/>
      <c r="AD305" s="64"/>
      <c r="AE305" s="64"/>
      <c r="AF305" s="64"/>
      <c r="AG305" s="60"/>
      <c r="AH305" s="64"/>
      <c r="AI305" s="64"/>
      <c r="AJ305" s="64"/>
    </row>
    <row r="306" spans="2:36" hidden="1" outlineLevel="1" x14ac:dyDescent="0.25">
      <c r="B306" s="229" t="s">
        <v>195</v>
      </c>
      <c r="C306" s="229" t="s">
        <v>195</v>
      </c>
      <c r="E306" s="78" t="s">
        <v>77</v>
      </c>
      <c r="F306" s="21">
        <f t="shared" si="178"/>
        <v>0</v>
      </c>
      <c r="G306" s="21">
        <f t="shared" si="178"/>
        <v>0</v>
      </c>
      <c r="H306" s="21">
        <f t="shared" si="178"/>
        <v>0</v>
      </c>
      <c r="I306" s="10">
        <f t="shared" si="173"/>
        <v>0</v>
      </c>
      <c r="J306" s="10">
        <f t="shared" si="173"/>
        <v>0</v>
      </c>
      <c r="K306" s="10">
        <f t="shared" si="173"/>
        <v>0</v>
      </c>
      <c r="L306" s="10">
        <f t="shared" si="173"/>
        <v>0</v>
      </c>
      <c r="M306" s="17">
        <f t="shared" si="174"/>
        <v>0</v>
      </c>
      <c r="N306" s="10">
        <f t="shared" ref="N306:Q306" si="190">IF(AC306="",N460,AC306)</f>
        <v>0</v>
      </c>
      <c r="O306" s="10">
        <f t="shared" si="190"/>
        <v>0</v>
      </c>
      <c r="P306" s="10">
        <f t="shared" si="190"/>
        <v>0</v>
      </c>
      <c r="Q306" s="10">
        <f t="shared" si="190"/>
        <v>0</v>
      </c>
      <c r="R306" s="22">
        <f t="shared" si="176"/>
        <v>0</v>
      </c>
      <c r="S306" s="23">
        <f t="shared" ref="S306:U306" si="191">IF(AH306="",S460,AH306)</f>
        <v>0</v>
      </c>
      <c r="T306" s="23">
        <f t="shared" si="191"/>
        <v>0</v>
      </c>
      <c r="U306" s="23">
        <f t="shared" si="191"/>
        <v>0</v>
      </c>
      <c r="W306" s="79" t="str">
        <f t="shared" si="181"/>
        <v>blank</v>
      </c>
      <c r="X306" s="64"/>
      <c r="Y306" s="64"/>
      <c r="Z306" s="64"/>
      <c r="AA306" s="64"/>
      <c r="AB306" s="60"/>
      <c r="AC306" s="64"/>
      <c r="AD306" s="64"/>
      <c r="AE306" s="64"/>
      <c r="AF306" s="64"/>
      <c r="AG306" s="60"/>
      <c r="AH306" s="64"/>
      <c r="AI306" s="64"/>
      <c r="AJ306" s="64"/>
    </row>
    <row r="307" spans="2:36" ht="15.75" hidden="1" outlineLevel="1" thickBot="1" x14ac:dyDescent="0.3">
      <c r="E307" s="8" t="s">
        <v>27</v>
      </c>
      <c r="F307" s="9">
        <f t="shared" ref="F307:U307" si="192">SUM(F300:F306)</f>
        <v>0</v>
      </c>
      <c r="G307" s="9">
        <f t="shared" si="192"/>
        <v>0</v>
      </c>
      <c r="H307" s="9">
        <f t="shared" si="192"/>
        <v>0</v>
      </c>
      <c r="I307" s="11">
        <f t="shared" si="192"/>
        <v>0</v>
      </c>
      <c r="J307" s="11">
        <f t="shared" si="192"/>
        <v>0</v>
      </c>
      <c r="K307" s="11">
        <f t="shared" si="192"/>
        <v>0</v>
      </c>
      <c r="L307" s="11">
        <f t="shared" si="192"/>
        <v>0</v>
      </c>
      <c r="M307" s="18">
        <f t="shared" si="192"/>
        <v>0</v>
      </c>
      <c r="N307" s="11">
        <f t="shared" si="192"/>
        <v>0</v>
      </c>
      <c r="O307" s="11">
        <f t="shared" si="192"/>
        <v>0</v>
      </c>
      <c r="P307" s="11">
        <f t="shared" si="192"/>
        <v>0</v>
      </c>
      <c r="Q307" s="11">
        <f t="shared" si="192"/>
        <v>0</v>
      </c>
      <c r="R307" s="19">
        <f t="shared" si="192"/>
        <v>0</v>
      </c>
      <c r="S307" s="20">
        <f t="shared" si="192"/>
        <v>0</v>
      </c>
      <c r="T307" s="20">
        <f t="shared" si="192"/>
        <v>0</v>
      </c>
      <c r="U307" s="20">
        <f t="shared" si="192"/>
        <v>0</v>
      </c>
    </row>
    <row r="308" spans="2:36" ht="15.75" hidden="1" outlineLevel="1" thickTop="1" x14ac:dyDescent="0.25"/>
    <row r="309" spans="2:36" hidden="1" outlineLevel="1" x14ac:dyDescent="0.25"/>
    <row r="310" spans="2:36" hidden="1" outlineLevel="1" x14ac:dyDescent="0.25"/>
    <row r="311" spans="2:36" ht="18.75" collapsed="1" x14ac:dyDescent="0.3">
      <c r="B311" s="4" t="s">
        <v>34</v>
      </c>
      <c r="C311" s="4" t="s">
        <v>387</v>
      </c>
      <c r="E311" s="53" t="str">
        <f>"Scenario 5: "&amp;Inputs!B26</f>
        <v>Scenario 5: Scenario 5</v>
      </c>
      <c r="F311" s="49"/>
      <c r="G311" s="49"/>
      <c r="H311" s="49"/>
      <c r="I311" s="49"/>
      <c r="J311" s="49"/>
      <c r="K311" s="49"/>
      <c r="L311" s="49"/>
      <c r="M311" s="49"/>
      <c r="N311" s="49"/>
      <c r="O311" s="49"/>
      <c r="P311" s="49"/>
      <c r="Q311" s="49"/>
      <c r="R311" s="49"/>
      <c r="S311" s="49"/>
      <c r="T311" s="49"/>
      <c r="U311" s="49"/>
    </row>
    <row r="312" spans="2:36" hidden="1" outlineLevel="1" x14ac:dyDescent="0.25">
      <c r="E312" s="52" t="str">
        <f>Inputs!C26</f>
        <v>Scenario 5 Description</v>
      </c>
    </row>
    <row r="313" spans="2:36" hidden="1" outlineLevel="1" x14ac:dyDescent="0.25"/>
    <row r="314" spans="2:36" hidden="1" outlineLevel="1" x14ac:dyDescent="0.25"/>
    <row r="315" spans="2:36" hidden="1" outlineLevel="1" x14ac:dyDescent="0.25">
      <c r="E315" s="4" t="s">
        <v>82</v>
      </c>
      <c r="W315" s="4" t="str">
        <f>E315</f>
        <v>Investments Required</v>
      </c>
    </row>
    <row r="316" spans="2:36" hidden="1" outlineLevel="1" x14ac:dyDescent="0.25">
      <c r="E316" s="6" t="s">
        <v>25</v>
      </c>
      <c r="W316" s="61" t="s">
        <v>62</v>
      </c>
    </row>
    <row r="317" spans="2:36" hidden="1" outlineLevel="1" x14ac:dyDescent="0.25"/>
    <row r="318" spans="2:36" hidden="1" outlineLevel="1" x14ac:dyDescent="0.25">
      <c r="F318" s="12">
        <f>Inputs!$C$7</f>
        <v>2023</v>
      </c>
      <c r="G318" s="12">
        <f>Inputs!$C$8</f>
        <v>2024</v>
      </c>
      <c r="H318" s="12">
        <f>Inputs!$C$9</f>
        <v>2025</v>
      </c>
      <c r="I318" s="13" t="s">
        <v>1</v>
      </c>
      <c r="J318" s="13" t="s">
        <v>2</v>
      </c>
      <c r="K318" s="13" t="s">
        <v>3</v>
      </c>
      <c r="L318" s="13" t="s">
        <v>4</v>
      </c>
      <c r="M318" s="13">
        <f>Inputs!$C$10</f>
        <v>2026</v>
      </c>
      <c r="N318" s="14" t="s">
        <v>1</v>
      </c>
      <c r="O318" s="14" t="s">
        <v>2</v>
      </c>
      <c r="P318" s="14" t="s">
        <v>3</v>
      </c>
      <c r="Q318" s="14" t="s">
        <v>4</v>
      </c>
      <c r="R318" s="15">
        <f>Inputs!$C$11</f>
        <v>2027</v>
      </c>
      <c r="S318" s="16">
        <f>Inputs!$C$12</f>
        <v>2028</v>
      </c>
      <c r="T318" s="16">
        <f>Inputs!$C$13</f>
        <v>2029</v>
      </c>
      <c r="U318" s="16">
        <f>Inputs!$C$14</f>
        <v>2030</v>
      </c>
      <c r="X318" s="13" t="s">
        <v>1</v>
      </c>
      <c r="Y318" s="13" t="s">
        <v>2</v>
      </c>
      <c r="Z318" s="13" t="s">
        <v>3</v>
      </c>
      <c r="AA318" s="13" t="s">
        <v>4</v>
      </c>
      <c r="AB318" s="13">
        <f>Inputs!$C$10</f>
        <v>2026</v>
      </c>
      <c r="AC318" s="14" t="s">
        <v>1</v>
      </c>
      <c r="AD318" s="14" t="s">
        <v>2</v>
      </c>
      <c r="AE318" s="14" t="s">
        <v>3</v>
      </c>
      <c r="AF318" s="14" t="s">
        <v>4</v>
      </c>
      <c r="AG318" s="15">
        <f>Inputs!$C$11</f>
        <v>2027</v>
      </c>
      <c r="AH318" s="16">
        <f>Inputs!$C$12</f>
        <v>2028</v>
      </c>
      <c r="AI318" s="16">
        <f>Inputs!$C$13</f>
        <v>2029</v>
      </c>
      <c r="AJ318" s="16">
        <f>Inputs!$C$14</f>
        <v>2030</v>
      </c>
    </row>
    <row r="319" spans="2:36" hidden="1" outlineLevel="1" x14ac:dyDescent="0.25">
      <c r="F319" s="71" t="s">
        <v>63</v>
      </c>
      <c r="G319" s="71" t="s">
        <v>63</v>
      </c>
      <c r="H319" s="71" t="s">
        <v>63</v>
      </c>
      <c r="I319" s="71" t="s">
        <v>63</v>
      </c>
      <c r="J319" s="71" t="s">
        <v>63</v>
      </c>
      <c r="K319" s="71" t="s">
        <v>63</v>
      </c>
      <c r="L319" s="71" t="s">
        <v>63</v>
      </c>
      <c r="M319" s="71" t="s">
        <v>63</v>
      </c>
      <c r="N319" s="71" t="s">
        <v>63</v>
      </c>
      <c r="O319" s="71" t="s">
        <v>63</v>
      </c>
      <c r="P319" s="71" t="s">
        <v>63</v>
      </c>
      <c r="Q319" s="71" t="s">
        <v>63</v>
      </c>
      <c r="R319" s="71" t="s">
        <v>63</v>
      </c>
      <c r="S319" s="71" t="s">
        <v>63</v>
      </c>
      <c r="T319" s="71" t="s">
        <v>63</v>
      </c>
      <c r="U319" s="71" t="s">
        <v>63</v>
      </c>
      <c r="X319" s="63" t="s">
        <v>30</v>
      </c>
      <c r="Y319" s="63" t="s">
        <v>30</v>
      </c>
      <c r="Z319" s="63" t="s">
        <v>30</v>
      </c>
      <c r="AA319" s="63" t="s">
        <v>30</v>
      </c>
      <c r="AB319" s="62"/>
      <c r="AC319" s="63" t="s">
        <v>30</v>
      </c>
      <c r="AD319" s="63" t="s">
        <v>30</v>
      </c>
      <c r="AE319" s="63" t="s">
        <v>30</v>
      </c>
      <c r="AF319" s="63" t="s">
        <v>30</v>
      </c>
      <c r="AG319" s="62"/>
      <c r="AH319" s="63" t="s">
        <v>30</v>
      </c>
      <c r="AI319" s="63" t="s">
        <v>30</v>
      </c>
      <c r="AJ319" s="63" t="s">
        <v>30</v>
      </c>
    </row>
    <row r="320" spans="2:36" hidden="1" outlineLevel="1" x14ac:dyDescent="0.25">
      <c r="B320" s="229" t="s">
        <v>195</v>
      </c>
      <c r="C320" s="229" t="s">
        <v>195</v>
      </c>
      <c r="E320" s="78" t="s">
        <v>102</v>
      </c>
      <c r="F320" s="21">
        <f>F397</f>
        <v>0</v>
      </c>
      <c r="G320" s="21">
        <f t="shared" ref="G320:H320" si="193">G397</f>
        <v>0</v>
      </c>
      <c r="H320" s="21">
        <f t="shared" si="193"/>
        <v>0</v>
      </c>
      <c r="I320" s="10">
        <f t="shared" ref="I320:L326" si="194">IF(X320="",I397,X320)</f>
        <v>0</v>
      </c>
      <c r="J320" s="10">
        <f t="shared" si="194"/>
        <v>0</v>
      </c>
      <c r="K320" s="10">
        <f t="shared" si="194"/>
        <v>0</v>
      </c>
      <c r="L320" s="10">
        <f t="shared" si="194"/>
        <v>0</v>
      </c>
      <c r="M320" s="17">
        <f t="shared" ref="M320:M326" si="195">SUM(I320:L320)</f>
        <v>0</v>
      </c>
      <c r="N320" s="10">
        <f t="shared" ref="N320:Q326" si="196">IF(AC320="",N397,AC320)</f>
        <v>0</v>
      </c>
      <c r="O320" s="10">
        <f t="shared" si="196"/>
        <v>0</v>
      </c>
      <c r="P320" s="10">
        <f t="shared" si="196"/>
        <v>0</v>
      </c>
      <c r="Q320" s="10">
        <f t="shared" si="196"/>
        <v>0</v>
      </c>
      <c r="R320" s="22">
        <f t="shared" ref="R320:R326" si="197">SUM(N320:Q320)</f>
        <v>0</v>
      </c>
      <c r="S320" s="23">
        <f t="shared" ref="S320:U326" si="198">IF(AH320="",S397,AH320)</f>
        <v>0</v>
      </c>
      <c r="T320" s="23">
        <f t="shared" si="198"/>
        <v>0</v>
      </c>
      <c r="U320" s="23">
        <f t="shared" si="198"/>
        <v>0</v>
      </c>
      <c r="W320" s="79" t="str">
        <f>E320</f>
        <v>3rd Party Expenses 1</v>
      </c>
      <c r="X320" s="64"/>
      <c r="Y320" s="64"/>
      <c r="Z320" s="64"/>
      <c r="AA320" s="64"/>
      <c r="AB320" s="60"/>
      <c r="AC320" s="64"/>
      <c r="AD320" s="64"/>
      <c r="AE320" s="64"/>
      <c r="AF320" s="64"/>
      <c r="AG320" s="60"/>
      <c r="AH320" s="64"/>
      <c r="AI320" s="64"/>
      <c r="AJ320" s="64"/>
    </row>
    <row r="321" spans="2:36" hidden="1" outlineLevel="1" x14ac:dyDescent="0.25">
      <c r="B321" s="229" t="s">
        <v>195</v>
      </c>
      <c r="C321" s="229" t="s">
        <v>195</v>
      </c>
      <c r="E321" s="78" t="s">
        <v>103</v>
      </c>
      <c r="F321" s="21">
        <f t="shared" ref="F321:H326" si="199">F398</f>
        <v>0</v>
      </c>
      <c r="G321" s="21">
        <f t="shared" si="199"/>
        <v>0</v>
      </c>
      <c r="H321" s="21">
        <f t="shared" si="199"/>
        <v>0</v>
      </c>
      <c r="I321" s="10">
        <f t="shared" si="194"/>
        <v>0</v>
      </c>
      <c r="J321" s="10">
        <f t="shared" si="194"/>
        <v>0</v>
      </c>
      <c r="K321" s="10">
        <f t="shared" si="194"/>
        <v>0</v>
      </c>
      <c r="L321" s="10">
        <f t="shared" si="194"/>
        <v>0</v>
      </c>
      <c r="M321" s="17">
        <f t="shared" si="195"/>
        <v>0</v>
      </c>
      <c r="N321" s="10">
        <f t="shared" si="196"/>
        <v>0</v>
      </c>
      <c r="O321" s="10">
        <f t="shared" si="196"/>
        <v>0</v>
      </c>
      <c r="P321" s="10">
        <f t="shared" si="196"/>
        <v>0</v>
      </c>
      <c r="Q321" s="10">
        <f t="shared" si="196"/>
        <v>0</v>
      </c>
      <c r="R321" s="22">
        <f t="shared" si="197"/>
        <v>0</v>
      </c>
      <c r="S321" s="23">
        <f t="shared" si="198"/>
        <v>0</v>
      </c>
      <c r="T321" s="23">
        <f t="shared" si="198"/>
        <v>0</v>
      </c>
      <c r="U321" s="23">
        <f t="shared" si="198"/>
        <v>0</v>
      </c>
      <c r="W321" s="79" t="str">
        <f t="shared" ref="W321:W326" si="200">E321</f>
        <v>3rd Party Expenses 2</v>
      </c>
      <c r="X321" s="64"/>
      <c r="Y321" s="64"/>
      <c r="Z321" s="64"/>
      <c r="AA321" s="64"/>
      <c r="AB321" s="60"/>
      <c r="AC321" s="64"/>
      <c r="AD321" s="64"/>
      <c r="AE321" s="64"/>
      <c r="AF321" s="64"/>
      <c r="AG321" s="60"/>
      <c r="AH321" s="64"/>
      <c r="AI321" s="64"/>
      <c r="AJ321" s="64"/>
    </row>
    <row r="322" spans="2:36" hidden="1" outlineLevel="1" x14ac:dyDescent="0.25">
      <c r="B322" s="229" t="s">
        <v>195</v>
      </c>
      <c r="C322" s="229" t="s">
        <v>195</v>
      </c>
      <c r="E322" s="78" t="s">
        <v>104</v>
      </c>
      <c r="F322" s="21">
        <f t="shared" si="199"/>
        <v>0</v>
      </c>
      <c r="G322" s="21">
        <f t="shared" si="199"/>
        <v>0</v>
      </c>
      <c r="H322" s="21">
        <f t="shared" si="199"/>
        <v>0</v>
      </c>
      <c r="I322" s="10">
        <f t="shared" si="194"/>
        <v>0</v>
      </c>
      <c r="J322" s="10">
        <f t="shared" si="194"/>
        <v>0</v>
      </c>
      <c r="K322" s="10">
        <f t="shared" si="194"/>
        <v>0</v>
      </c>
      <c r="L322" s="10">
        <f t="shared" si="194"/>
        <v>0</v>
      </c>
      <c r="M322" s="17">
        <f t="shared" si="195"/>
        <v>0</v>
      </c>
      <c r="N322" s="10">
        <f t="shared" si="196"/>
        <v>0</v>
      </c>
      <c r="O322" s="10">
        <f t="shared" si="196"/>
        <v>0</v>
      </c>
      <c r="P322" s="10">
        <f t="shared" si="196"/>
        <v>0</v>
      </c>
      <c r="Q322" s="10">
        <f t="shared" si="196"/>
        <v>0</v>
      </c>
      <c r="R322" s="22">
        <f t="shared" si="197"/>
        <v>0</v>
      </c>
      <c r="S322" s="23">
        <f t="shared" si="198"/>
        <v>0</v>
      </c>
      <c r="T322" s="23">
        <f t="shared" si="198"/>
        <v>0</v>
      </c>
      <c r="U322" s="23">
        <f t="shared" si="198"/>
        <v>0</v>
      </c>
      <c r="W322" s="79" t="str">
        <f t="shared" si="200"/>
        <v>3rd Party Expenses 3</v>
      </c>
      <c r="X322" s="64"/>
      <c r="Y322" s="64"/>
      <c r="Z322" s="64"/>
      <c r="AA322" s="64"/>
      <c r="AB322" s="60"/>
      <c r="AC322" s="64"/>
      <c r="AD322" s="64"/>
      <c r="AE322" s="64"/>
      <c r="AF322" s="64"/>
      <c r="AG322" s="60"/>
      <c r="AH322" s="64"/>
      <c r="AI322" s="64"/>
      <c r="AJ322" s="64"/>
    </row>
    <row r="323" spans="2:36" hidden="1" outlineLevel="1" x14ac:dyDescent="0.25">
      <c r="B323" s="229" t="s">
        <v>195</v>
      </c>
      <c r="C323" s="229" t="s">
        <v>195</v>
      </c>
      <c r="E323" s="78" t="s">
        <v>108</v>
      </c>
      <c r="F323" s="21">
        <f t="shared" si="199"/>
        <v>0</v>
      </c>
      <c r="G323" s="21">
        <f t="shared" si="199"/>
        <v>0</v>
      </c>
      <c r="H323" s="21">
        <f t="shared" si="199"/>
        <v>0</v>
      </c>
      <c r="I323" s="10">
        <f t="shared" si="194"/>
        <v>0</v>
      </c>
      <c r="J323" s="10">
        <f t="shared" si="194"/>
        <v>0</v>
      </c>
      <c r="K323" s="10">
        <f t="shared" si="194"/>
        <v>0</v>
      </c>
      <c r="L323" s="10">
        <f t="shared" si="194"/>
        <v>0</v>
      </c>
      <c r="M323" s="17">
        <f t="shared" si="195"/>
        <v>0</v>
      </c>
      <c r="N323" s="10">
        <f t="shared" si="196"/>
        <v>0</v>
      </c>
      <c r="O323" s="10">
        <f t="shared" si="196"/>
        <v>0</v>
      </c>
      <c r="P323" s="10">
        <f t="shared" si="196"/>
        <v>0</v>
      </c>
      <c r="Q323" s="10">
        <f t="shared" si="196"/>
        <v>0</v>
      </c>
      <c r="R323" s="22">
        <f t="shared" si="197"/>
        <v>0</v>
      </c>
      <c r="S323" s="23">
        <f t="shared" si="198"/>
        <v>0</v>
      </c>
      <c r="T323" s="23">
        <f t="shared" si="198"/>
        <v>0</v>
      </c>
      <c r="U323" s="23">
        <f t="shared" si="198"/>
        <v>0</v>
      </c>
      <c r="W323" s="79" t="str">
        <f t="shared" si="200"/>
        <v>3rd Party Expenses 4</v>
      </c>
      <c r="X323" s="64"/>
      <c r="Y323" s="64"/>
      <c r="Z323" s="64"/>
      <c r="AA323" s="64"/>
      <c r="AB323" s="60"/>
      <c r="AC323" s="64"/>
      <c r="AD323" s="64"/>
      <c r="AE323" s="64"/>
      <c r="AF323" s="64"/>
      <c r="AG323" s="60"/>
      <c r="AH323" s="64"/>
      <c r="AI323" s="64"/>
      <c r="AJ323" s="64"/>
    </row>
    <row r="324" spans="2:36" hidden="1" outlineLevel="1" x14ac:dyDescent="0.25">
      <c r="B324" s="229" t="s">
        <v>195</v>
      </c>
      <c r="C324" s="229" t="s">
        <v>195</v>
      </c>
      <c r="E324" s="78" t="s">
        <v>88</v>
      </c>
      <c r="F324" s="21">
        <f t="shared" si="199"/>
        <v>0</v>
      </c>
      <c r="G324" s="21">
        <f t="shared" si="199"/>
        <v>0</v>
      </c>
      <c r="H324" s="21">
        <f t="shared" si="199"/>
        <v>0</v>
      </c>
      <c r="I324" s="10">
        <f t="shared" si="194"/>
        <v>0</v>
      </c>
      <c r="J324" s="10">
        <f t="shared" si="194"/>
        <v>0</v>
      </c>
      <c r="K324" s="10">
        <f t="shared" si="194"/>
        <v>0</v>
      </c>
      <c r="L324" s="10">
        <f t="shared" si="194"/>
        <v>0</v>
      </c>
      <c r="M324" s="17">
        <f t="shared" si="195"/>
        <v>0</v>
      </c>
      <c r="N324" s="10">
        <f t="shared" si="196"/>
        <v>0</v>
      </c>
      <c r="O324" s="10">
        <f t="shared" si="196"/>
        <v>0</v>
      </c>
      <c r="P324" s="10">
        <f t="shared" si="196"/>
        <v>0</v>
      </c>
      <c r="Q324" s="10">
        <f t="shared" si="196"/>
        <v>0</v>
      </c>
      <c r="R324" s="22">
        <f t="shared" si="197"/>
        <v>0</v>
      </c>
      <c r="S324" s="23">
        <f t="shared" si="198"/>
        <v>0</v>
      </c>
      <c r="T324" s="23">
        <f t="shared" si="198"/>
        <v>0</v>
      </c>
      <c r="U324" s="23">
        <f t="shared" si="198"/>
        <v>0</v>
      </c>
      <c r="W324" s="79" t="str">
        <f t="shared" si="200"/>
        <v>All Other</v>
      </c>
      <c r="X324" s="64"/>
      <c r="Y324" s="64"/>
      <c r="Z324" s="64"/>
      <c r="AA324" s="64"/>
      <c r="AB324" s="60"/>
      <c r="AC324" s="64"/>
      <c r="AD324" s="64"/>
      <c r="AE324" s="64"/>
      <c r="AF324" s="64"/>
      <c r="AG324" s="60"/>
      <c r="AH324" s="64"/>
      <c r="AI324" s="64"/>
      <c r="AJ324" s="64"/>
    </row>
    <row r="325" spans="2:36" hidden="1" outlineLevel="1" x14ac:dyDescent="0.25">
      <c r="B325" s="229" t="s">
        <v>195</v>
      </c>
      <c r="C325" s="229" t="s">
        <v>195</v>
      </c>
      <c r="E325" s="78" t="s">
        <v>77</v>
      </c>
      <c r="F325" s="21">
        <f t="shared" si="199"/>
        <v>0</v>
      </c>
      <c r="G325" s="21">
        <f t="shared" si="199"/>
        <v>0</v>
      </c>
      <c r="H325" s="21">
        <f t="shared" si="199"/>
        <v>0</v>
      </c>
      <c r="I325" s="10">
        <f t="shared" si="194"/>
        <v>0</v>
      </c>
      <c r="J325" s="10">
        <f t="shared" si="194"/>
        <v>0</v>
      </c>
      <c r="K325" s="10">
        <f t="shared" si="194"/>
        <v>0</v>
      </c>
      <c r="L325" s="10">
        <f t="shared" si="194"/>
        <v>0</v>
      </c>
      <c r="M325" s="17">
        <f t="shared" si="195"/>
        <v>0</v>
      </c>
      <c r="N325" s="10">
        <f t="shared" si="196"/>
        <v>0</v>
      </c>
      <c r="O325" s="10">
        <f t="shared" si="196"/>
        <v>0</v>
      </c>
      <c r="P325" s="10">
        <f t="shared" si="196"/>
        <v>0</v>
      </c>
      <c r="Q325" s="10">
        <f t="shared" si="196"/>
        <v>0</v>
      </c>
      <c r="R325" s="22">
        <f t="shared" si="197"/>
        <v>0</v>
      </c>
      <c r="S325" s="23">
        <f t="shared" si="198"/>
        <v>0</v>
      </c>
      <c r="T325" s="23">
        <f t="shared" si="198"/>
        <v>0</v>
      </c>
      <c r="U325" s="23">
        <f t="shared" si="198"/>
        <v>0</v>
      </c>
      <c r="W325" s="79" t="str">
        <f t="shared" si="200"/>
        <v>blank</v>
      </c>
      <c r="X325" s="64"/>
      <c r="Y325" s="64"/>
      <c r="Z325" s="64"/>
      <c r="AA325" s="64"/>
      <c r="AB325" s="60"/>
      <c r="AC325" s="64"/>
      <c r="AD325" s="64"/>
      <c r="AE325" s="64"/>
      <c r="AF325" s="64"/>
      <c r="AG325" s="60"/>
      <c r="AH325" s="64"/>
      <c r="AI325" s="64"/>
      <c r="AJ325" s="64"/>
    </row>
    <row r="326" spans="2:36" hidden="1" outlineLevel="1" x14ac:dyDescent="0.25">
      <c r="B326" s="229" t="s">
        <v>195</v>
      </c>
      <c r="C326" s="229" t="s">
        <v>195</v>
      </c>
      <c r="E326" s="78" t="s">
        <v>77</v>
      </c>
      <c r="F326" s="21">
        <f t="shared" si="199"/>
        <v>0</v>
      </c>
      <c r="G326" s="21">
        <f t="shared" si="199"/>
        <v>0</v>
      </c>
      <c r="H326" s="21">
        <f t="shared" si="199"/>
        <v>0</v>
      </c>
      <c r="I326" s="10">
        <f t="shared" si="194"/>
        <v>0</v>
      </c>
      <c r="J326" s="10">
        <f t="shared" si="194"/>
        <v>0</v>
      </c>
      <c r="K326" s="10">
        <f t="shared" si="194"/>
        <v>0</v>
      </c>
      <c r="L326" s="10">
        <f t="shared" si="194"/>
        <v>0</v>
      </c>
      <c r="M326" s="17">
        <f t="shared" si="195"/>
        <v>0</v>
      </c>
      <c r="N326" s="10">
        <f t="shared" si="196"/>
        <v>0</v>
      </c>
      <c r="O326" s="10">
        <f t="shared" si="196"/>
        <v>0</v>
      </c>
      <c r="P326" s="10">
        <f t="shared" si="196"/>
        <v>0</v>
      </c>
      <c r="Q326" s="10">
        <f t="shared" si="196"/>
        <v>0</v>
      </c>
      <c r="R326" s="22">
        <f t="shared" si="197"/>
        <v>0</v>
      </c>
      <c r="S326" s="23">
        <f t="shared" si="198"/>
        <v>0</v>
      </c>
      <c r="T326" s="23">
        <f t="shared" si="198"/>
        <v>0</v>
      </c>
      <c r="U326" s="23">
        <f t="shared" si="198"/>
        <v>0</v>
      </c>
      <c r="W326" s="79" t="str">
        <f t="shared" si="200"/>
        <v>blank</v>
      </c>
      <c r="X326" s="64"/>
      <c r="Y326" s="64"/>
      <c r="Z326" s="64"/>
      <c r="AA326" s="64"/>
      <c r="AB326" s="60"/>
      <c r="AC326" s="64"/>
      <c r="AD326" s="64"/>
      <c r="AE326" s="64"/>
      <c r="AF326" s="64"/>
      <c r="AG326" s="60"/>
      <c r="AH326" s="64"/>
      <c r="AI326" s="64"/>
      <c r="AJ326" s="64"/>
    </row>
    <row r="327" spans="2:36" ht="15.75" hidden="1" outlineLevel="1" thickBot="1" x14ac:dyDescent="0.3">
      <c r="E327" s="8" t="s">
        <v>27</v>
      </c>
      <c r="F327" s="9">
        <f t="shared" ref="F327:U327" si="201">SUM(F320:F326)</f>
        <v>0</v>
      </c>
      <c r="G327" s="9">
        <f t="shared" si="201"/>
        <v>0</v>
      </c>
      <c r="H327" s="9">
        <f t="shared" si="201"/>
        <v>0</v>
      </c>
      <c r="I327" s="11">
        <f t="shared" si="201"/>
        <v>0</v>
      </c>
      <c r="J327" s="11">
        <f t="shared" si="201"/>
        <v>0</v>
      </c>
      <c r="K327" s="11">
        <f t="shared" si="201"/>
        <v>0</v>
      </c>
      <c r="L327" s="11">
        <f t="shared" si="201"/>
        <v>0</v>
      </c>
      <c r="M327" s="18">
        <f t="shared" si="201"/>
        <v>0</v>
      </c>
      <c r="N327" s="11">
        <f t="shared" si="201"/>
        <v>0</v>
      </c>
      <c r="O327" s="11">
        <f t="shared" si="201"/>
        <v>0</v>
      </c>
      <c r="P327" s="11">
        <f t="shared" si="201"/>
        <v>0</v>
      </c>
      <c r="Q327" s="11">
        <f t="shared" si="201"/>
        <v>0</v>
      </c>
      <c r="R327" s="19">
        <f t="shared" si="201"/>
        <v>0</v>
      </c>
      <c r="S327" s="20">
        <f t="shared" si="201"/>
        <v>0</v>
      </c>
      <c r="T327" s="20">
        <f t="shared" si="201"/>
        <v>0</v>
      </c>
      <c r="U327" s="20">
        <f t="shared" si="201"/>
        <v>0</v>
      </c>
    </row>
    <row r="328" spans="2:36" ht="15.75" hidden="1" outlineLevel="1" thickTop="1" x14ac:dyDescent="0.25">
      <c r="M328" s="3"/>
    </row>
    <row r="329" spans="2:36" hidden="1" outlineLevel="1" x14ac:dyDescent="0.25">
      <c r="M329" s="3"/>
    </row>
    <row r="330" spans="2:36" hidden="1" outlineLevel="1" x14ac:dyDescent="0.25">
      <c r="M330" s="3"/>
    </row>
    <row r="331" spans="2:36" hidden="1" outlineLevel="1" x14ac:dyDescent="0.25">
      <c r="E331" s="4" t="s">
        <v>28</v>
      </c>
      <c r="W331" s="4" t="str">
        <f>E331</f>
        <v>Capital Expenditures</v>
      </c>
    </row>
    <row r="332" spans="2:36" hidden="1" outlineLevel="1" x14ac:dyDescent="0.25">
      <c r="E332" s="6" t="s">
        <v>25</v>
      </c>
      <c r="W332" s="61" t="s">
        <v>62</v>
      </c>
    </row>
    <row r="333" spans="2:36" hidden="1" outlineLevel="1" x14ac:dyDescent="0.25"/>
    <row r="334" spans="2:36" hidden="1" outlineLevel="1" x14ac:dyDescent="0.25">
      <c r="F334" s="12">
        <f>Inputs!$C$7</f>
        <v>2023</v>
      </c>
      <c r="G334" s="12">
        <f>Inputs!$C$8</f>
        <v>2024</v>
      </c>
      <c r="H334" s="12">
        <f>Inputs!$C$9</f>
        <v>2025</v>
      </c>
      <c r="I334" s="13" t="s">
        <v>1</v>
      </c>
      <c r="J334" s="13" t="s">
        <v>2</v>
      </c>
      <c r="K334" s="13" t="s">
        <v>3</v>
      </c>
      <c r="L334" s="13" t="s">
        <v>4</v>
      </c>
      <c r="M334" s="13">
        <f>Inputs!$C$10</f>
        <v>2026</v>
      </c>
      <c r="N334" s="14" t="s">
        <v>1</v>
      </c>
      <c r="O334" s="14" t="s">
        <v>2</v>
      </c>
      <c r="P334" s="14" t="s">
        <v>3</v>
      </c>
      <c r="Q334" s="14" t="s">
        <v>4</v>
      </c>
      <c r="R334" s="15">
        <f>Inputs!$C$11</f>
        <v>2027</v>
      </c>
      <c r="S334" s="16">
        <f>Inputs!$C$12</f>
        <v>2028</v>
      </c>
      <c r="T334" s="16">
        <f>Inputs!$C$13</f>
        <v>2029</v>
      </c>
      <c r="U334" s="16">
        <f>Inputs!$C$14</f>
        <v>2030</v>
      </c>
      <c r="X334" s="13" t="s">
        <v>1</v>
      </c>
      <c r="Y334" s="13" t="s">
        <v>2</v>
      </c>
      <c r="Z334" s="13" t="s">
        <v>3</v>
      </c>
      <c r="AA334" s="13" t="s">
        <v>4</v>
      </c>
      <c r="AB334" s="13">
        <f>Inputs!$C$10</f>
        <v>2026</v>
      </c>
      <c r="AC334" s="14" t="s">
        <v>1</v>
      </c>
      <c r="AD334" s="14" t="s">
        <v>2</v>
      </c>
      <c r="AE334" s="14" t="s">
        <v>3</v>
      </c>
      <c r="AF334" s="14" t="s">
        <v>4</v>
      </c>
      <c r="AG334" s="15">
        <f>Inputs!$C$11</f>
        <v>2027</v>
      </c>
      <c r="AH334" s="16">
        <f>Inputs!$C$12</f>
        <v>2028</v>
      </c>
      <c r="AI334" s="16">
        <f>Inputs!$C$13</f>
        <v>2029</v>
      </c>
      <c r="AJ334" s="16">
        <f>Inputs!$C$14</f>
        <v>2030</v>
      </c>
    </row>
    <row r="335" spans="2:36" hidden="1" outlineLevel="1" x14ac:dyDescent="0.25">
      <c r="F335" s="71" t="s">
        <v>63</v>
      </c>
      <c r="G335" s="71" t="s">
        <v>63</v>
      </c>
      <c r="H335" s="71" t="s">
        <v>63</v>
      </c>
      <c r="I335" s="71" t="s">
        <v>63</v>
      </c>
      <c r="J335" s="71" t="s">
        <v>63</v>
      </c>
      <c r="K335" s="71" t="s">
        <v>63</v>
      </c>
      <c r="L335" s="71" t="s">
        <v>63</v>
      </c>
      <c r="M335" s="71" t="s">
        <v>63</v>
      </c>
      <c r="N335" s="71" t="s">
        <v>63</v>
      </c>
      <c r="O335" s="71" t="s">
        <v>63</v>
      </c>
      <c r="P335" s="71" t="s">
        <v>63</v>
      </c>
      <c r="Q335" s="71" t="s">
        <v>63</v>
      </c>
      <c r="R335" s="71" t="s">
        <v>63</v>
      </c>
      <c r="S335" s="71" t="s">
        <v>63</v>
      </c>
      <c r="T335" s="71" t="s">
        <v>63</v>
      </c>
      <c r="U335" s="71" t="s">
        <v>63</v>
      </c>
      <c r="X335" s="63" t="s">
        <v>30</v>
      </c>
      <c r="Y335" s="63" t="s">
        <v>30</v>
      </c>
      <c r="Z335" s="63" t="s">
        <v>30</v>
      </c>
      <c r="AA335" s="63" t="s">
        <v>30</v>
      </c>
      <c r="AB335" s="62"/>
      <c r="AC335" s="63" t="s">
        <v>30</v>
      </c>
      <c r="AD335" s="63" t="s">
        <v>30</v>
      </c>
      <c r="AE335" s="63" t="s">
        <v>30</v>
      </c>
      <c r="AF335" s="63" t="s">
        <v>30</v>
      </c>
      <c r="AG335" s="62"/>
      <c r="AH335" s="63" t="s">
        <v>30</v>
      </c>
      <c r="AI335" s="63" t="s">
        <v>30</v>
      </c>
      <c r="AJ335" s="63" t="s">
        <v>30</v>
      </c>
    </row>
    <row r="336" spans="2:36" hidden="1" outlineLevel="1" x14ac:dyDescent="0.25">
      <c r="B336" s="229" t="s">
        <v>195</v>
      </c>
      <c r="E336" s="78" t="s">
        <v>83</v>
      </c>
      <c r="F336" s="21">
        <f>F413</f>
        <v>0</v>
      </c>
      <c r="G336" s="21">
        <f t="shared" ref="G336:H336" si="202">G413</f>
        <v>0</v>
      </c>
      <c r="H336" s="21">
        <f t="shared" si="202"/>
        <v>0</v>
      </c>
      <c r="I336" s="10">
        <f t="shared" ref="I336:L342" si="203">IF(X336="",I413,X336)</f>
        <v>0</v>
      </c>
      <c r="J336" s="10">
        <f t="shared" si="203"/>
        <v>0</v>
      </c>
      <c r="K336" s="10">
        <f t="shared" si="203"/>
        <v>0</v>
      </c>
      <c r="L336" s="10">
        <f t="shared" si="203"/>
        <v>0</v>
      </c>
      <c r="M336" s="17">
        <f t="shared" ref="M336:M342" si="204">SUM(I336:L336)</f>
        <v>0</v>
      </c>
      <c r="N336" s="10">
        <f t="shared" ref="N336:Q342" si="205">IF(AC336="",N413,AC336)</f>
        <v>0</v>
      </c>
      <c r="O336" s="10">
        <f t="shared" si="205"/>
        <v>0</v>
      </c>
      <c r="P336" s="10">
        <f t="shared" si="205"/>
        <v>0</v>
      </c>
      <c r="Q336" s="10">
        <f t="shared" si="205"/>
        <v>0</v>
      </c>
      <c r="R336" s="22">
        <f t="shared" ref="R336:R342" si="206">SUM(N336:Q336)</f>
        <v>0</v>
      </c>
      <c r="S336" s="23">
        <f t="shared" ref="S336:U342" si="207">IF(AH336="",S413,AH336)</f>
        <v>0</v>
      </c>
      <c r="T336" s="23">
        <f t="shared" si="207"/>
        <v>0</v>
      </c>
      <c r="U336" s="23">
        <f t="shared" si="207"/>
        <v>0</v>
      </c>
      <c r="W336" s="79" t="str">
        <f>E336</f>
        <v>Capital Expenditure 1</v>
      </c>
      <c r="X336" s="64"/>
      <c r="Y336" s="64"/>
      <c r="Z336" s="64"/>
      <c r="AA336" s="64"/>
      <c r="AB336" s="60"/>
      <c r="AC336" s="64"/>
      <c r="AD336" s="64"/>
      <c r="AE336" s="64"/>
      <c r="AF336" s="64"/>
      <c r="AG336" s="60"/>
      <c r="AH336" s="64"/>
      <c r="AI336" s="64"/>
      <c r="AJ336" s="64"/>
    </row>
    <row r="337" spans="2:36" hidden="1" outlineLevel="1" x14ac:dyDescent="0.25">
      <c r="B337" s="229" t="s">
        <v>195</v>
      </c>
      <c r="E337" s="78" t="s">
        <v>84</v>
      </c>
      <c r="F337" s="21">
        <f t="shared" ref="F337:H342" si="208">F414</f>
        <v>0</v>
      </c>
      <c r="G337" s="21">
        <f t="shared" si="208"/>
        <v>0</v>
      </c>
      <c r="H337" s="21">
        <f t="shared" si="208"/>
        <v>0</v>
      </c>
      <c r="I337" s="10">
        <f t="shared" si="203"/>
        <v>0</v>
      </c>
      <c r="J337" s="10">
        <f t="shared" si="203"/>
        <v>0</v>
      </c>
      <c r="K337" s="10">
        <f t="shared" si="203"/>
        <v>0</v>
      </c>
      <c r="L337" s="10">
        <f t="shared" si="203"/>
        <v>0</v>
      </c>
      <c r="M337" s="17">
        <f t="shared" si="204"/>
        <v>0</v>
      </c>
      <c r="N337" s="10">
        <f t="shared" si="205"/>
        <v>0</v>
      </c>
      <c r="O337" s="10">
        <f t="shared" si="205"/>
        <v>0</v>
      </c>
      <c r="P337" s="10">
        <f t="shared" si="205"/>
        <v>0</v>
      </c>
      <c r="Q337" s="10">
        <f t="shared" si="205"/>
        <v>0</v>
      </c>
      <c r="R337" s="22">
        <f t="shared" si="206"/>
        <v>0</v>
      </c>
      <c r="S337" s="23">
        <f t="shared" si="207"/>
        <v>0</v>
      </c>
      <c r="T337" s="23">
        <f t="shared" si="207"/>
        <v>0</v>
      </c>
      <c r="U337" s="23">
        <f t="shared" si="207"/>
        <v>0</v>
      </c>
      <c r="W337" s="79" t="str">
        <f t="shared" ref="W337:W342" si="209">E337</f>
        <v>Capital Expenditure 2</v>
      </c>
      <c r="X337" s="64"/>
      <c r="Y337" s="64"/>
      <c r="Z337" s="64"/>
      <c r="AA337" s="64"/>
      <c r="AB337" s="60"/>
      <c r="AC337" s="64"/>
      <c r="AD337" s="64"/>
      <c r="AE337" s="64"/>
      <c r="AF337" s="64"/>
      <c r="AG337" s="60"/>
      <c r="AH337" s="64"/>
      <c r="AI337" s="64"/>
      <c r="AJ337" s="64"/>
    </row>
    <row r="338" spans="2:36" hidden="1" outlineLevel="1" x14ac:dyDescent="0.25">
      <c r="B338" s="229" t="s">
        <v>195</v>
      </c>
      <c r="E338" s="78" t="s">
        <v>85</v>
      </c>
      <c r="F338" s="21">
        <f t="shared" si="208"/>
        <v>0</v>
      </c>
      <c r="G338" s="21">
        <f t="shared" si="208"/>
        <v>0</v>
      </c>
      <c r="H338" s="21">
        <f t="shared" si="208"/>
        <v>0</v>
      </c>
      <c r="I338" s="10">
        <f t="shared" si="203"/>
        <v>0</v>
      </c>
      <c r="J338" s="10">
        <f t="shared" si="203"/>
        <v>0</v>
      </c>
      <c r="K338" s="10">
        <f t="shared" si="203"/>
        <v>0</v>
      </c>
      <c r="L338" s="10">
        <f t="shared" si="203"/>
        <v>0</v>
      </c>
      <c r="M338" s="17">
        <f t="shared" si="204"/>
        <v>0</v>
      </c>
      <c r="N338" s="10">
        <f t="shared" si="205"/>
        <v>0</v>
      </c>
      <c r="O338" s="10">
        <f t="shared" si="205"/>
        <v>0</v>
      </c>
      <c r="P338" s="10">
        <f t="shared" si="205"/>
        <v>0</v>
      </c>
      <c r="Q338" s="10">
        <f t="shared" si="205"/>
        <v>0</v>
      </c>
      <c r="R338" s="22">
        <f t="shared" si="206"/>
        <v>0</v>
      </c>
      <c r="S338" s="23">
        <f t="shared" si="207"/>
        <v>0</v>
      </c>
      <c r="T338" s="23">
        <f t="shared" si="207"/>
        <v>0</v>
      </c>
      <c r="U338" s="23">
        <f t="shared" si="207"/>
        <v>0</v>
      </c>
      <c r="W338" s="79" t="str">
        <f t="shared" si="209"/>
        <v>Capital Expenditure 3</v>
      </c>
      <c r="X338" s="64"/>
      <c r="Y338" s="64"/>
      <c r="Z338" s="64"/>
      <c r="AA338" s="64"/>
      <c r="AB338" s="60"/>
      <c r="AC338" s="64"/>
      <c r="AD338" s="64"/>
      <c r="AE338" s="64"/>
      <c r="AF338" s="64"/>
      <c r="AG338" s="60"/>
      <c r="AH338" s="64"/>
      <c r="AI338" s="64"/>
      <c r="AJ338" s="64"/>
    </row>
    <row r="339" spans="2:36" hidden="1" outlineLevel="1" x14ac:dyDescent="0.25">
      <c r="B339" s="229" t="s">
        <v>195</v>
      </c>
      <c r="E339" s="78" t="s">
        <v>86</v>
      </c>
      <c r="F339" s="21">
        <f t="shared" si="208"/>
        <v>0</v>
      </c>
      <c r="G339" s="21">
        <f t="shared" si="208"/>
        <v>0</v>
      </c>
      <c r="H339" s="21">
        <f t="shared" si="208"/>
        <v>0</v>
      </c>
      <c r="I339" s="10">
        <f t="shared" si="203"/>
        <v>0</v>
      </c>
      <c r="J339" s="10">
        <f t="shared" si="203"/>
        <v>0</v>
      </c>
      <c r="K339" s="10">
        <f t="shared" si="203"/>
        <v>0</v>
      </c>
      <c r="L339" s="10">
        <f t="shared" si="203"/>
        <v>0</v>
      </c>
      <c r="M339" s="17">
        <f t="shared" si="204"/>
        <v>0</v>
      </c>
      <c r="N339" s="10">
        <f t="shared" si="205"/>
        <v>0</v>
      </c>
      <c r="O339" s="10">
        <f t="shared" si="205"/>
        <v>0</v>
      </c>
      <c r="P339" s="10">
        <f t="shared" si="205"/>
        <v>0</v>
      </c>
      <c r="Q339" s="10">
        <f t="shared" si="205"/>
        <v>0</v>
      </c>
      <c r="R339" s="22">
        <f t="shared" si="206"/>
        <v>0</v>
      </c>
      <c r="S339" s="23">
        <f t="shared" si="207"/>
        <v>0</v>
      </c>
      <c r="T339" s="23">
        <f t="shared" si="207"/>
        <v>0</v>
      </c>
      <c r="U339" s="23">
        <f t="shared" si="207"/>
        <v>0</v>
      </c>
      <c r="W339" s="79" t="str">
        <f t="shared" si="209"/>
        <v>Capital Expenditure 4</v>
      </c>
      <c r="X339" s="64"/>
      <c r="Y339" s="64"/>
      <c r="Z339" s="64"/>
      <c r="AA339" s="64"/>
      <c r="AB339" s="60"/>
      <c r="AC339" s="64"/>
      <c r="AD339" s="64"/>
      <c r="AE339" s="64"/>
      <c r="AF339" s="64"/>
      <c r="AG339" s="60"/>
      <c r="AH339" s="64"/>
      <c r="AI339" s="64"/>
      <c r="AJ339" s="64"/>
    </row>
    <row r="340" spans="2:36" hidden="1" outlineLevel="1" x14ac:dyDescent="0.25">
      <c r="B340" s="229" t="s">
        <v>195</v>
      </c>
      <c r="E340" s="78" t="s">
        <v>87</v>
      </c>
      <c r="F340" s="21">
        <f t="shared" si="208"/>
        <v>0</v>
      </c>
      <c r="G340" s="21">
        <f t="shared" si="208"/>
        <v>0</v>
      </c>
      <c r="H340" s="21">
        <f t="shared" si="208"/>
        <v>0</v>
      </c>
      <c r="I340" s="10">
        <f t="shared" si="203"/>
        <v>0</v>
      </c>
      <c r="J340" s="10">
        <f t="shared" si="203"/>
        <v>0</v>
      </c>
      <c r="K340" s="10">
        <f t="shared" si="203"/>
        <v>0</v>
      </c>
      <c r="L340" s="10">
        <f t="shared" si="203"/>
        <v>0</v>
      </c>
      <c r="M340" s="17">
        <f t="shared" si="204"/>
        <v>0</v>
      </c>
      <c r="N340" s="10">
        <f t="shared" si="205"/>
        <v>0</v>
      </c>
      <c r="O340" s="10">
        <f t="shared" si="205"/>
        <v>0</v>
      </c>
      <c r="P340" s="10">
        <f t="shared" si="205"/>
        <v>0</v>
      </c>
      <c r="Q340" s="10">
        <f t="shared" si="205"/>
        <v>0</v>
      </c>
      <c r="R340" s="22">
        <f t="shared" si="206"/>
        <v>0</v>
      </c>
      <c r="S340" s="23">
        <f t="shared" si="207"/>
        <v>0</v>
      </c>
      <c r="T340" s="23">
        <f t="shared" si="207"/>
        <v>0</v>
      </c>
      <c r="U340" s="23">
        <f t="shared" si="207"/>
        <v>0</v>
      </c>
      <c r="W340" s="79" t="str">
        <f t="shared" si="209"/>
        <v>Capital Expenditure 5</v>
      </c>
      <c r="X340" s="64"/>
      <c r="Y340" s="64"/>
      <c r="Z340" s="64"/>
      <c r="AA340" s="64"/>
      <c r="AB340" s="60"/>
      <c r="AC340" s="64"/>
      <c r="AD340" s="64"/>
      <c r="AE340" s="64"/>
      <c r="AF340" s="64"/>
      <c r="AG340" s="60"/>
      <c r="AH340" s="64"/>
      <c r="AI340" s="64"/>
      <c r="AJ340" s="64"/>
    </row>
    <row r="341" spans="2:36" hidden="1" outlineLevel="1" x14ac:dyDescent="0.25">
      <c r="B341" s="229" t="s">
        <v>195</v>
      </c>
      <c r="E341" s="78" t="s">
        <v>88</v>
      </c>
      <c r="F341" s="21">
        <f t="shared" si="208"/>
        <v>0</v>
      </c>
      <c r="G341" s="21">
        <f t="shared" si="208"/>
        <v>0</v>
      </c>
      <c r="H341" s="21">
        <f t="shared" si="208"/>
        <v>0</v>
      </c>
      <c r="I341" s="10">
        <f t="shared" si="203"/>
        <v>0</v>
      </c>
      <c r="J341" s="10">
        <f t="shared" si="203"/>
        <v>0</v>
      </c>
      <c r="K341" s="10">
        <f t="shared" si="203"/>
        <v>0</v>
      </c>
      <c r="L341" s="10">
        <f t="shared" si="203"/>
        <v>0</v>
      </c>
      <c r="M341" s="17">
        <f t="shared" si="204"/>
        <v>0</v>
      </c>
      <c r="N341" s="10">
        <f t="shared" si="205"/>
        <v>0</v>
      </c>
      <c r="O341" s="10">
        <f t="shared" si="205"/>
        <v>0</v>
      </c>
      <c r="P341" s="10">
        <f t="shared" si="205"/>
        <v>0</v>
      </c>
      <c r="Q341" s="10">
        <f t="shared" si="205"/>
        <v>0</v>
      </c>
      <c r="R341" s="22">
        <f t="shared" si="206"/>
        <v>0</v>
      </c>
      <c r="S341" s="23">
        <f t="shared" si="207"/>
        <v>0</v>
      </c>
      <c r="T341" s="23">
        <f t="shared" si="207"/>
        <v>0</v>
      </c>
      <c r="U341" s="23">
        <f t="shared" si="207"/>
        <v>0</v>
      </c>
      <c r="W341" s="79" t="str">
        <f t="shared" si="209"/>
        <v>All Other</v>
      </c>
      <c r="X341" s="64"/>
      <c r="Y341" s="64"/>
      <c r="Z341" s="64"/>
      <c r="AA341" s="64"/>
      <c r="AB341" s="60"/>
      <c r="AC341" s="64"/>
      <c r="AD341" s="64"/>
      <c r="AE341" s="64"/>
      <c r="AF341" s="64"/>
      <c r="AG341" s="60"/>
      <c r="AH341" s="64"/>
      <c r="AI341" s="64"/>
      <c r="AJ341" s="64"/>
    </row>
    <row r="342" spans="2:36" hidden="1" outlineLevel="1" x14ac:dyDescent="0.25">
      <c r="B342" s="229" t="s">
        <v>195</v>
      </c>
      <c r="E342" s="78" t="s">
        <v>77</v>
      </c>
      <c r="F342" s="21">
        <f t="shared" si="208"/>
        <v>0</v>
      </c>
      <c r="G342" s="21">
        <f t="shared" si="208"/>
        <v>0</v>
      </c>
      <c r="H342" s="21">
        <f t="shared" si="208"/>
        <v>0</v>
      </c>
      <c r="I342" s="10">
        <f t="shared" si="203"/>
        <v>0</v>
      </c>
      <c r="J342" s="10">
        <f t="shared" si="203"/>
        <v>0</v>
      </c>
      <c r="K342" s="10">
        <f t="shared" si="203"/>
        <v>0</v>
      </c>
      <c r="L342" s="10">
        <f t="shared" si="203"/>
        <v>0</v>
      </c>
      <c r="M342" s="17">
        <f t="shared" si="204"/>
        <v>0</v>
      </c>
      <c r="N342" s="10">
        <f t="shared" si="205"/>
        <v>0</v>
      </c>
      <c r="O342" s="10">
        <f t="shared" si="205"/>
        <v>0</v>
      </c>
      <c r="P342" s="10">
        <f t="shared" si="205"/>
        <v>0</v>
      </c>
      <c r="Q342" s="10">
        <f t="shared" si="205"/>
        <v>0</v>
      </c>
      <c r="R342" s="22">
        <f t="shared" si="206"/>
        <v>0</v>
      </c>
      <c r="S342" s="23">
        <f t="shared" si="207"/>
        <v>0</v>
      </c>
      <c r="T342" s="23">
        <f t="shared" si="207"/>
        <v>0</v>
      </c>
      <c r="U342" s="23">
        <f t="shared" si="207"/>
        <v>0</v>
      </c>
      <c r="W342" s="79" t="str">
        <f t="shared" si="209"/>
        <v>blank</v>
      </c>
      <c r="X342" s="64"/>
      <c r="Y342" s="64"/>
      <c r="Z342" s="64"/>
      <c r="AA342" s="64"/>
      <c r="AB342" s="60"/>
      <c r="AC342" s="64"/>
      <c r="AD342" s="64"/>
      <c r="AE342" s="64"/>
      <c r="AF342" s="64"/>
      <c r="AG342" s="60"/>
      <c r="AH342" s="64"/>
      <c r="AI342" s="64"/>
      <c r="AJ342" s="64"/>
    </row>
    <row r="343" spans="2:36" ht="15.75" hidden="1" outlineLevel="1" thickBot="1" x14ac:dyDescent="0.3">
      <c r="E343" s="8" t="s">
        <v>27</v>
      </c>
      <c r="F343" s="9">
        <f t="shared" ref="F343:U343" si="210">SUM(F336:F342)</f>
        <v>0</v>
      </c>
      <c r="G343" s="9">
        <f t="shared" si="210"/>
        <v>0</v>
      </c>
      <c r="H343" s="9">
        <f t="shared" si="210"/>
        <v>0</v>
      </c>
      <c r="I343" s="11">
        <f t="shared" si="210"/>
        <v>0</v>
      </c>
      <c r="J343" s="11">
        <f t="shared" si="210"/>
        <v>0</v>
      </c>
      <c r="K343" s="11">
        <f t="shared" si="210"/>
        <v>0</v>
      </c>
      <c r="L343" s="11">
        <f t="shared" si="210"/>
        <v>0</v>
      </c>
      <c r="M343" s="18">
        <f t="shared" si="210"/>
        <v>0</v>
      </c>
      <c r="N343" s="11">
        <f t="shared" si="210"/>
        <v>0</v>
      </c>
      <c r="O343" s="11">
        <f t="shared" si="210"/>
        <v>0</v>
      </c>
      <c r="P343" s="11">
        <f t="shared" si="210"/>
        <v>0</v>
      </c>
      <c r="Q343" s="11">
        <f t="shared" si="210"/>
        <v>0</v>
      </c>
      <c r="R343" s="19">
        <f t="shared" si="210"/>
        <v>0</v>
      </c>
      <c r="S343" s="20">
        <f t="shared" si="210"/>
        <v>0</v>
      </c>
      <c r="T343" s="20">
        <f t="shared" si="210"/>
        <v>0</v>
      </c>
      <c r="U343" s="20">
        <f t="shared" si="210"/>
        <v>0</v>
      </c>
    </row>
    <row r="344" spans="2:36" ht="15.75" hidden="1" outlineLevel="1" thickTop="1" x14ac:dyDescent="0.25"/>
    <row r="345" spans="2:36" hidden="1" outlineLevel="1" x14ac:dyDescent="0.25">
      <c r="C345" s="229" t="s">
        <v>195</v>
      </c>
      <c r="E345" s="78" t="s">
        <v>89</v>
      </c>
      <c r="F345" s="21">
        <f>F422</f>
        <v>0</v>
      </c>
      <c r="G345" s="21">
        <f t="shared" ref="G345:H345" si="211">G422</f>
        <v>0</v>
      </c>
      <c r="H345" s="21">
        <f t="shared" si="211"/>
        <v>0</v>
      </c>
      <c r="I345" s="10">
        <f t="shared" ref="I345:L351" si="212">IF(X345="",I422,X345)</f>
        <v>0</v>
      </c>
      <c r="J345" s="10">
        <f t="shared" si="212"/>
        <v>0</v>
      </c>
      <c r="K345" s="10">
        <f t="shared" si="212"/>
        <v>0</v>
      </c>
      <c r="L345" s="10">
        <f t="shared" si="212"/>
        <v>0</v>
      </c>
      <c r="M345" s="17">
        <f t="shared" ref="M345:M351" si="213">SUM(I345:L345)</f>
        <v>0</v>
      </c>
      <c r="N345" s="10">
        <f t="shared" ref="N345:Q351" si="214">IF(AC345="",N422,AC345)</f>
        <v>0</v>
      </c>
      <c r="O345" s="10">
        <f t="shared" si="214"/>
        <v>0</v>
      </c>
      <c r="P345" s="10">
        <f t="shared" si="214"/>
        <v>0</v>
      </c>
      <c r="Q345" s="10">
        <f t="shared" si="214"/>
        <v>0</v>
      </c>
      <c r="R345" s="22">
        <f t="shared" ref="R345:R351" si="215">SUM(N345:Q345)</f>
        <v>0</v>
      </c>
      <c r="S345" s="23">
        <f t="shared" ref="S345:U351" si="216">IF(AH345="",S422,AH345)</f>
        <v>0</v>
      </c>
      <c r="T345" s="23">
        <f t="shared" si="216"/>
        <v>0</v>
      </c>
      <c r="U345" s="23">
        <f t="shared" si="216"/>
        <v>0</v>
      </c>
      <c r="W345" s="79" t="str">
        <f>E345</f>
        <v>Depreciation Expense 1</v>
      </c>
      <c r="X345" s="64"/>
      <c r="Y345" s="64"/>
      <c r="Z345" s="64"/>
      <c r="AA345" s="64"/>
      <c r="AB345" s="60"/>
      <c r="AC345" s="64"/>
      <c r="AD345" s="64"/>
      <c r="AE345" s="64"/>
      <c r="AF345" s="64"/>
      <c r="AG345" s="60"/>
      <c r="AH345" s="64"/>
      <c r="AI345" s="64"/>
      <c r="AJ345" s="64"/>
    </row>
    <row r="346" spans="2:36" hidden="1" outlineLevel="1" x14ac:dyDescent="0.25">
      <c r="C346" s="229" t="s">
        <v>195</v>
      </c>
      <c r="E346" s="78" t="s">
        <v>90</v>
      </c>
      <c r="F346" s="21">
        <f t="shared" ref="F346:H351" si="217">F423</f>
        <v>0</v>
      </c>
      <c r="G346" s="21">
        <f t="shared" si="217"/>
        <v>0</v>
      </c>
      <c r="H346" s="21">
        <f t="shared" si="217"/>
        <v>0</v>
      </c>
      <c r="I346" s="10">
        <f t="shared" si="212"/>
        <v>0</v>
      </c>
      <c r="J346" s="10">
        <f t="shared" si="212"/>
        <v>0</v>
      </c>
      <c r="K346" s="10">
        <f t="shared" si="212"/>
        <v>0</v>
      </c>
      <c r="L346" s="10">
        <f t="shared" si="212"/>
        <v>0</v>
      </c>
      <c r="M346" s="17">
        <f t="shared" si="213"/>
        <v>0</v>
      </c>
      <c r="N346" s="10">
        <f t="shared" si="214"/>
        <v>0</v>
      </c>
      <c r="O346" s="10">
        <f t="shared" si="214"/>
        <v>0</v>
      </c>
      <c r="P346" s="10">
        <f t="shared" si="214"/>
        <v>0</v>
      </c>
      <c r="Q346" s="10">
        <f t="shared" si="214"/>
        <v>0</v>
      </c>
      <c r="R346" s="22">
        <f t="shared" si="215"/>
        <v>0</v>
      </c>
      <c r="S346" s="23">
        <f t="shared" si="216"/>
        <v>0</v>
      </c>
      <c r="T346" s="23">
        <f t="shared" si="216"/>
        <v>0</v>
      </c>
      <c r="U346" s="23">
        <f t="shared" si="216"/>
        <v>0</v>
      </c>
      <c r="W346" s="79" t="str">
        <f t="shared" ref="W346:W351" si="218">E346</f>
        <v>Depreciation Expense 2</v>
      </c>
      <c r="X346" s="64"/>
      <c r="Y346" s="64"/>
      <c r="Z346" s="64"/>
      <c r="AA346" s="64"/>
      <c r="AB346" s="60"/>
      <c r="AC346" s="64"/>
      <c r="AD346" s="64"/>
      <c r="AE346" s="64"/>
      <c r="AF346" s="64"/>
      <c r="AG346" s="60"/>
      <c r="AH346" s="64"/>
      <c r="AI346" s="64"/>
      <c r="AJ346" s="64"/>
    </row>
    <row r="347" spans="2:36" hidden="1" outlineLevel="1" x14ac:dyDescent="0.25">
      <c r="C347" s="229" t="s">
        <v>195</v>
      </c>
      <c r="E347" s="78" t="s">
        <v>91</v>
      </c>
      <c r="F347" s="21">
        <f t="shared" si="217"/>
        <v>0</v>
      </c>
      <c r="G347" s="21">
        <f t="shared" si="217"/>
        <v>0</v>
      </c>
      <c r="H347" s="21">
        <f t="shared" si="217"/>
        <v>0</v>
      </c>
      <c r="I347" s="10">
        <f t="shared" si="212"/>
        <v>0</v>
      </c>
      <c r="J347" s="10">
        <f t="shared" si="212"/>
        <v>0</v>
      </c>
      <c r="K347" s="10">
        <f t="shared" si="212"/>
        <v>0</v>
      </c>
      <c r="L347" s="10">
        <f t="shared" si="212"/>
        <v>0</v>
      </c>
      <c r="M347" s="17">
        <f t="shared" si="213"/>
        <v>0</v>
      </c>
      <c r="N347" s="10">
        <f t="shared" si="214"/>
        <v>0</v>
      </c>
      <c r="O347" s="10">
        <f t="shared" si="214"/>
        <v>0</v>
      </c>
      <c r="P347" s="10">
        <f t="shared" si="214"/>
        <v>0</v>
      </c>
      <c r="Q347" s="10">
        <f t="shared" si="214"/>
        <v>0</v>
      </c>
      <c r="R347" s="22">
        <f t="shared" si="215"/>
        <v>0</v>
      </c>
      <c r="S347" s="23">
        <f t="shared" si="216"/>
        <v>0</v>
      </c>
      <c r="T347" s="23">
        <f t="shared" si="216"/>
        <v>0</v>
      </c>
      <c r="U347" s="23">
        <f t="shared" si="216"/>
        <v>0</v>
      </c>
      <c r="W347" s="79" t="str">
        <f t="shared" si="218"/>
        <v>Depreciation Expense 3</v>
      </c>
      <c r="X347" s="64"/>
      <c r="Y347" s="64"/>
      <c r="Z347" s="64"/>
      <c r="AA347" s="64"/>
      <c r="AB347" s="60"/>
      <c r="AC347" s="64"/>
      <c r="AD347" s="64"/>
      <c r="AE347" s="64"/>
      <c r="AF347" s="64"/>
      <c r="AG347" s="60"/>
      <c r="AH347" s="64"/>
      <c r="AI347" s="64"/>
      <c r="AJ347" s="64"/>
    </row>
    <row r="348" spans="2:36" hidden="1" outlineLevel="1" x14ac:dyDescent="0.25">
      <c r="C348" s="229" t="s">
        <v>195</v>
      </c>
      <c r="E348" s="78" t="s">
        <v>92</v>
      </c>
      <c r="F348" s="21">
        <f t="shared" si="217"/>
        <v>0</v>
      </c>
      <c r="G348" s="21">
        <f t="shared" si="217"/>
        <v>0</v>
      </c>
      <c r="H348" s="21">
        <f t="shared" si="217"/>
        <v>0</v>
      </c>
      <c r="I348" s="10">
        <f t="shared" si="212"/>
        <v>0</v>
      </c>
      <c r="J348" s="10">
        <f t="shared" si="212"/>
        <v>0</v>
      </c>
      <c r="K348" s="10">
        <f t="shared" si="212"/>
        <v>0</v>
      </c>
      <c r="L348" s="10">
        <f t="shared" si="212"/>
        <v>0</v>
      </c>
      <c r="M348" s="17">
        <f t="shared" si="213"/>
        <v>0</v>
      </c>
      <c r="N348" s="10">
        <f t="shared" si="214"/>
        <v>0</v>
      </c>
      <c r="O348" s="10">
        <f t="shared" si="214"/>
        <v>0</v>
      </c>
      <c r="P348" s="10">
        <f t="shared" si="214"/>
        <v>0</v>
      </c>
      <c r="Q348" s="10">
        <f t="shared" si="214"/>
        <v>0</v>
      </c>
      <c r="R348" s="22">
        <f t="shared" si="215"/>
        <v>0</v>
      </c>
      <c r="S348" s="23">
        <f t="shared" si="216"/>
        <v>0</v>
      </c>
      <c r="T348" s="23">
        <f t="shared" si="216"/>
        <v>0</v>
      </c>
      <c r="U348" s="23">
        <f t="shared" si="216"/>
        <v>0</v>
      </c>
      <c r="W348" s="79" t="str">
        <f t="shared" si="218"/>
        <v>Depreciation Expense 4</v>
      </c>
      <c r="X348" s="64"/>
      <c r="Y348" s="64"/>
      <c r="Z348" s="64"/>
      <c r="AA348" s="64"/>
      <c r="AB348" s="60"/>
      <c r="AC348" s="64"/>
      <c r="AD348" s="64"/>
      <c r="AE348" s="64"/>
      <c r="AF348" s="64"/>
      <c r="AG348" s="60"/>
      <c r="AH348" s="64"/>
      <c r="AI348" s="64"/>
      <c r="AJ348" s="64"/>
    </row>
    <row r="349" spans="2:36" hidden="1" outlineLevel="1" x14ac:dyDescent="0.25">
      <c r="C349" s="229" t="s">
        <v>195</v>
      </c>
      <c r="E349" s="78" t="s">
        <v>93</v>
      </c>
      <c r="F349" s="21">
        <f t="shared" si="217"/>
        <v>0</v>
      </c>
      <c r="G349" s="21">
        <f t="shared" si="217"/>
        <v>0</v>
      </c>
      <c r="H349" s="21">
        <f t="shared" si="217"/>
        <v>0</v>
      </c>
      <c r="I349" s="10">
        <f t="shared" si="212"/>
        <v>0</v>
      </c>
      <c r="J349" s="10">
        <f t="shared" si="212"/>
        <v>0</v>
      </c>
      <c r="K349" s="10">
        <f t="shared" si="212"/>
        <v>0</v>
      </c>
      <c r="L349" s="10">
        <f t="shared" si="212"/>
        <v>0</v>
      </c>
      <c r="M349" s="17">
        <f t="shared" si="213"/>
        <v>0</v>
      </c>
      <c r="N349" s="10">
        <f t="shared" si="214"/>
        <v>0</v>
      </c>
      <c r="O349" s="10">
        <f t="shared" si="214"/>
        <v>0</v>
      </c>
      <c r="P349" s="10">
        <f t="shared" si="214"/>
        <v>0</v>
      </c>
      <c r="Q349" s="10">
        <f t="shared" si="214"/>
        <v>0</v>
      </c>
      <c r="R349" s="22">
        <f t="shared" si="215"/>
        <v>0</v>
      </c>
      <c r="S349" s="23">
        <f t="shared" si="216"/>
        <v>0</v>
      </c>
      <c r="T349" s="23">
        <f t="shared" si="216"/>
        <v>0</v>
      </c>
      <c r="U349" s="23">
        <f t="shared" si="216"/>
        <v>0</v>
      </c>
      <c r="W349" s="79" t="str">
        <f t="shared" si="218"/>
        <v>Depreciation Expense 5</v>
      </c>
      <c r="X349" s="64"/>
      <c r="Y349" s="64"/>
      <c r="Z349" s="64"/>
      <c r="AA349" s="64"/>
      <c r="AB349" s="60"/>
      <c r="AC349" s="64"/>
      <c r="AD349" s="64"/>
      <c r="AE349" s="64"/>
      <c r="AF349" s="64"/>
      <c r="AG349" s="60"/>
      <c r="AH349" s="64"/>
      <c r="AI349" s="64"/>
      <c r="AJ349" s="64"/>
    </row>
    <row r="350" spans="2:36" hidden="1" outlineLevel="1" x14ac:dyDescent="0.25">
      <c r="C350" s="229" t="s">
        <v>195</v>
      </c>
      <c r="E350" s="78" t="s">
        <v>88</v>
      </c>
      <c r="F350" s="21">
        <f t="shared" si="217"/>
        <v>0</v>
      </c>
      <c r="G350" s="21">
        <f t="shared" si="217"/>
        <v>0</v>
      </c>
      <c r="H350" s="21">
        <f t="shared" si="217"/>
        <v>0</v>
      </c>
      <c r="I350" s="10">
        <f t="shared" si="212"/>
        <v>0</v>
      </c>
      <c r="J350" s="10">
        <f t="shared" si="212"/>
        <v>0</v>
      </c>
      <c r="K350" s="10">
        <f t="shared" si="212"/>
        <v>0</v>
      </c>
      <c r="L350" s="10">
        <f t="shared" si="212"/>
        <v>0</v>
      </c>
      <c r="M350" s="17">
        <f t="shared" si="213"/>
        <v>0</v>
      </c>
      <c r="N350" s="10">
        <f t="shared" si="214"/>
        <v>0</v>
      </c>
      <c r="O350" s="10">
        <f t="shared" si="214"/>
        <v>0</v>
      </c>
      <c r="P350" s="10">
        <f t="shared" si="214"/>
        <v>0</v>
      </c>
      <c r="Q350" s="10">
        <f t="shared" si="214"/>
        <v>0</v>
      </c>
      <c r="R350" s="22">
        <f t="shared" si="215"/>
        <v>0</v>
      </c>
      <c r="S350" s="23">
        <f t="shared" si="216"/>
        <v>0</v>
      </c>
      <c r="T350" s="23">
        <f t="shared" si="216"/>
        <v>0</v>
      </c>
      <c r="U350" s="23">
        <f t="shared" si="216"/>
        <v>0</v>
      </c>
      <c r="W350" s="79" t="str">
        <f t="shared" si="218"/>
        <v>All Other</v>
      </c>
      <c r="X350" s="64"/>
      <c r="Y350" s="64"/>
      <c r="Z350" s="64"/>
      <c r="AA350" s="64"/>
      <c r="AB350" s="60"/>
      <c r="AC350" s="64"/>
      <c r="AD350" s="64"/>
      <c r="AE350" s="64"/>
      <c r="AF350" s="64"/>
      <c r="AG350" s="60"/>
      <c r="AH350" s="64"/>
      <c r="AI350" s="64"/>
      <c r="AJ350" s="64"/>
    </row>
    <row r="351" spans="2:36" hidden="1" outlineLevel="1" x14ac:dyDescent="0.25">
      <c r="C351" s="229" t="s">
        <v>195</v>
      </c>
      <c r="E351" s="78" t="s">
        <v>77</v>
      </c>
      <c r="F351" s="21">
        <f t="shared" si="217"/>
        <v>0</v>
      </c>
      <c r="G351" s="21">
        <f t="shared" si="217"/>
        <v>0</v>
      </c>
      <c r="H351" s="21">
        <f t="shared" si="217"/>
        <v>0</v>
      </c>
      <c r="I351" s="10">
        <f t="shared" si="212"/>
        <v>0</v>
      </c>
      <c r="J351" s="10">
        <f t="shared" si="212"/>
        <v>0</v>
      </c>
      <c r="K351" s="10">
        <f t="shared" si="212"/>
        <v>0</v>
      </c>
      <c r="L351" s="10">
        <f t="shared" si="212"/>
        <v>0</v>
      </c>
      <c r="M351" s="17">
        <f t="shared" si="213"/>
        <v>0</v>
      </c>
      <c r="N351" s="10">
        <f t="shared" si="214"/>
        <v>0</v>
      </c>
      <c r="O351" s="10">
        <f t="shared" si="214"/>
        <v>0</v>
      </c>
      <c r="P351" s="10">
        <f t="shared" si="214"/>
        <v>0</v>
      </c>
      <c r="Q351" s="10">
        <f t="shared" si="214"/>
        <v>0</v>
      </c>
      <c r="R351" s="22">
        <f t="shared" si="215"/>
        <v>0</v>
      </c>
      <c r="S351" s="23">
        <f t="shared" si="216"/>
        <v>0</v>
      </c>
      <c r="T351" s="23">
        <f t="shared" si="216"/>
        <v>0</v>
      </c>
      <c r="U351" s="23">
        <f t="shared" si="216"/>
        <v>0</v>
      </c>
      <c r="W351" s="79" t="str">
        <f t="shared" si="218"/>
        <v>blank</v>
      </c>
      <c r="X351" s="64"/>
      <c r="Y351" s="64"/>
      <c r="Z351" s="64"/>
      <c r="AA351" s="64"/>
      <c r="AB351" s="60"/>
      <c r="AC351" s="64"/>
      <c r="AD351" s="64"/>
      <c r="AE351" s="64"/>
      <c r="AF351" s="64"/>
      <c r="AG351" s="60"/>
      <c r="AH351" s="64"/>
      <c r="AI351" s="64"/>
      <c r="AJ351" s="64"/>
    </row>
    <row r="352" spans="2:36" ht="15.75" hidden="1" outlineLevel="1" thickBot="1" x14ac:dyDescent="0.3">
      <c r="E352" s="8" t="s">
        <v>27</v>
      </c>
      <c r="F352" s="9">
        <f t="shared" ref="F352:U352" si="219">SUM(F345:F351)</f>
        <v>0</v>
      </c>
      <c r="G352" s="9">
        <f t="shared" si="219"/>
        <v>0</v>
      </c>
      <c r="H352" s="9">
        <f t="shared" si="219"/>
        <v>0</v>
      </c>
      <c r="I352" s="11">
        <f t="shared" si="219"/>
        <v>0</v>
      </c>
      <c r="J352" s="11">
        <f t="shared" si="219"/>
        <v>0</v>
      </c>
      <c r="K352" s="11">
        <f t="shared" si="219"/>
        <v>0</v>
      </c>
      <c r="L352" s="11">
        <f t="shared" si="219"/>
        <v>0</v>
      </c>
      <c r="M352" s="18">
        <f t="shared" si="219"/>
        <v>0</v>
      </c>
      <c r="N352" s="11">
        <f t="shared" si="219"/>
        <v>0</v>
      </c>
      <c r="O352" s="11">
        <f t="shared" si="219"/>
        <v>0</v>
      </c>
      <c r="P352" s="11">
        <f t="shared" si="219"/>
        <v>0</v>
      </c>
      <c r="Q352" s="11">
        <f t="shared" si="219"/>
        <v>0</v>
      </c>
      <c r="R352" s="19">
        <f t="shared" si="219"/>
        <v>0</v>
      </c>
      <c r="S352" s="20">
        <f t="shared" si="219"/>
        <v>0</v>
      </c>
      <c r="T352" s="20">
        <f t="shared" si="219"/>
        <v>0</v>
      </c>
      <c r="U352" s="20">
        <f t="shared" si="219"/>
        <v>0</v>
      </c>
    </row>
    <row r="353" spans="2:36" ht="15.75" hidden="1" outlineLevel="1" thickTop="1" x14ac:dyDescent="0.25"/>
    <row r="354" spans="2:36" hidden="1" outlineLevel="1" x14ac:dyDescent="0.25"/>
    <row r="355" spans="2:36" hidden="1" outlineLevel="1" x14ac:dyDescent="0.25"/>
    <row r="356" spans="2:36" hidden="1" outlineLevel="1" x14ac:dyDescent="0.25">
      <c r="E356" s="4" t="s">
        <v>101</v>
      </c>
      <c r="W356" s="4" t="str">
        <f>E356</f>
        <v>Asset Sale (Show As negative)</v>
      </c>
    </row>
    <row r="357" spans="2:36" hidden="1" outlineLevel="1" x14ac:dyDescent="0.25">
      <c r="E357" s="6" t="s">
        <v>25</v>
      </c>
      <c r="W357" s="61" t="s">
        <v>62</v>
      </c>
    </row>
    <row r="358" spans="2:36" hidden="1" outlineLevel="1" x14ac:dyDescent="0.25"/>
    <row r="359" spans="2:36" hidden="1" outlineLevel="1" x14ac:dyDescent="0.25">
      <c r="F359" s="12">
        <f>Inputs!$C$7</f>
        <v>2023</v>
      </c>
      <c r="G359" s="12">
        <f>Inputs!$C$8</f>
        <v>2024</v>
      </c>
      <c r="H359" s="12">
        <f>Inputs!$C$9</f>
        <v>2025</v>
      </c>
      <c r="I359" s="13" t="s">
        <v>1</v>
      </c>
      <c r="J359" s="13" t="s">
        <v>2</v>
      </c>
      <c r="K359" s="13" t="s">
        <v>3</v>
      </c>
      <c r="L359" s="13" t="s">
        <v>4</v>
      </c>
      <c r="M359" s="13">
        <f>Inputs!$C$10</f>
        <v>2026</v>
      </c>
      <c r="N359" s="14" t="s">
        <v>1</v>
      </c>
      <c r="O359" s="14" t="s">
        <v>2</v>
      </c>
      <c r="P359" s="14" t="s">
        <v>3</v>
      </c>
      <c r="Q359" s="14" t="s">
        <v>4</v>
      </c>
      <c r="R359" s="15">
        <f>Inputs!$C$11</f>
        <v>2027</v>
      </c>
      <c r="S359" s="16">
        <f>Inputs!$C$12</f>
        <v>2028</v>
      </c>
      <c r="T359" s="16">
        <f>Inputs!$C$13</f>
        <v>2029</v>
      </c>
      <c r="U359" s="16">
        <f>Inputs!$C$14</f>
        <v>2030</v>
      </c>
      <c r="X359" s="13" t="s">
        <v>1</v>
      </c>
      <c r="Y359" s="13" t="s">
        <v>2</v>
      </c>
      <c r="Z359" s="13" t="s">
        <v>3</v>
      </c>
      <c r="AA359" s="13" t="s">
        <v>4</v>
      </c>
      <c r="AB359" s="13">
        <f>Inputs!$C$10</f>
        <v>2026</v>
      </c>
      <c r="AC359" s="14" t="s">
        <v>1</v>
      </c>
      <c r="AD359" s="14" t="s">
        <v>2</v>
      </c>
      <c r="AE359" s="14" t="s">
        <v>3</v>
      </c>
      <c r="AF359" s="14" t="s">
        <v>4</v>
      </c>
      <c r="AG359" s="15">
        <f>Inputs!$C$11</f>
        <v>2027</v>
      </c>
      <c r="AH359" s="16">
        <f>Inputs!$C$12</f>
        <v>2028</v>
      </c>
      <c r="AI359" s="16">
        <f>Inputs!$C$13</f>
        <v>2029</v>
      </c>
      <c r="AJ359" s="16">
        <f>Inputs!$C$14</f>
        <v>2030</v>
      </c>
    </row>
    <row r="360" spans="2:36" hidden="1" outlineLevel="1" x14ac:dyDescent="0.25">
      <c r="F360" s="71" t="s">
        <v>63</v>
      </c>
      <c r="G360" s="71" t="s">
        <v>63</v>
      </c>
      <c r="H360" s="71" t="s">
        <v>63</v>
      </c>
      <c r="I360" s="71" t="s">
        <v>63</v>
      </c>
      <c r="J360" s="71" t="s">
        <v>63</v>
      </c>
      <c r="K360" s="71" t="s">
        <v>63</v>
      </c>
      <c r="L360" s="71" t="s">
        <v>63</v>
      </c>
      <c r="M360" s="71" t="s">
        <v>63</v>
      </c>
      <c r="N360" s="71" t="s">
        <v>63</v>
      </c>
      <c r="O360" s="71" t="s">
        <v>63</v>
      </c>
      <c r="P360" s="71" t="s">
        <v>63</v>
      </c>
      <c r="Q360" s="71" t="s">
        <v>63</v>
      </c>
      <c r="R360" s="71" t="s">
        <v>63</v>
      </c>
      <c r="S360" s="71" t="s">
        <v>63</v>
      </c>
      <c r="T360" s="71" t="s">
        <v>63</v>
      </c>
      <c r="U360" s="71" t="s">
        <v>63</v>
      </c>
      <c r="X360" s="63" t="s">
        <v>30</v>
      </c>
      <c r="Y360" s="63" t="s">
        <v>30</v>
      </c>
      <c r="Z360" s="63" t="s">
        <v>30</v>
      </c>
      <c r="AA360" s="63" t="s">
        <v>30</v>
      </c>
      <c r="AB360" s="62"/>
      <c r="AC360" s="63" t="s">
        <v>30</v>
      </c>
      <c r="AD360" s="63" t="s">
        <v>30</v>
      </c>
      <c r="AE360" s="63" t="s">
        <v>30</v>
      </c>
      <c r="AF360" s="63" t="s">
        <v>30</v>
      </c>
      <c r="AG360" s="62"/>
      <c r="AH360" s="63" t="s">
        <v>30</v>
      </c>
      <c r="AI360" s="63" t="s">
        <v>30</v>
      </c>
      <c r="AJ360" s="63" t="s">
        <v>30</v>
      </c>
    </row>
    <row r="361" spans="2:36" hidden="1" outlineLevel="1" x14ac:dyDescent="0.25">
      <c r="B361" s="229" t="s">
        <v>195</v>
      </c>
      <c r="E361" s="78" t="s">
        <v>94</v>
      </c>
      <c r="F361" s="21">
        <f>F438</f>
        <v>0</v>
      </c>
      <c r="G361" s="21">
        <f t="shared" ref="G361:H361" si="220">G438</f>
        <v>0</v>
      </c>
      <c r="H361" s="21">
        <f t="shared" si="220"/>
        <v>0</v>
      </c>
      <c r="I361" s="10">
        <f t="shared" ref="I361:L367" si="221">IF(X361="",I438,X361)</f>
        <v>0</v>
      </c>
      <c r="J361" s="10">
        <f t="shared" si="221"/>
        <v>0</v>
      </c>
      <c r="K361" s="10">
        <f t="shared" si="221"/>
        <v>0</v>
      </c>
      <c r="L361" s="10">
        <f t="shared" si="221"/>
        <v>0</v>
      </c>
      <c r="M361" s="17">
        <f t="shared" ref="M361:M367" si="222">SUM(I361:L361)</f>
        <v>0</v>
      </c>
      <c r="N361" s="10">
        <f t="shared" ref="N361:Q367" si="223">IF(AC361="",N438,AC361)</f>
        <v>0</v>
      </c>
      <c r="O361" s="10">
        <f t="shared" si="223"/>
        <v>0</v>
      </c>
      <c r="P361" s="10">
        <f t="shared" si="223"/>
        <v>0</v>
      </c>
      <c r="Q361" s="10">
        <f t="shared" si="223"/>
        <v>0</v>
      </c>
      <c r="R361" s="22">
        <f t="shared" ref="R361:R367" si="224">SUM(N361:Q361)</f>
        <v>0</v>
      </c>
      <c r="S361" s="23">
        <f t="shared" ref="S361:U367" si="225">IF(AH361="",S438,AH361)</f>
        <v>0</v>
      </c>
      <c r="T361" s="23">
        <f t="shared" si="225"/>
        <v>0</v>
      </c>
      <c r="U361" s="23">
        <f t="shared" si="225"/>
        <v>0</v>
      </c>
      <c r="W361" s="79" t="str">
        <f>E361</f>
        <v>Asset Sale 1</v>
      </c>
      <c r="X361" s="64"/>
      <c r="Y361" s="64"/>
      <c r="Z361" s="64"/>
      <c r="AA361" s="64"/>
      <c r="AB361" s="60"/>
      <c r="AC361" s="64"/>
      <c r="AD361" s="64"/>
      <c r="AE361" s="64"/>
      <c r="AF361" s="64"/>
      <c r="AG361" s="60"/>
      <c r="AH361" s="64"/>
      <c r="AI361" s="64"/>
      <c r="AJ361" s="64"/>
    </row>
    <row r="362" spans="2:36" hidden="1" outlineLevel="1" x14ac:dyDescent="0.25">
      <c r="B362" s="229" t="s">
        <v>195</v>
      </c>
      <c r="E362" s="78" t="s">
        <v>95</v>
      </c>
      <c r="F362" s="21">
        <f t="shared" ref="F362:H367" si="226">F439</f>
        <v>0</v>
      </c>
      <c r="G362" s="21">
        <f t="shared" si="226"/>
        <v>0</v>
      </c>
      <c r="H362" s="21">
        <f t="shared" si="226"/>
        <v>0</v>
      </c>
      <c r="I362" s="10">
        <f t="shared" si="221"/>
        <v>0</v>
      </c>
      <c r="J362" s="10">
        <f t="shared" si="221"/>
        <v>0</v>
      </c>
      <c r="K362" s="10">
        <f t="shared" si="221"/>
        <v>0</v>
      </c>
      <c r="L362" s="10">
        <f t="shared" si="221"/>
        <v>0</v>
      </c>
      <c r="M362" s="17">
        <f t="shared" si="222"/>
        <v>0</v>
      </c>
      <c r="N362" s="10">
        <f t="shared" si="223"/>
        <v>0</v>
      </c>
      <c r="O362" s="10">
        <f t="shared" si="223"/>
        <v>0</v>
      </c>
      <c r="P362" s="10">
        <f t="shared" si="223"/>
        <v>0</v>
      </c>
      <c r="Q362" s="10">
        <f t="shared" si="223"/>
        <v>0</v>
      </c>
      <c r="R362" s="22">
        <f t="shared" si="224"/>
        <v>0</v>
      </c>
      <c r="S362" s="23">
        <f t="shared" si="225"/>
        <v>0</v>
      </c>
      <c r="T362" s="23">
        <f t="shared" si="225"/>
        <v>0</v>
      </c>
      <c r="U362" s="23">
        <f t="shared" si="225"/>
        <v>0</v>
      </c>
      <c r="W362" s="79" t="str">
        <f t="shared" ref="W362:W367" si="227">E362</f>
        <v>Asset Sale 2</v>
      </c>
      <c r="X362" s="64"/>
      <c r="Y362" s="64"/>
      <c r="Z362" s="64"/>
      <c r="AA362" s="64"/>
      <c r="AB362" s="60"/>
      <c r="AC362" s="64"/>
      <c r="AD362" s="64"/>
      <c r="AE362" s="64"/>
      <c r="AF362" s="64"/>
      <c r="AG362" s="60"/>
      <c r="AH362" s="64"/>
      <c r="AI362" s="64"/>
      <c r="AJ362" s="64"/>
    </row>
    <row r="363" spans="2:36" hidden="1" outlineLevel="1" x14ac:dyDescent="0.25">
      <c r="B363" s="229" t="s">
        <v>195</v>
      </c>
      <c r="E363" s="78" t="s">
        <v>96</v>
      </c>
      <c r="F363" s="21">
        <f t="shared" si="226"/>
        <v>0</v>
      </c>
      <c r="G363" s="21">
        <f t="shared" si="226"/>
        <v>0</v>
      </c>
      <c r="H363" s="21">
        <f t="shared" si="226"/>
        <v>0</v>
      </c>
      <c r="I363" s="10">
        <f t="shared" si="221"/>
        <v>0</v>
      </c>
      <c r="J363" s="10">
        <f t="shared" si="221"/>
        <v>0</v>
      </c>
      <c r="K363" s="10">
        <f t="shared" si="221"/>
        <v>0</v>
      </c>
      <c r="L363" s="10">
        <f t="shared" si="221"/>
        <v>0</v>
      </c>
      <c r="M363" s="17">
        <f t="shared" si="222"/>
        <v>0</v>
      </c>
      <c r="N363" s="10">
        <f t="shared" si="223"/>
        <v>0</v>
      </c>
      <c r="O363" s="10">
        <f t="shared" si="223"/>
        <v>0</v>
      </c>
      <c r="P363" s="10">
        <f t="shared" si="223"/>
        <v>0</v>
      </c>
      <c r="Q363" s="10">
        <f t="shared" si="223"/>
        <v>0</v>
      </c>
      <c r="R363" s="22">
        <f t="shared" si="224"/>
        <v>0</v>
      </c>
      <c r="S363" s="23">
        <f t="shared" si="225"/>
        <v>0</v>
      </c>
      <c r="T363" s="23">
        <f t="shared" si="225"/>
        <v>0</v>
      </c>
      <c r="U363" s="23">
        <f t="shared" si="225"/>
        <v>0</v>
      </c>
      <c r="W363" s="79" t="str">
        <f t="shared" si="227"/>
        <v>Asset Sale 3</v>
      </c>
      <c r="X363" s="64"/>
      <c r="Y363" s="64"/>
      <c r="Z363" s="64"/>
      <c r="AA363" s="64"/>
      <c r="AB363" s="60"/>
      <c r="AC363" s="64"/>
      <c r="AD363" s="64"/>
      <c r="AE363" s="64"/>
      <c r="AF363" s="64"/>
      <c r="AG363" s="60"/>
      <c r="AH363" s="64"/>
      <c r="AI363" s="64"/>
      <c r="AJ363" s="64"/>
    </row>
    <row r="364" spans="2:36" hidden="1" outlineLevel="1" x14ac:dyDescent="0.25">
      <c r="B364" s="229" t="s">
        <v>195</v>
      </c>
      <c r="E364" s="78" t="s">
        <v>97</v>
      </c>
      <c r="F364" s="21">
        <f t="shared" si="226"/>
        <v>0</v>
      </c>
      <c r="G364" s="21">
        <f t="shared" si="226"/>
        <v>0</v>
      </c>
      <c r="H364" s="21">
        <f t="shared" si="226"/>
        <v>0</v>
      </c>
      <c r="I364" s="10">
        <f t="shared" si="221"/>
        <v>0</v>
      </c>
      <c r="J364" s="10">
        <f t="shared" si="221"/>
        <v>0</v>
      </c>
      <c r="K364" s="10">
        <f t="shared" si="221"/>
        <v>0</v>
      </c>
      <c r="L364" s="10">
        <f t="shared" si="221"/>
        <v>0</v>
      </c>
      <c r="M364" s="17">
        <f t="shared" si="222"/>
        <v>0</v>
      </c>
      <c r="N364" s="10">
        <f t="shared" si="223"/>
        <v>0</v>
      </c>
      <c r="O364" s="10">
        <f t="shared" si="223"/>
        <v>0</v>
      </c>
      <c r="P364" s="10">
        <f t="shared" si="223"/>
        <v>0</v>
      </c>
      <c r="Q364" s="10">
        <f t="shared" si="223"/>
        <v>0</v>
      </c>
      <c r="R364" s="22">
        <f t="shared" si="224"/>
        <v>0</v>
      </c>
      <c r="S364" s="23">
        <f t="shared" si="225"/>
        <v>0</v>
      </c>
      <c r="T364" s="23">
        <f t="shared" si="225"/>
        <v>0</v>
      </c>
      <c r="U364" s="23">
        <f t="shared" si="225"/>
        <v>0</v>
      </c>
      <c r="W364" s="79" t="str">
        <f t="shared" si="227"/>
        <v>Asset Sale 4</v>
      </c>
      <c r="X364" s="64"/>
      <c r="Y364" s="64"/>
      <c r="Z364" s="64"/>
      <c r="AA364" s="64"/>
      <c r="AB364" s="60"/>
      <c r="AC364" s="64"/>
      <c r="AD364" s="64"/>
      <c r="AE364" s="64"/>
      <c r="AF364" s="64"/>
      <c r="AG364" s="60"/>
      <c r="AH364" s="64"/>
      <c r="AI364" s="64"/>
      <c r="AJ364" s="64"/>
    </row>
    <row r="365" spans="2:36" hidden="1" outlineLevel="1" x14ac:dyDescent="0.25">
      <c r="B365" s="229" t="s">
        <v>195</v>
      </c>
      <c r="E365" s="78" t="s">
        <v>98</v>
      </c>
      <c r="F365" s="21">
        <f t="shared" si="226"/>
        <v>0</v>
      </c>
      <c r="G365" s="21">
        <f t="shared" si="226"/>
        <v>0</v>
      </c>
      <c r="H365" s="21">
        <f t="shared" si="226"/>
        <v>0</v>
      </c>
      <c r="I365" s="10">
        <f t="shared" si="221"/>
        <v>0</v>
      </c>
      <c r="J365" s="10">
        <f t="shared" si="221"/>
        <v>0</v>
      </c>
      <c r="K365" s="10">
        <f t="shared" si="221"/>
        <v>0</v>
      </c>
      <c r="L365" s="10">
        <f t="shared" si="221"/>
        <v>0</v>
      </c>
      <c r="M365" s="17">
        <f t="shared" si="222"/>
        <v>0</v>
      </c>
      <c r="N365" s="10">
        <f t="shared" si="223"/>
        <v>0</v>
      </c>
      <c r="O365" s="10">
        <f t="shared" si="223"/>
        <v>0</v>
      </c>
      <c r="P365" s="10">
        <f t="shared" si="223"/>
        <v>0</v>
      </c>
      <c r="Q365" s="10">
        <f t="shared" si="223"/>
        <v>0</v>
      </c>
      <c r="R365" s="22">
        <f t="shared" si="224"/>
        <v>0</v>
      </c>
      <c r="S365" s="23">
        <f t="shared" si="225"/>
        <v>0</v>
      </c>
      <c r="T365" s="23">
        <f t="shared" si="225"/>
        <v>0</v>
      </c>
      <c r="U365" s="23">
        <f t="shared" si="225"/>
        <v>0</v>
      </c>
      <c r="W365" s="79" t="str">
        <f t="shared" si="227"/>
        <v>Asset Sale 5</v>
      </c>
      <c r="X365" s="64"/>
      <c r="Y365" s="64"/>
      <c r="Z365" s="64"/>
      <c r="AA365" s="64"/>
      <c r="AB365" s="60"/>
      <c r="AC365" s="64"/>
      <c r="AD365" s="64"/>
      <c r="AE365" s="64"/>
      <c r="AF365" s="64"/>
      <c r="AG365" s="60"/>
      <c r="AH365" s="64"/>
      <c r="AI365" s="64"/>
      <c r="AJ365" s="64"/>
    </row>
    <row r="366" spans="2:36" hidden="1" outlineLevel="1" x14ac:dyDescent="0.25">
      <c r="B366" s="229" t="s">
        <v>195</v>
      </c>
      <c r="E366" s="78" t="s">
        <v>88</v>
      </c>
      <c r="F366" s="21">
        <f t="shared" si="226"/>
        <v>0</v>
      </c>
      <c r="G366" s="21">
        <f t="shared" si="226"/>
        <v>0</v>
      </c>
      <c r="H366" s="21">
        <f t="shared" si="226"/>
        <v>0</v>
      </c>
      <c r="I366" s="10">
        <f t="shared" si="221"/>
        <v>0</v>
      </c>
      <c r="J366" s="10">
        <f t="shared" si="221"/>
        <v>0</v>
      </c>
      <c r="K366" s="10">
        <f t="shared" si="221"/>
        <v>0</v>
      </c>
      <c r="L366" s="10">
        <f t="shared" si="221"/>
        <v>0</v>
      </c>
      <c r="M366" s="17">
        <f t="shared" si="222"/>
        <v>0</v>
      </c>
      <c r="N366" s="10">
        <f t="shared" si="223"/>
        <v>0</v>
      </c>
      <c r="O366" s="10">
        <f t="shared" si="223"/>
        <v>0</v>
      </c>
      <c r="P366" s="10">
        <f t="shared" si="223"/>
        <v>0</v>
      </c>
      <c r="Q366" s="10">
        <f t="shared" si="223"/>
        <v>0</v>
      </c>
      <c r="R366" s="22">
        <f t="shared" si="224"/>
        <v>0</v>
      </c>
      <c r="S366" s="23">
        <f t="shared" si="225"/>
        <v>0</v>
      </c>
      <c r="T366" s="23">
        <f t="shared" si="225"/>
        <v>0</v>
      </c>
      <c r="U366" s="23">
        <f t="shared" si="225"/>
        <v>0</v>
      </c>
      <c r="W366" s="79" t="str">
        <f t="shared" si="227"/>
        <v>All Other</v>
      </c>
      <c r="X366" s="64"/>
      <c r="Y366" s="64"/>
      <c r="Z366" s="64"/>
      <c r="AA366" s="64"/>
      <c r="AB366" s="60"/>
      <c r="AC366" s="64"/>
      <c r="AD366" s="64"/>
      <c r="AE366" s="64"/>
      <c r="AF366" s="64"/>
      <c r="AG366" s="60"/>
      <c r="AH366" s="64"/>
      <c r="AI366" s="64"/>
      <c r="AJ366" s="64"/>
    </row>
    <row r="367" spans="2:36" hidden="1" outlineLevel="1" x14ac:dyDescent="0.25">
      <c r="B367" s="229" t="s">
        <v>195</v>
      </c>
      <c r="E367" s="78" t="s">
        <v>77</v>
      </c>
      <c r="F367" s="21">
        <f t="shared" si="226"/>
        <v>0</v>
      </c>
      <c r="G367" s="21">
        <f t="shared" si="226"/>
        <v>0</v>
      </c>
      <c r="H367" s="21">
        <f t="shared" si="226"/>
        <v>0</v>
      </c>
      <c r="I367" s="10">
        <f t="shared" si="221"/>
        <v>0</v>
      </c>
      <c r="J367" s="10">
        <f t="shared" si="221"/>
        <v>0</v>
      </c>
      <c r="K367" s="10">
        <f t="shared" si="221"/>
        <v>0</v>
      </c>
      <c r="L367" s="10">
        <f t="shared" si="221"/>
        <v>0</v>
      </c>
      <c r="M367" s="17">
        <f t="shared" si="222"/>
        <v>0</v>
      </c>
      <c r="N367" s="10">
        <f t="shared" si="223"/>
        <v>0</v>
      </c>
      <c r="O367" s="10">
        <f t="shared" si="223"/>
        <v>0</v>
      </c>
      <c r="P367" s="10">
        <f t="shared" si="223"/>
        <v>0</v>
      </c>
      <c r="Q367" s="10">
        <f t="shared" si="223"/>
        <v>0</v>
      </c>
      <c r="R367" s="22">
        <f t="shared" si="224"/>
        <v>0</v>
      </c>
      <c r="S367" s="23">
        <f t="shared" si="225"/>
        <v>0</v>
      </c>
      <c r="T367" s="23">
        <f t="shared" si="225"/>
        <v>0</v>
      </c>
      <c r="U367" s="23">
        <f t="shared" si="225"/>
        <v>0</v>
      </c>
      <c r="W367" s="79" t="str">
        <f t="shared" si="227"/>
        <v>blank</v>
      </c>
      <c r="X367" s="64"/>
      <c r="Y367" s="64"/>
      <c r="Z367" s="64"/>
      <c r="AA367" s="64"/>
      <c r="AB367" s="60"/>
      <c r="AC367" s="64"/>
      <c r="AD367" s="64"/>
      <c r="AE367" s="64"/>
      <c r="AF367" s="64"/>
      <c r="AG367" s="60"/>
      <c r="AH367" s="64"/>
      <c r="AI367" s="64"/>
      <c r="AJ367" s="64"/>
    </row>
    <row r="368" spans="2:36" ht="15.75" hidden="1" outlineLevel="1" thickBot="1" x14ac:dyDescent="0.3">
      <c r="E368" s="8" t="s">
        <v>27</v>
      </c>
      <c r="F368" s="9">
        <f t="shared" ref="F368:U368" si="228">SUM(F361:F367)</f>
        <v>0</v>
      </c>
      <c r="G368" s="9">
        <f t="shared" si="228"/>
        <v>0</v>
      </c>
      <c r="H368" s="9">
        <f t="shared" si="228"/>
        <v>0</v>
      </c>
      <c r="I368" s="11">
        <f t="shared" si="228"/>
        <v>0</v>
      </c>
      <c r="J368" s="11">
        <f t="shared" si="228"/>
        <v>0</v>
      </c>
      <c r="K368" s="11">
        <f t="shared" si="228"/>
        <v>0</v>
      </c>
      <c r="L368" s="11">
        <f t="shared" si="228"/>
        <v>0</v>
      </c>
      <c r="M368" s="18">
        <f t="shared" si="228"/>
        <v>0</v>
      </c>
      <c r="N368" s="11">
        <f t="shared" si="228"/>
        <v>0</v>
      </c>
      <c r="O368" s="11">
        <f t="shared" si="228"/>
        <v>0</v>
      </c>
      <c r="P368" s="11">
        <f t="shared" si="228"/>
        <v>0</v>
      </c>
      <c r="Q368" s="11">
        <f t="shared" si="228"/>
        <v>0</v>
      </c>
      <c r="R368" s="19">
        <f t="shared" si="228"/>
        <v>0</v>
      </c>
      <c r="S368" s="20">
        <f t="shared" si="228"/>
        <v>0</v>
      </c>
      <c r="T368" s="20">
        <f t="shared" si="228"/>
        <v>0</v>
      </c>
      <c r="U368" s="20">
        <f t="shared" si="228"/>
        <v>0</v>
      </c>
    </row>
    <row r="369" spans="2:36" ht="15.75" hidden="1" outlineLevel="1" thickTop="1" x14ac:dyDescent="0.25"/>
    <row r="370" spans="2:36" hidden="1" outlineLevel="1" x14ac:dyDescent="0.25"/>
    <row r="371" spans="2:36" hidden="1" outlineLevel="1" x14ac:dyDescent="0.25"/>
    <row r="372" spans="2:36" hidden="1" outlineLevel="1" x14ac:dyDescent="0.25">
      <c r="E372" s="4" t="s">
        <v>105</v>
      </c>
      <c r="W372" s="4" t="str">
        <f>E372</f>
        <v>Restructuring Costs</v>
      </c>
    </row>
    <row r="373" spans="2:36" hidden="1" outlineLevel="1" x14ac:dyDescent="0.25">
      <c r="E373" s="6" t="s">
        <v>25</v>
      </c>
      <c r="W373" s="61" t="s">
        <v>62</v>
      </c>
    </row>
    <row r="374" spans="2:36" hidden="1" outlineLevel="1" x14ac:dyDescent="0.25"/>
    <row r="375" spans="2:36" hidden="1" outlineLevel="1" x14ac:dyDescent="0.25">
      <c r="F375" s="12">
        <f>Inputs!$C$7</f>
        <v>2023</v>
      </c>
      <c r="G375" s="12">
        <f>Inputs!$C$8</f>
        <v>2024</v>
      </c>
      <c r="H375" s="12">
        <f>Inputs!$C$9</f>
        <v>2025</v>
      </c>
      <c r="I375" s="13" t="s">
        <v>1</v>
      </c>
      <c r="J375" s="13" t="s">
        <v>2</v>
      </c>
      <c r="K375" s="13" t="s">
        <v>3</v>
      </c>
      <c r="L375" s="13" t="s">
        <v>4</v>
      </c>
      <c r="M375" s="13">
        <f>Inputs!$C$10</f>
        <v>2026</v>
      </c>
      <c r="N375" s="14" t="s">
        <v>1</v>
      </c>
      <c r="O375" s="14" t="s">
        <v>2</v>
      </c>
      <c r="P375" s="14" t="s">
        <v>3</v>
      </c>
      <c r="Q375" s="14" t="s">
        <v>4</v>
      </c>
      <c r="R375" s="15">
        <f>Inputs!$C$11</f>
        <v>2027</v>
      </c>
      <c r="S375" s="16">
        <f>Inputs!$C$12</f>
        <v>2028</v>
      </c>
      <c r="T375" s="16">
        <f>Inputs!$C$13</f>
        <v>2029</v>
      </c>
      <c r="U375" s="16">
        <f>Inputs!$C$14</f>
        <v>2030</v>
      </c>
      <c r="X375" s="13" t="s">
        <v>1</v>
      </c>
      <c r="Y375" s="13" t="s">
        <v>2</v>
      </c>
      <c r="Z375" s="13" t="s">
        <v>3</v>
      </c>
      <c r="AA375" s="13" t="s">
        <v>4</v>
      </c>
      <c r="AB375" s="13">
        <f>Inputs!$C$10</f>
        <v>2026</v>
      </c>
      <c r="AC375" s="14" t="s">
        <v>1</v>
      </c>
      <c r="AD375" s="14" t="s">
        <v>2</v>
      </c>
      <c r="AE375" s="14" t="s">
        <v>3</v>
      </c>
      <c r="AF375" s="14" t="s">
        <v>4</v>
      </c>
      <c r="AG375" s="15">
        <f>Inputs!$C$11</f>
        <v>2027</v>
      </c>
      <c r="AH375" s="16">
        <f>Inputs!$C$12</f>
        <v>2028</v>
      </c>
      <c r="AI375" s="16">
        <f>Inputs!$C$13</f>
        <v>2029</v>
      </c>
      <c r="AJ375" s="16">
        <f>Inputs!$C$14</f>
        <v>2030</v>
      </c>
    </row>
    <row r="376" spans="2:36" hidden="1" outlineLevel="1" x14ac:dyDescent="0.25">
      <c r="F376" s="71" t="s">
        <v>63</v>
      </c>
      <c r="G376" s="71" t="s">
        <v>63</v>
      </c>
      <c r="H376" s="71" t="s">
        <v>63</v>
      </c>
      <c r="I376" s="71" t="s">
        <v>63</v>
      </c>
      <c r="J376" s="71" t="s">
        <v>63</v>
      </c>
      <c r="K376" s="71" t="s">
        <v>63</v>
      </c>
      <c r="L376" s="71" t="s">
        <v>63</v>
      </c>
      <c r="M376" s="71" t="s">
        <v>63</v>
      </c>
      <c r="N376" s="71" t="s">
        <v>63</v>
      </c>
      <c r="O376" s="71" t="s">
        <v>63</v>
      </c>
      <c r="P376" s="71" t="s">
        <v>63</v>
      </c>
      <c r="Q376" s="71" t="s">
        <v>63</v>
      </c>
      <c r="R376" s="71" t="s">
        <v>63</v>
      </c>
      <c r="S376" s="71" t="s">
        <v>63</v>
      </c>
      <c r="T376" s="71" t="s">
        <v>63</v>
      </c>
      <c r="U376" s="71" t="s">
        <v>63</v>
      </c>
      <c r="X376" s="63" t="s">
        <v>30</v>
      </c>
      <c r="Y376" s="63" t="s">
        <v>30</v>
      </c>
      <c r="Z376" s="63" t="s">
        <v>30</v>
      </c>
      <c r="AA376" s="63" t="s">
        <v>30</v>
      </c>
      <c r="AB376" s="62"/>
      <c r="AC376" s="63" t="s">
        <v>30</v>
      </c>
      <c r="AD376" s="63" t="s">
        <v>30</v>
      </c>
      <c r="AE376" s="63" t="s">
        <v>30</v>
      </c>
      <c r="AF376" s="63" t="s">
        <v>30</v>
      </c>
      <c r="AG376" s="62"/>
      <c r="AH376" s="63" t="s">
        <v>30</v>
      </c>
      <c r="AI376" s="63" t="s">
        <v>30</v>
      </c>
      <c r="AJ376" s="63" t="s">
        <v>30</v>
      </c>
    </row>
    <row r="377" spans="2:36" hidden="1" outlineLevel="1" x14ac:dyDescent="0.25">
      <c r="B377" s="229" t="s">
        <v>195</v>
      </c>
      <c r="C377" s="229" t="s">
        <v>195</v>
      </c>
      <c r="E377" s="78" t="s">
        <v>106</v>
      </c>
      <c r="F377" s="21">
        <f>F454</f>
        <v>0</v>
      </c>
      <c r="G377" s="21">
        <f t="shared" ref="G377:H377" si="229">G454</f>
        <v>0</v>
      </c>
      <c r="H377" s="21">
        <f t="shared" si="229"/>
        <v>0</v>
      </c>
      <c r="I377" s="10">
        <f t="shared" ref="I377:L383" si="230">IF(X377="",I454,X377)</f>
        <v>0</v>
      </c>
      <c r="J377" s="10">
        <f t="shared" si="230"/>
        <v>0</v>
      </c>
      <c r="K377" s="10">
        <f t="shared" si="230"/>
        <v>0</v>
      </c>
      <c r="L377" s="10">
        <f t="shared" si="230"/>
        <v>0</v>
      </c>
      <c r="M377" s="17">
        <f t="shared" ref="M377:M383" si="231">SUM(I377:L377)</f>
        <v>0</v>
      </c>
      <c r="N377" s="10">
        <f t="shared" ref="N377:Q377" si="232">IF(AC377="",N454,AC377)</f>
        <v>0</v>
      </c>
      <c r="O377" s="10">
        <f t="shared" si="232"/>
        <v>0</v>
      </c>
      <c r="P377" s="10">
        <f t="shared" si="232"/>
        <v>0</v>
      </c>
      <c r="Q377" s="10">
        <f t="shared" si="232"/>
        <v>0</v>
      </c>
      <c r="R377" s="22">
        <f t="shared" ref="R377:R383" si="233">SUM(N377:Q377)</f>
        <v>0</v>
      </c>
      <c r="S377" s="23">
        <f t="shared" ref="S377:U377" si="234">IF(AH377="",S454,AH377)</f>
        <v>0</v>
      </c>
      <c r="T377" s="23">
        <f t="shared" si="234"/>
        <v>0</v>
      </c>
      <c r="U377" s="23">
        <f t="shared" si="234"/>
        <v>0</v>
      </c>
      <c r="W377" s="78" t="str">
        <f>E377</f>
        <v>Fixed Asset Write offs</v>
      </c>
      <c r="X377" s="64"/>
      <c r="Y377" s="64"/>
      <c r="Z377" s="64"/>
      <c r="AA377" s="64"/>
      <c r="AB377" s="60"/>
      <c r="AC377" s="64"/>
      <c r="AD377" s="64"/>
      <c r="AE377" s="64"/>
      <c r="AF377" s="64"/>
      <c r="AG377" s="60"/>
      <c r="AH377" s="64"/>
      <c r="AI377" s="64"/>
      <c r="AJ377" s="64"/>
    </row>
    <row r="378" spans="2:36" hidden="1" outlineLevel="1" x14ac:dyDescent="0.25">
      <c r="B378" s="229" t="s">
        <v>195</v>
      </c>
      <c r="C378" s="229" t="s">
        <v>195</v>
      </c>
      <c r="E378" s="78" t="s">
        <v>100</v>
      </c>
      <c r="F378" s="21">
        <f t="shared" ref="F378:H383" si="235">F455</f>
        <v>0</v>
      </c>
      <c r="G378" s="21">
        <f t="shared" si="235"/>
        <v>0</v>
      </c>
      <c r="H378" s="21">
        <f t="shared" si="235"/>
        <v>0</v>
      </c>
      <c r="I378" s="10">
        <f t="shared" si="230"/>
        <v>0</v>
      </c>
      <c r="J378" s="10">
        <f t="shared" si="230"/>
        <v>0</v>
      </c>
      <c r="K378" s="10">
        <f t="shared" si="230"/>
        <v>0</v>
      </c>
      <c r="L378" s="10">
        <f t="shared" si="230"/>
        <v>0</v>
      </c>
      <c r="M378" s="17">
        <f t="shared" si="231"/>
        <v>0</v>
      </c>
      <c r="N378" s="10">
        <f t="shared" ref="N378:Q378" si="236">IF(AC378="",N455,AC378)</f>
        <v>0</v>
      </c>
      <c r="O378" s="10">
        <f t="shared" si="236"/>
        <v>0</v>
      </c>
      <c r="P378" s="10">
        <f t="shared" si="236"/>
        <v>0</v>
      </c>
      <c r="Q378" s="10">
        <f t="shared" si="236"/>
        <v>0</v>
      </c>
      <c r="R378" s="22">
        <f t="shared" si="233"/>
        <v>0</v>
      </c>
      <c r="S378" s="23">
        <f t="shared" ref="S378:U378" si="237">IF(AH378="",S455,AH378)</f>
        <v>0</v>
      </c>
      <c r="T378" s="23">
        <f t="shared" si="237"/>
        <v>0</v>
      </c>
      <c r="U378" s="23">
        <f t="shared" si="237"/>
        <v>0</v>
      </c>
      <c r="W378" s="78" t="str">
        <f t="shared" ref="W378:W383" si="238">E378</f>
        <v>E&amp;O Impact</v>
      </c>
      <c r="X378" s="64"/>
      <c r="Y378" s="64"/>
      <c r="Z378" s="64"/>
      <c r="AA378" s="64"/>
      <c r="AB378" s="60"/>
      <c r="AC378" s="64"/>
      <c r="AD378" s="64"/>
      <c r="AE378" s="64"/>
      <c r="AF378" s="64"/>
      <c r="AG378" s="60"/>
      <c r="AH378" s="64"/>
      <c r="AI378" s="64"/>
      <c r="AJ378" s="64"/>
    </row>
    <row r="379" spans="2:36" hidden="1" outlineLevel="1" x14ac:dyDescent="0.25">
      <c r="B379" s="229" t="s">
        <v>195</v>
      </c>
      <c r="C379" s="229" t="s">
        <v>195</v>
      </c>
      <c r="E379" s="78" t="s">
        <v>107</v>
      </c>
      <c r="F379" s="21">
        <f t="shared" si="235"/>
        <v>0</v>
      </c>
      <c r="G379" s="21">
        <f t="shared" si="235"/>
        <v>0</v>
      </c>
      <c r="H379" s="21">
        <f t="shared" si="235"/>
        <v>0</v>
      </c>
      <c r="I379" s="10">
        <f t="shared" si="230"/>
        <v>0</v>
      </c>
      <c r="J379" s="10">
        <f t="shared" si="230"/>
        <v>0</v>
      </c>
      <c r="K379" s="10">
        <f t="shared" si="230"/>
        <v>0</v>
      </c>
      <c r="L379" s="10">
        <f t="shared" si="230"/>
        <v>0</v>
      </c>
      <c r="M379" s="17">
        <f t="shared" si="231"/>
        <v>0</v>
      </c>
      <c r="N379" s="10">
        <f t="shared" ref="N379:Q379" si="239">IF(AC379="",N456,AC379)</f>
        <v>0</v>
      </c>
      <c r="O379" s="10">
        <f t="shared" si="239"/>
        <v>0</v>
      </c>
      <c r="P379" s="10">
        <f t="shared" si="239"/>
        <v>0</v>
      </c>
      <c r="Q379" s="10">
        <f t="shared" si="239"/>
        <v>0</v>
      </c>
      <c r="R379" s="22">
        <f t="shared" si="233"/>
        <v>0</v>
      </c>
      <c r="S379" s="23">
        <f t="shared" ref="S379:U379" si="240">IF(AH379="",S456,AH379)</f>
        <v>0</v>
      </c>
      <c r="T379" s="23">
        <f t="shared" si="240"/>
        <v>0</v>
      </c>
      <c r="U379" s="23">
        <f t="shared" si="240"/>
        <v>0</v>
      </c>
      <c r="W379" s="78" t="str">
        <f t="shared" si="238"/>
        <v>Employee Severances</v>
      </c>
      <c r="X379" s="64"/>
      <c r="Y379" s="64"/>
      <c r="Z379" s="64"/>
      <c r="AA379" s="64"/>
      <c r="AB379" s="60"/>
      <c r="AC379" s="64"/>
      <c r="AD379" s="64"/>
      <c r="AE379" s="64"/>
      <c r="AF379" s="64"/>
      <c r="AG379" s="60"/>
      <c r="AH379" s="64"/>
      <c r="AI379" s="64"/>
      <c r="AJ379" s="64"/>
    </row>
    <row r="380" spans="2:36" hidden="1" outlineLevel="1" x14ac:dyDescent="0.25">
      <c r="B380" s="229" t="s">
        <v>195</v>
      </c>
      <c r="C380" s="229" t="s">
        <v>195</v>
      </c>
      <c r="E380" s="78" t="s">
        <v>88</v>
      </c>
      <c r="F380" s="21">
        <f t="shared" si="235"/>
        <v>0</v>
      </c>
      <c r="G380" s="21">
        <f t="shared" si="235"/>
        <v>0</v>
      </c>
      <c r="H380" s="21">
        <f t="shared" si="235"/>
        <v>0</v>
      </c>
      <c r="I380" s="10">
        <f t="shared" si="230"/>
        <v>0</v>
      </c>
      <c r="J380" s="10">
        <f t="shared" si="230"/>
        <v>0</v>
      </c>
      <c r="K380" s="10">
        <f t="shared" si="230"/>
        <v>0</v>
      </c>
      <c r="L380" s="10">
        <f t="shared" si="230"/>
        <v>0</v>
      </c>
      <c r="M380" s="17">
        <f t="shared" si="231"/>
        <v>0</v>
      </c>
      <c r="N380" s="10">
        <f t="shared" ref="N380:Q380" si="241">IF(AC380="",N457,AC380)</f>
        <v>0</v>
      </c>
      <c r="O380" s="10">
        <f t="shared" si="241"/>
        <v>0</v>
      </c>
      <c r="P380" s="10">
        <f t="shared" si="241"/>
        <v>0</v>
      </c>
      <c r="Q380" s="10">
        <f t="shared" si="241"/>
        <v>0</v>
      </c>
      <c r="R380" s="22">
        <f t="shared" si="233"/>
        <v>0</v>
      </c>
      <c r="S380" s="23">
        <f t="shared" ref="S380:U380" si="242">IF(AH380="",S457,AH380)</f>
        <v>0</v>
      </c>
      <c r="T380" s="23">
        <f t="shared" si="242"/>
        <v>0</v>
      </c>
      <c r="U380" s="23">
        <f t="shared" si="242"/>
        <v>0</v>
      </c>
      <c r="W380" s="78" t="str">
        <f t="shared" si="238"/>
        <v>All Other</v>
      </c>
      <c r="X380" s="64"/>
      <c r="Y380" s="64"/>
      <c r="Z380" s="64"/>
      <c r="AA380" s="64"/>
      <c r="AB380" s="60"/>
      <c r="AC380" s="64"/>
      <c r="AD380" s="64"/>
      <c r="AE380" s="64"/>
      <c r="AF380" s="64"/>
      <c r="AG380" s="60"/>
      <c r="AH380" s="64"/>
      <c r="AI380" s="64"/>
      <c r="AJ380" s="64"/>
    </row>
    <row r="381" spans="2:36" hidden="1" outlineLevel="1" x14ac:dyDescent="0.25">
      <c r="B381" s="229" t="s">
        <v>195</v>
      </c>
      <c r="C381" s="229" t="s">
        <v>195</v>
      </c>
      <c r="E381" s="78" t="s">
        <v>77</v>
      </c>
      <c r="F381" s="21">
        <f t="shared" si="235"/>
        <v>0</v>
      </c>
      <c r="G381" s="21">
        <f t="shared" si="235"/>
        <v>0</v>
      </c>
      <c r="H381" s="21">
        <f t="shared" si="235"/>
        <v>0</v>
      </c>
      <c r="I381" s="10">
        <f t="shared" si="230"/>
        <v>0</v>
      </c>
      <c r="J381" s="10">
        <f t="shared" si="230"/>
        <v>0</v>
      </c>
      <c r="K381" s="10">
        <f t="shared" si="230"/>
        <v>0</v>
      </c>
      <c r="L381" s="10">
        <f t="shared" si="230"/>
        <v>0</v>
      </c>
      <c r="M381" s="17">
        <f t="shared" si="231"/>
        <v>0</v>
      </c>
      <c r="N381" s="10">
        <f t="shared" ref="N381:Q381" si="243">IF(AC381="",N458,AC381)</f>
        <v>0</v>
      </c>
      <c r="O381" s="10">
        <f t="shared" si="243"/>
        <v>0</v>
      </c>
      <c r="P381" s="10">
        <f t="shared" si="243"/>
        <v>0</v>
      </c>
      <c r="Q381" s="10">
        <f t="shared" si="243"/>
        <v>0</v>
      </c>
      <c r="R381" s="22">
        <f t="shared" si="233"/>
        <v>0</v>
      </c>
      <c r="S381" s="23">
        <f t="shared" ref="S381:U381" si="244">IF(AH381="",S458,AH381)</f>
        <v>0</v>
      </c>
      <c r="T381" s="23">
        <f t="shared" si="244"/>
        <v>0</v>
      </c>
      <c r="U381" s="23">
        <f t="shared" si="244"/>
        <v>0</v>
      </c>
      <c r="W381" s="78" t="str">
        <f t="shared" si="238"/>
        <v>blank</v>
      </c>
      <c r="X381" s="64"/>
      <c r="Y381" s="64"/>
      <c r="Z381" s="64"/>
      <c r="AA381" s="64"/>
      <c r="AB381" s="60"/>
      <c r="AC381" s="64"/>
      <c r="AD381" s="64"/>
      <c r="AE381" s="64"/>
      <c r="AF381" s="64"/>
      <c r="AG381" s="60"/>
      <c r="AH381" s="64"/>
      <c r="AI381" s="64"/>
      <c r="AJ381" s="64"/>
    </row>
    <row r="382" spans="2:36" hidden="1" outlineLevel="1" x14ac:dyDescent="0.25">
      <c r="B382" s="229" t="s">
        <v>195</v>
      </c>
      <c r="C382" s="229" t="s">
        <v>195</v>
      </c>
      <c r="E382" s="78" t="s">
        <v>77</v>
      </c>
      <c r="F382" s="21">
        <f t="shared" si="235"/>
        <v>0</v>
      </c>
      <c r="G382" s="21">
        <f t="shared" si="235"/>
        <v>0</v>
      </c>
      <c r="H382" s="21">
        <f t="shared" si="235"/>
        <v>0</v>
      </c>
      <c r="I382" s="10">
        <f t="shared" si="230"/>
        <v>0</v>
      </c>
      <c r="J382" s="10">
        <f t="shared" si="230"/>
        <v>0</v>
      </c>
      <c r="K382" s="10">
        <f t="shared" si="230"/>
        <v>0</v>
      </c>
      <c r="L382" s="10">
        <f t="shared" si="230"/>
        <v>0</v>
      </c>
      <c r="M382" s="17">
        <f t="shared" si="231"/>
        <v>0</v>
      </c>
      <c r="N382" s="10">
        <f t="shared" ref="N382:Q382" si="245">IF(AC382="",N459,AC382)</f>
        <v>0</v>
      </c>
      <c r="O382" s="10">
        <f t="shared" si="245"/>
        <v>0</v>
      </c>
      <c r="P382" s="10">
        <f t="shared" si="245"/>
        <v>0</v>
      </c>
      <c r="Q382" s="10">
        <f t="shared" si="245"/>
        <v>0</v>
      </c>
      <c r="R382" s="22">
        <f t="shared" si="233"/>
        <v>0</v>
      </c>
      <c r="S382" s="23">
        <f t="shared" ref="S382:U382" si="246">IF(AH382="",S459,AH382)</f>
        <v>0</v>
      </c>
      <c r="T382" s="23">
        <f t="shared" si="246"/>
        <v>0</v>
      </c>
      <c r="U382" s="23">
        <f t="shared" si="246"/>
        <v>0</v>
      </c>
      <c r="W382" s="78" t="str">
        <f t="shared" si="238"/>
        <v>blank</v>
      </c>
      <c r="X382" s="64"/>
      <c r="Y382" s="64"/>
      <c r="Z382" s="64"/>
      <c r="AA382" s="64"/>
      <c r="AB382" s="60"/>
      <c r="AC382" s="64"/>
      <c r="AD382" s="64"/>
      <c r="AE382" s="64"/>
      <c r="AF382" s="64"/>
      <c r="AG382" s="60"/>
      <c r="AH382" s="64"/>
      <c r="AI382" s="64"/>
      <c r="AJ382" s="64"/>
    </row>
    <row r="383" spans="2:36" hidden="1" outlineLevel="1" x14ac:dyDescent="0.25">
      <c r="B383" s="229" t="s">
        <v>195</v>
      </c>
      <c r="C383" s="229" t="s">
        <v>195</v>
      </c>
      <c r="E383" s="78" t="s">
        <v>77</v>
      </c>
      <c r="F383" s="21">
        <f t="shared" si="235"/>
        <v>0</v>
      </c>
      <c r="G383" s="21">
        <f t="shared" si="235"/>
        <v>0</v>
      </c>
      <c r="H383" s="21">
        <f t="shared" si="235"/>
        <v>0</v>
      </c>
      <c r="I383" s="10">
        <f t="shared" si="230"/>
        <v>0</v>
      </c>
      <c r="J383" s="10">
        <f t="shared" si="230"/>
        <v>0</v>
      </c>
      <c r="K383" s="10">
        <f t="shared" si="230"/>
        <v>0</v>
      </c>
      <c r="L383" s="10">
        <f t="shared" si="230"/>
        <v>0</v>
      </c>
      <c r="M383" s="17">
        <f t="shared" si="231"/>
        <v>0</v>
      </c>
      <c r="N383" s="10">
        <f t="shared" ref="N383:Q383" si="247">IF(AC383="",N460,AC383)</f>
        <v>0</v>
      </c>
      <c r="O383" s="10">
        <f t="shared" si="247"/>
        <v>0</v>
      </c>
      <c r="P383" s="10">
        <f t="shared" si="247"/>
        <v>0</v>
      </c>
      <c r="Q383" s="10">
        <f t="shared" si="247"/>
        <v>0</v>
      </c>
      <c r="R383" s="22">
        <f t="shared" si="233"/>
        <v>0</v>
      </c>
      <c r="S383" s="23">
        <f t="shared" ref="S383:U383" si="248">IF(AH383="",S460,AH383)</f>
        <v>0</v>
      </c>
      <c r="T383" s="23">
        <f t="shared" si="248"/>
        <v>0</v>
      </c>
      <c r="U383" s="23">
        <f t="shared" si="248"/>
        <v>0</v>
      </c>
      <c r="W383" s="78" t="str">
        <f t="shared" si="238"/>
        <v>blank</v>
      </c>
      <c r="X383" s="64"/>
      <c r="Y383" s="64"/>
      <c r="Z383" s="64"/>
      <c r="AA383" s="64"/>
      <c r="AB383" s="60"/>
      <c r="AC383" s="64"/>
      <c r="AD383" s="64"/>
      <c r="AE383" s="64"/>
      <c r="AF383" s="64"/>
      <c r="AG383" s="60"/>
      <c r="AH383" s="64"/>
      <c r="AI383" s="64"/>
      <c r="AJ383" s="64"/>
    </row>
    <row r="384" spans="2:36" ht="15.75" hidden="1" outlineLevel="1" thickBot="1" x14ac:dyDescent="0.3">
      <c r="E384" s="8" t="s">
        <v>27</v>
      </c>
      <c r="F384" s="9">
        <f t="shared" ref="F384:U384" si="249">SUM(F377:F383)</f>
        <v>0</v>
      </c>
      <c r="G384" s="9">
        <f t="shared" si="249"/>
        <v>0</v>
      </c>
      <c r="H384" s="9">
        <f t="shared" si="249"/>
        <v>0</v>
      </c>
      <c r="I384" s="11">
        <f t="shared" si="249"/>
        <v>0</v>
      </c>
      <c r="J384" s="11">
        <f t="shared" si="249"/>
        <v>0</v>
      </c>
      <c r="K384" s="11">
        <f t="shared" si="249"/>
        <v>0</v>
      </c>
      <c r="L384" s="11">
        <f t="shared" si="249"/>
        <v>0</v>
      </c>
      <c r="M384" s="18">
        <f t="shared" si="249"/>
        <v>0</v>
      </c>
      <c r="N384" s="11">
        <f t="shared" si="249"/>
        <v>0</v>
      </c>
      <c r="O384" s="11">
        <f t="shared" si="249"/>
        <v>0</v>
      </c>
      <c r="P384" s="11">
        <f t="shared" si="249"/>
        <v>0</v>
      </c>
      <c r="Q384" s="11">
        <f t="shared" si="249"/>
        <v>0</v>
      </c>
      <c r="R384" s="19">
        <f t="shared" si="249"/>
        <v>0</v>
      </c>
      <c r="S384" s="20">
        <f t="shared" si="249"/>
        <v>0</v>
      </c>
      <c r="T384" s="20">
        <f t="shared" si="249"/>
        <v>0</v>
      </c>
      <c r="U384" s="20">
        <f t="shared" si="249"/>
        <v>0</v>
      </c>
    </row>
    <row r="385" spans="5:24" ht="15.75" hidden="1" outlineLevel="1" thickTop="1" x14ac:dyDescent="0.25"/>
    <row r="386" spans="5:24" hidden="1" outlineLevel="1" x14ac:dyDescent="0.25"/>
    <row r="387" spans="5:24" hidden="1" outlineLevel="1" x14ac:dyDescent="0.25"/>
    <row r="388" spans="5:24" ht="18.75" collapsed="1" x14ac:dyDescent="0.3">
      <c r="E388" s="70" t="s">
        <v>61</v>
      </c>
      <c r="F388" s="70"/>
      <c r="G388" s="70"/>
      <c r="H388" s="70"/>
      <c r="I388" s="70"/>
      <c r="J388" s="70"/>
      <c r="K388" s="70"/>
      <c r="L388" s="70"/>
      <c r="M388" s="70"/>
      <c r="N388" s="70"/>
      <c r="O388" s="70"/>
      <c r="P388" s="70"/>
      <c r="Q388" s="70"/>
      <c r="R388" s="70"/>
      <c r="S388" s="70"/>
      <c r="T388" s="70"/>
      <c r="U388" s="70"/>
    </row>
    <row r="389" spans="5:24" x14ac:dyDescent="0.25">
      <c r="E389" s="52" t="s">
        <v>65</v>
      </c>
    </row>
    <row r="392" spans="5:24" x14ac:dyDescent="0.25">
      <c r="E392" s="4" t="s">
        <v>82</v>
      </c>
    </row>
    <row r="393" spans="5:24" x14ac:dyDescent="0.25">
      <c r="E393" s="6" t="s">
        <v>25</v>
      </c>
    </row>
    <row r="395" spans="5:24" x14ac:dyDescent="0.25">
      <c r="F395" s="12">
        <f>Inputs!$C$7</f>
        <v>2023</v>
      </c>
      <c r="G395" s="12">
        <f>Inputs!$C$8</f>
        <v>2024</v>
      </c>
      <c r="H395" s="12">
        <f>Inputs!$C$9</f>
        <v>2025</v>
      </c>
      <c r="I395" s="13" t="s">
        <v>1</v>
      </c>
      <c r="J395" s="13" t="s">
        <v>2</v>
      </c>
      <c r="K395" s="13" t="s">
        <v>3</v>
      </c>
      <c r="L395" s="13" t="s">
        <v>4</v>
      </c>
      <c r="M395" s="13">
        <f>Inputs!$C$10</f>
        <v>2026</v>
      </c>
      <c r="N395" s="14" t="s">
        <v>1</v>
      </c>
      <c r="O395" s="14" t="s">
        <v>2</v>
      </c>
      <c r="P395" s="14" t="s">
        <v>3</v>
      </c>
      <c r="Q395" s="14" t="s">
        <v>4</v>
      </c>
      <c r="R395" s="15">
        <f>Inputs!$C$11</f>
        <v>2027</v>
      </c>
      <c r="S395" s="16">
        <f>Inputs!$C$12</f>
        <v>2028</v>
      </c>
      <c r="T395" s="16">
        <f>Inputs!$C$13</f>
        <v>2029</v>
      </c>
      <c r="U395" s="16">
        <f>Inputs!$C$14</f>
        <v>2030</v>
      </c>
    </row>
    <row r="396" spans="5:24" x14ac:dyDescent="0.25">
      <c r="F396" s="71" t="s">
        <v>63</v>
      </c>
      <c r="G396" s="71" t="s">
        <v>63</v>
      </c>
      <c r="H396" s="71" t="s">
        <v>63</v>
      </c>
      <c r="I396" s="71" t="s">
        <v>63</v>
      </c>
      <c r="J396" s="71" t="s">
        <v>63</v>
      </c>
      <c r="K396" s="71" t="s">
        <v>63</v>
      </c>
      <c r="L396" s="71" t="s">
        <v>63</v>
      </c>
      <c r="M396" s="71" t="s">
        <v>63</v>
      </c>
      <c r="N396" s="71" t="s">
        <v>63</v>
      </c>
      <c r="O396" s="71" t="s">
        <v>63</v>
      </c>
      <c r="P396" s="71" t="s">
        <v>63</v>
      </c>
      <c r="Q396" s="71" t="s">
        <v>63</v>
      </c>
      <c r="R396" s="71" t="s">
        <v>63</v>
      </c>
      <c r="S396" s="71" t="s">
        <v>63</v>
      </c>
      <c r="T396" s="71" t="s">
        <v>63</v>
      </c>
      <c r="U396" s="71" t="s">
        <v>63</v>
      </c>
    </row>
    <row r="397" spans="5:24" x14ac:dyDescent="0.25">
      <c r="E397" s="78" t="s">
        <v>102</v>
      </c>
      <c r="F397" s="65"/>
      <c r="G397" s="65"/>
      <c r="H397" s="65"/>
      <c r="I397" s="72"/>
      <c r="J397" s="72"/>
      <c r="K397" s="72"/>
      <c r="L397" s="72"/>
      <c r="M397" s="65">
        <f>SUM(I397:L397)</f>
        <v>0</v>
      </c>
      <c r="N397" s="72"/>
      <c r="O397" s="72"/>
      <c r="P397" s="72"/>
      <c r="Q397" s="72"/>
      <c r="R397" s="66">
        <f t="shared" ref="R397:R403" si="250">SUM(N397:Q397)</f>
        <v>0</v>
      </c>
      <c r="S397" s="66"/>
      <c r="T397" s="66"/>
      <c r="U397" s="66"/>
    </row>
    <row r="398" spans="5:24" x14ac:dyDescent="0.25">
      <c r="E398" s="78" t="s">
        <v>103</v>
      </c>
      <c r="F398" s="65"/>
      <c r="G398" s="65"/>
      <c r="H398" s="65"/>
      <c r="I398" s="72"/>
      <c r="J398" s="72"/>
      <c r="K398" s="72"/>
      <c r="L398" s="72"/>
      <c r="M398" s="65">
        <f t="shared" ref="M398:M403" si="251">SUM(I398:L398)</f>
        <v>0</v>
      </c>
      <c r="N398" s="72"/>
      <c r="O398" s="72"/>
      <c r="P398" s="72"/>
      <c r="Q398" s="72"/>
      <c r="R398" s="66">
        <f t="shared" si="250"/>
        <v>0</v>
      </c>
      <c r="S398" s="66"/>
      <c r="T398" s="66"/>
      <c r="U398" s="66"/>
    </row>
    <row r="399" spans="5:24" x14ac:dyDescent="0.25">
      <c r="E399" s="78" t="s">
        <v>104</v>
      </c>
      <c r="F399" s="65"/>
      <c r="G399" s="65"/>
      <c r="H399" s="65"/>
      <c r="I399" s="72"/>
      <c r="J399" s="72"/>
      <c r="K399" s="72"/>
      <c r="L399" s="72"/>
      <c r="M399" s="65">
        <f t="shared" si="251"/>
        <v>0</v>
      </c>
      <c r="N399" s="72"/>
      <c r="O399" s="72"/>
      <c r="P399" s="72"/>
      <c r="Q399" s="72"/>
      <c r="R399" s="66">
        <f t="shared" si="250"/>
        <v>0</v>
      </c>
      <c r="S399" s="66"/>
      <c r="T399" s="66"/>
      <c r="U399" s="66"/>
    </row>
    <row r="400" spans="5:24" x14ac:dyDescent="0.25">
      <c r="E400" s="78" t="s">
        <v>108</v>
      </c>
      <c r="F400" s="65"/>
      <c r="G400" s="65"/>
      <c r="H400" s="65"/>
      <c r="I400" s="72"/>
      <c r="J400" s="72"/>
      <c r="K400" s="72"/>
      <c r="L400" s="72"/>
      <c r="M400" s="65">
        <f t="shared" si="251"/>
        <v>0</v>
      </c>
      <c r="N400" s="72"/>
      <c r="O400" s="72"/>
      <c r="P400" s="72"/>
      <c r="Q400" s="72"/>
      <c r="R400" s="66">
        <f t="shared" si="250"/>
        <v>0</v>
      </c>
      <c r="S400" s="66"/>
      <c r="T400" s="66"/>
      <c r="U400" s="66"/>
      <c r="X400" s="54"/>
    </row>
    <row r="401" spans="5:21" x14ac:dyDescent="0.25">
      <c r="E401" s="78" t="s">
        <v>88</v>
      </c>
      <c r="F401" s="65"/>
      <c r="G401" s="65"/>
      <c r="H401" s="65"/>
      <c r="I401" s="72"/>
      <c r="J401" s="72"/>
      <c r="K401" s="72"/>
      <c r="L401" s="72"/>
      <c r="M401" s="65">
        <f t="shared" si="251"/>
        <v>0</v>
      </c>
      <c r="N401" s="72"/>
      <c r="O401" s="72"/>
      <c r="P401" s="72"/>
      <c r="Q401" s="72"/>
      <c r="R401" s="66">
        <f t="shared" si="250"/>
        <v>0</v>
      </c>
      <c r="S401" s="66"/>
      <c r="T401" s="66"/>
      <c r="U401" s="66"/>
    </row>
    <row r="402" spans="5:21" x14ac:dyDescent="0.25">
      <c r="E402" s="78" t="s">
        <v>77</v>
      </c>
      <c r="F402" s="65"/>
      <c r="G402" s="65"/>
      <c r="H402" s="65"/>
      <c r="I402" s="72"/>
      <c r="J402" s="72"/>
      <c r="K402" s="72"/>
      <c r="L402" s="72"/>
      <c r="M402" s="65">
        <f t="shared" si="251"/>
        <v>0</v>
      </c>
      <c r="N402" s="72"/>
      <c r="O402" s="72"/>
      <c r="P402" s="72"/>
      <c r="Q402" s="72"/>
      <c r="R402" s="66">
        <f t="shared" si="250"/>
        <v>0</v>
      </c>
      <c r="S402" s="66"/>
      <c r="T402" s="66"/>
      <c r="U402" s="66"/>
    </row>
    <row r="403" spans="5:21" x14ac:dyDescent="0.25">
      <c r="E403" s="78" t="s">
        <v>77</v>
      </c>
      <c r="F403" s="65"/>
      <c r="G403" s="65"/>
      <c r="H403" s="65"/>
      <c r="I403" s="72"/>
      <c r="J403" s="72"/>
      <c r="K403" s="72"/>
      <c r="L403" s="72"/>
      <c r="M403" s="65">
        <f t="shared" si="251"/>
        <v>0</v>
      </c>
      <c r="N403" s="72"/>
      <c r="O403" s="72"/>
      <c r="P403" s="72"/>
      <c r="Q403" s="72"/>
      <c r="R403" s="66">
        <f t="shared" si="250"/>
        <v>0</v>
      </c>
      <c r="S403" s="66"/>
      <c r="T403" s="66"/>
      <c r="U403" s="66"/>
    </row>
    <row r="404" spans="5:21" ht="15.75" thickBot="1" x14ac:dyDescent="0.3">
      <c r="E404" s="8" t="s">
        <v>27</v>
      </c>
      <c r="F404" s="67">
        <f>SUM(F397:F403)</f>
        <v>0</v>
      </c>
      <c r="G404" s="67">
        <f t="shared" ref="G404:U404" si="252">SUM(G397:G403)</f>
        <v>0</v>
      </c>
      <c r="H404" s="67">
        <f t="shared" si="252"/>
        <v>0</v>
      </c>
      <c r="I404" s="43">
        <f t="shared" si="252"/>
        <v>0</v>
      </c>
      <c r="J404" s="43">
        <f t="shared" si="252"/>
        <v>0</v>
      </c>
      <c r="K404" s="43">
        <f t="shared" si="252"/>
        <v>0</v>
      </c>
      <c r="L404" s="43">
        <f t="shared" si="252"/>
        <v>0</v>
      </c>
      <c r="M404" s="68">
        <f t="shared" si="252"/>
        <v>0</v>
      </c>
      <c r="N404" s="43">
        <f t="shared" si="252"/>
        <v>0</v>
      </c>
      <c r="O404" s="43">
        <f t="shared" si="252"/>
        <v>0</v>
      </c>
      <c r="P404" s="43">
        <f t="shared" si="252"/>
        <v>0</v>
      </c>
      <c r="Q404" s="43">
        <f t="shared" si="252"/>
        <v>0</v>
      </c>
      <c r="R404" s="69">
        <f t="shared" si="252"/>
        <v>0</v>
      </c>
      <c r="S404" s="69">
        <f t="shared" si="252"/>
        <v>0</v>
      </c>
      <c r="T404" s="69">
        <f t="shared" si="252"/>
        <v>0</v>
      </c>
      <c r="U404" s="69">
        <f t="shared" si="252"/>
        <v>0</v>
      </c>
    </row>
    <row r="405" spans="5:21" ht="15.75" thickTop="1" x14ac:dyDescent="0.25">
      <c r="M405" s="3"/>
    </row>
    <row r="406" spans="5:21" x14ac:dyDescent="0.25">
      <c r="M406" s="3"/>
    </row>
    <row r="407" spans="5:21" x14ac:dyDescent="0.25">
      <c r="M407" s="3"/>
    </row>
    <row r="408" spans="5:21" x14ac:dyDescent="0.25">
      <c r="E408" s="4" t="s">
        <v>28</v>
      </c>
    </row>
    <row r="409" spans="5:21" x14ac:dyDescent="0.25">
      <c r="E409" s="6" t="s">
        <v>25</v>
      </c>
    </row>
    <row r="411" spans="5:21" x14ac:dyDescent="0.25">
      <c r="F411" s="12">
        <f>Inputs!$C$7</f>
        <v>2023</v>
      </c>
      <c r="G411" s="12">
        <f>Inputs!$C$8</f>
        <v>2024</v>
      </c>
      <c r="H411" s="12">
        <f>Inputs!$C$9</f>
        <v>2025</v>
      </c>
      <c r="I411" s="13" t="s">
        <v>1</v>
      </c>
      <c r="J411" s="13" t="s">
        <v>2</v>
      </c>
      <c r="K411" s="13" t="s">
        <v>3</v>
      </c>
      <c r="L411" s="13" t="s">
        <v>4</v>
      </c>
      <c r="M411" s="13">
        <f>Inputs!$C$10</f>
        <v>2026</v>
      </c>
      <c r="N411" s="14" t="s">
        <v>1</v>
      </c>
      <c r="O411" s="14" t="s">
        <v>2</v>
      </c>
      <c r="P411" s="14" t="s">
        <v>3</v>
      </c>
      <c r="Q411" s="14" t="s">
        <v>4</v>
      </c>
      <c r="R411" s="15">
        <f>Inputs!$C$11</f>
        <v>2027</v>
      </c>
      <c r="S411" s="16">
        <f>Inputs!$C$12</f>
        <v>2028</v>
      </c>
      <c r="T411" s="16">
        <f>Inputs!$C$13</f>
        <v>2029</v>
      </c>
      <c r="U411" s="16">
        <f>Inputs!$C$14</f>
        <v>2030</v>
      </c>
    </row>
    <row r="412" spans="5:21" x14ac:dyDescent="0.25">
      <c r="F412" s="71" t="s">
        <v>63</v>
      </c>
      <c r="G412" s="71" t="s">
        <v>63</v>
      </c>
      <c r="H412" s="71" t="s">
        <v>63</v>
      </c>
      <c r="I412" s="71" t="s">
        <v>63</v>
      </c>
      <c r="J412" s="71" t="s">
        <v>63</v>
      </c>
      <c r="K412" s="71" t="s">
        <v>63</v>
      </c>
      <c r="L412" s="71" t="s">
        <v>63</v>
      </c>
      <c r="M412" s="71" t="s">
        <v>63</v>
      </c>
      <c r="N412" s="71" t="s">
        <v>63</v>
      </c>
      <c r="O412" s="71" t="s">
        <v>63</v>
      </c>
      <c r="P412" s="71" t="s">
        <v>63</v>
      </c>
      <c r="Q412" s="71" t="s">
        <v>63</v>
      </c>
      <c r="R412" s="71" t="s">
        <v>63</v>
      </c>
      <c r="S412" s="71" t="s">
        <v>63</v>
      </c>
      <c r="T412" s="71" t="s">
        <v>63</v>
      </c>
      <c r="U412" s="71" t="s">
        <v>63</v>
      </c>
    </row>
    <row r="413" spans="5:21" x14ac:dyDescent="0.25">
      <c r="E413" s="78" t="s">
        <v>83</v>
      </c>
      <c r="F413" s="65"/>
      <c r="G413" s="65"/>
      <c r="H413" s="65"/>
      <c r="I413" s="72"/>
      <c r="J413" s="72"/>
      <c r="K413" s="72"/>
      <c r="L413" s="72"/>
      <c r="M413" s="65">
        <f>SUM(I413:L413)</f>
        <v>0</v>
      </c>
      <c r="N413" s="72"/>
      <c r="O413" s="72"/>
      <c r="P413" s="72"/>
      <c r="Q413" s="72"/>
      <c r="R413" s="66">
        <f t="shared" ref="R413:R419" si="253">SUM(N413:Q413)</f>
        <v>0</v>
      </c>
      <c r="S413" s="66"/>
      <c r="T413" s="66"/>
      <c r="U413" s="66"/>
    </row>
    <row r="414" spans="5:21" x14ac:dyDescent="0.25">
      <c r="E414" s="78" t="s">
        <v>84</v>
      </c>
      <c r="F414" s="65"/>
      <c r="G414" s="65"/>
      <c r="H414" s="65"/>
      <c r="I414" s="72"/>
      <c r="J414" s="72"/>
      <c r="K414" s="72"/>
      <c r="L414" s="72"/>
      <c r="M414" s="65">
        <f t="shared" ref="M414:M419" si="254">SUM(I414:L414)</f>
        <v>0</v>
      </c>
      <c r="N414" s="72"/>
      <c r="O414" s="72"/>
      <c r="P414" s="72"/>
      <c r="Q414" s="72"/>
      <c r="R414" s="66">
        <f t="shared" si="253"/>
        <v>0</v>
      </c>
      <c r="S414" s="66"/>
      <c r="T414" s="66"/>
      <c r="U414" s="66"/>
    </row>
    <row r="415" spans="5:21" x14ac:dyDescent="0.25">
      <c r="E415" s="78" t="s">
        <v>85</v>
      </c>
      <c r="F415" s="65"/>
      <c r="G415" s="65"/>
      <c r="H415" s="65"/>
      <c r="I415" s="72"/>
      <c r="J415" s="72"/>
      <c r="K415" s="72"/>
      <c r="L415" s="72"/>
      <c r="M415" s="65">
        <f t="shared" si="254"/>
        <v>0</v>
      </c>
      <c r="N415" s="72"/>
      <c r="O415" s="72"/>
      <c r="P415" s="72"/>
      <c r="Q415" s="72"/>
      <c r="R415" s="66">
        <f t="shared" si="253"/>
        <v>0</v>
      </c>
      <c r="S415" s="66"/>
      <c r="T415" s="66"/>
      <c r="U415" s="66"/>
    </row>
    <row r="416" spans="5:21" x14ac:dyDescent="0.25">
      <c r="E416" s="78" t="s">
        <v>86</v>
      </c>
      <c r="F416" s="65"/>
      <c r="G416" s="65"/>
      <c r="H416" s="65"/>
      <c r="I416" s="72"/>
      <c r="J416" s="72"/>
      <c r="K416" s="72"/>
      <c r="L416" s="72"/>
      <c r="M416" s="65">
        <f t="shared" si="254"/>
        <v>0</v>
      </c>
      <c r="N416" s="72"/>
      <c r="O416" s="72"/>
      <c r="P416" s="72"/>
      <c r="Q416" s="72"/>
      <c r="R416" s="66">
        <f t="shared" si="253"/>
        <v>0</v>
      </c>
      <c r="S416" s="66"/>
      <c r="T416" s="66"/>
      <c r="U416" s="66"/>
    </row>
    <row r="417" spans="5:21" x14ac:dyDescent="0.25">
      <c r="E417" s="78" t="s">
        <v>87</v>
      </c>
      <c r="F417" s="65"/>
      <c r="G417" s="65"/>
      <c r="H417" s="65"/>
      <c r="I417" s="72"/>
      <c r="J417" s="72"/>
      <c r="K417" s="72"/>
      <c r="L417" s="72"/>
      <c r="M417" s="65">
        <f t="shared" si="254"/>
        <v>0</v>
      </c>
      <c r="N417" s="72"/>
      <c r="O417" s="72"/>
      <c r="P417" s="72"/>
      <c r="Q417" s="72"/>
      <c r="R417" s="66">
        <f t="shared" si="253"/>
        <v>0</v>
      </c>
      <c r="S417" s="66"/>
      <c r="T417" s="66"/>
      <c r="U417" s="66"/>
    </row>
    <row r="418" spans="5:21" x14ac:dyDescent="0.25">
      <c r="E418" s="78" t="s">
        <v>77</v>
      </c>
      <c r="F418" s="65"/>
      <c r="G418" s="65"/>
      <c r="H418" s="65"/>
      <c r="I418" s="72"/>
      <c r="J418" s="72"/>
      <c r="K418" s="72"/>
      <c r="L418" s="72"/>
      <c r="M418" s="65">
        <f t="shared" si="254"/>
        <v>0</v>
      </c>
      <c r="N418" s="72"/>
      <c r="O418" s="72"/>
      <c r="P418" s="72"/>
      <c r="Q418" s="72"/>
      <c r="R418" s="66">
        <f t="shared" si="253"/>
        <v>0</v>
      </c>
      <c r="S418" s="66"/>
      <c r="T418" s="66"/>
      <c r="U418" s="66"/>
    </row>
    <row r="419" spans="5:21" x14ac:dyDescent="0.25">
      <c r="E419" s="78" t="s">
        <v>77</v>
      </c>
      <c r="F419" s="65"/>
      <c r="G419" s="65"/>
      <c r="H419" s="65"/>
      <c r="I419" s="72"/>
      <c r="J419" s="72"/>
      <c r="K419" s="72"/>
      <c r="L419" s="72"/>
      <c r="M419" s="65">
        <f t="shared" si="254"/>
        <v>0</v>
      </c>
      <c r="N419" s="72"/>
      <c r="O419" s="72"/>
      <c r="P419" s="72"/>
      <c r="Q419" s="72"/>
      <c r="R419" s="66">
        <f t="shared" si="253"/>
        <v>0</v>
      </c>
      <c r="S419" s="66"/>
      <c r="T419" s="66"/>
      <c r="U419" s="66"/>
    </row>
    <row r="420" spans="5:21" ht="15.75" thickBot="1" x14ac:dyDescent="0.3">
      <c r="E420" s="8" t="s">
        <v>27</v>
      </c>
      <c r="F420" s="67">
        <f>SUM(F413:F419)</f>
        <v>0</v>
      </c>
      <c r="G420" s="67">
        <f t="shared" ref="G420:U420" si="255">SUM(G413:G419)</f>
        <v>0</v>
      </c>
      <c r="H420" s="67">
        <f t="shared" si="255"/>
        <v>0</v>
      </c>
      <c r="I420" s="43">
        <f t="shared" si="255"/>
        <v>0</v>
      </c>
      <c r="J420" s="43">
        <f t="shared" si="255"/>
        <v>0</v>
      </c>
      <c r="K420" s="43">
        <f t="shared" si="255"/>
        <v>0</v>
      </c>
      <c r="L420" s="43">
        <f t="shared" si="255"/>
        <v>0</v>
      </c>
      <c r="M420" s="68">
        <f t="shared" si="255"/>
        <v>0</v>
      </c>
      <c r="N420" s="43">
        <f t="shared" si="255"/>
        <v>0</v>
      </c>
      <c r="O420" s="43">
        <f t="shared" si="255"/>
        <v>0</v>
      </c>
      <c r="P420" s="43">
        <f t="shared" si="255"/>
        <v>0</v>
      </c>
      <c r="Q420" s="43">
        <f t="shared" si="255"/>
        <v>0</v>
      </c>
      <c r="R420" s="69">
        <f t="shared" si="255"/>
        <v>0</v>
      </c>
      <c r="S420" s="69">
        <f t="shared" si="255"/>
        <v>0</v>
      </c>
      <c r="T420" s="69">
        <f t="shared" si="255"/>
        <v>0</v>
      </c>
      <c r="U420" s="69">
        <f t="shared" si="255"/>
        <v>0</v>
      </c>
    </row>
    <row r="421" spans="5:21" ht="15.75" thickTop="1" x14ac:dyDescent="0.25"/>
    <row r="422" spans="5:21" x14ac:dyDescent="0.25">
      <c r="E422" s="78" t="s">
        <v>89</v>
      </c>
      <c r="F422" s="65"/>
      <c r="G422" s="65"/>
      <c r="H422" s="65"/>
      <c r="I422" s="72"/>
      <c r="J422" s="72"/>
      <c r="K422" s="72"/>
      <c r="L422" s="72"/>
      <c r="M422" s="65">
        <f>SUM(I422:L422)</f>
        <v>0</v>
      </c>
      <c r="N422" s="72"/>
      <c r="O422" s="72"/>
      <c r="P422" s="72"/>
      <c r="Q422" s="72"/>
      <c r="R422" s="66">
        <f t="shared" ref="R422:R428" si="256">SUM(N422:Q422)</f>
        <v>0</v>
      </c>
      <c r="S422" s="66"/>
      <c r="T422" s="66"/>
      <c r="U422" s="66"/>
    </row>
    <row r="423" spans="5:21" x14ac:dyDescent="0.25">
      <c r="E423" s="78" t="s">
        <v>90</v>
      </c>
      <c r="F423" s="65"/>
      <c r="G423" s="65"/>
      <c r="H423" s="65"/>
      <c r="I423" s="72"/>
      <c r="J423" s="72"/>
      <c r="K423" s="72"/>
      <c r="L423" s="72"/>
      <c r="M423" s="65">
        <f t="shared" ref="M423:M428" si="257">SUM(I423:L423)</f>
        <v>0</v>
      </c>
      <c r="N423" s="72"/>
      <c r="O423" s="72"/>
      <c r="P423" s="72"/>
      <c r="Q423" s="72"/>
      <c r="R423" s="66">
        <f t="shared" si="256"/>
        <v>0</v>
      </c>
      <c r="S423" s="66"/>
      <c r="T423" s="66"/>
      <c r="U423" s="66"/>
    </row>
    <row r="424" spans="5:21" x14ac:dyDescent="0.25">
      <c r="E424" s="78" t="s">
        <v>91</v>
      </c>
      <c r="F424" s="65"/>
      <c r="G424" s="65"/>
      <c r="H424" s="65"/>
      <c r="I424" s="72"/>
      <c r="J424" s="72"/>
      <c r="K424" s="72"/>
      <c r="L424" s="72"/>
      <c r="M424" s="65">
        <f t="shared" si="257"/>
        <v>0</v>
      </c>
      <c r="N424" s="72"/>
      <c r="O424" s="72"/>
      <c r="P424" s="72"/>
      <c r="Q424" s="72"/>
      <c r="R424" s="66">
        <f t="shared" si="256"/>
        <v>0</v>
      </c>
      <c r="S424" s="66"/>
      <c r="T424" s="66"/>
      <c r="U424" s="66"/>
    </row>
    <row r="425" spans="5:21" x14ac:dyDescent="0.25">
      <c r="E425" s="78" t="s">
        <v>92</v>
      </c>
      <c r="F425" s="65"/>
      <c r="G425" s="65"/>
      <c r="H425" s="65"/>
      <c r="I425" s="72"/>
      <c r="J425" s="72"/>
      <c r="K425" s="72"/>
      <c r="L425" s="72"/>
      <c r="M425" s="65">
        <f t="shared" si="257"/>
        <v>0</v>
      </c>
      <c r="N425" s="72"/>
      <c r="O425" s="72"/>
      <c r="P425" s="72"/>
      <c r="Q425" s="72"/>
      <c r="R425" s="66">
        <f t="shared" si="256"/>
        <v>0</v>
      </c>
      <c r="S425" s="66"/>
      <c r="T425" s="66"/>
      <c r="U425" s="66"/>
    </row>
    <row r="426" spans="5:21" x14ac:dyDescent="0.25">
      <c r="E426" s="78" t="s">
        <v>93</v>
      </c>
      <c r="F426" s="65"/>
      <c r="G426" s="65"/>
      <c r="H426" s="65"/>
      <c r="I426" s="72"/>
      <c r="J426" s="72"/>
      <c r="K426" s="72"/>
      <c r="L426" s="72"/>
      <c r="M426" s="65">
        <f t="shared" si="257"/>
        <v>0</v>
      </c>
      <c r="N426" s="72"/>
      <c r="O426" s="72"/>
      <c r="P426" s="72"/>
      <c r="Q426" s="72"/>
      <c r="R426" s="66">
        <f t="shared" si="256"/>
        <v>0</v>
      </c>
      <c r="S426" s="66"/>
      <c r="T426" s="66"/>
      <c r="U426" s="66"/>
    </row>
    <row r="427" spans="5:21" x14ac:dyDescent="0.25">
      <c r="E427" s="78" t="s">
        <v>77</v>
      </c>
      <c r="F427" s="65"/>
      <c r="G427" s="65"/>
      <c r="H427" s="65"/>
      <c r="I427" s="72"/>
      <c r="J427" s="72"/>
      <c r="K427" s="72"/>
      <c r="L427" s="72"/>
      <c r="M427" s="65">
        <f t="shared" si="257"/>
        <v>0</v>
      </c>
      <c r="N427" s="72"/>
      <c r="O427" s="72"/>
      <c r="P427" s="72"/>
      <c r="Q427" s="72"/>
      <c r="R427" s="66">
        <f t="shared" si="256"/>
        <v>0</v>
      </c>
      <c r="S427" s="66"/>
      <c r="T427" s="66"/>
      <c r="U427" s="66"/>
    </row>
    <row r="428" spans="5:21" x14ac:dyDescent="0.25">
      <c r="E428" s="78" t="s">
        <v>77</v>
      </c>
      <c r="F428" s="65"/>
      <c r="G428" s="65"/>
      <c r="H428" s="65"/>
      <c r="I428" s="72"/>
      <c r="J428" s="72"/>
      <c r="K428" s="72"/>
      <c r="L428" s="72"/>
      <c r="M428" s="65">
        <f t="shared" si="257"/>
        <v>0</v>
      </c>
      <c r="N428" s="72"/>
      <c r="O428" s="72"/>
      <c r="P428" s="72"/>
      <c r="Q428" s="72"/>
      <c r="R428" s="66">
        <f t="shared" si="256"/>
        <v>0</v>
      </c>
      <c r="S428" s="66"/>
      <c r="T428" s="66"/>
      <c r="U428" s="66"/>
    </row>
    <row r="429" spans="5:21" ht="15.75" thickBot="1" x14ac:dyDescent="0.3">
      <c r="E429" s="8" t="s">
        <v>27</v>
      </c>
      <c r="F429" s="67">
        <f>SUM(F422:F428)</f>
        <v>0</v>
      </c>
      <c r="G429" s="67">
        <f t="shared" ref="G429:U429" si="258">SUM(G422:G428)</f>
        <v>0</v>
      </c>
      <c r="H429" s="67">
        <f t="shared" si="258"/>
        <v>0</v>
      </c>
      <c r="I429" s="43">
        <f t="shared" si="258"/>
        <v>0</v>
      </c>
      <c r="J429" s="43">
        <f t="shared" si="258"/>
        <v>0</v>
      </c>
      <c r="K429" s="43">
        <f t="shared" si="258"/>
        <v>0</v>
      </c>
      <c r="L429" s="43">
        <f t="shared" si="258"/>
        <v>0</v>
      </c>
      <c r="M429" s="68">
        <f t="shared" si="258"/>
        <v>0</v>
      </c>
      <c r="N429" s="43">
        <f t="shared" si="258"/>
        <v>0</v>
      </c>
      <c r="O429" s="43">
        <f t="shared" si="258"/>
        <v>0</v>
      </c>
      <c r="P429" s="43">
        <f t="shared" si="258"/>
        <v>0</v>
      </c>
      <c r="Q429" s="43">
        <f t="shared" si="258"/>
        <v>0</v>
      </c>
      <c r="R429" s="69">
        <f t="shared" si="258"/>
        <v>0</v>
      </c>
      <c r="S429" s="69">
        <f t="shared" si="258"/>
        <v>0</v>
      </c>
      <c r="T429" s="69">
        <f t="shared" si="258"/>
        <v>0</v>
      </c>
      <c r="U429" s="69">
        <f t="shared" si="258"/>
        <v>0</v>
      </c>
    </row>
    <row r="430" spans="5:21" ht="15.75" thickTop="1" x14ac:dyDescent="0.25"/>
    <row r="433" spans="5:21" x14ac:dyDescent="0.25">
      <c r="E433" s="4" t="s">
        <v>101</v>
      </c>
    </row>
    <row r="434" spans="5:21" x14ac:dyDescent="0.25">
      <c r="E434" s="6" t="s">
        <v>25</v>
      </c>
    </row>
    <row r="436" spans="5:21" x14ac:dyDescent="0.25">
      <c r="F436" s="12">
        <f>Inputs!$C$7</f>
        <v>2023</v>
      </c>
      <c r="G436" s="12">
        <f>Inputs!$C$8</f>
        <v>2024</v>
      </c>
      <c r="H436" s="12">
        <f>Inputs!$C$9</f>
        <v>2025</v>
      </c>
      <c r="I436" s="13" t="s">
        <v>1</v>
      </c>
      <c r="J436" s="13" t="s">
        <v>2</v>
      </c>
      <c r="K436" s="13" t="s">
        <v>3</v>
      </c>
      <c r="L436" s="13" t="s">
        <v>4</v>
      </c>
      <c r="M436" s="13">
        <f>Inputs!$C$10</f>
        <v>2026</v>
      </c>
      <c r="N436" s="14" t="s">
        <v>1</v>
      </c>
      <c r="O436" s="14" t="s">
        <v>2</v>
      </c>
      <c r="P436" s="14" t="s">
        <v>3</v>
      </c>
      <c r="Q436" s="14" t="s">
        <v>4</v>
      </c>
      <c r="R436" s="15">
        <f>Inputs!$C$11</f>
        <v>2027</v>
      </c>
      <c r="S436" s="16">
        <f>Inputs!$C$12</f>
        <v>2028</v>
      </c>
      <c r="T436" s="16">
        <f>Inputs!$C$13</f>
        <v>2029</v>
      </c>
      <c r="U436" s="16">
        <f>Inputs!$C$14</f>
        <v>2030</v>
      </c>
    </row>
    <row r="437" spans="5:21" x14ac:dyDescent="0.25">
      <c r="F437" s="71" t="s">
        <v>63</v>
      </c>
      <c r="G437" s="71" t="s">
        <v>63</v>
      </c>
      <c r="H437" s="71" t="s">
        <v>63</v>
      </c>
      <c r="I437" s="71" t="s">
        <v>63</v>
      </c>
      <c r="J437" s="71" t="s">
        <v>63</v>
      </c>
      <c r="K437" s="71" t="s">
        <v>63</v>
      </c>
      <c r="L437" s="71" t="s">
        <v>63</v>
      </c>
      <c r="M437" s="71" t="s">
        <v>63</v>
      </c>
      <c r="N437" s="71" t="s">
        <v>63</v>
      </c>
      <c r="O437" s="71" t="s">
        <v>63</v>
      </c>
      <c r="P437" s="71" t="s">
        <v>63</v>
      </c>
      <c r="Q437" s="71" t="s">
        <v>63</v>
      </c>
      <c r="R437" s="71" t="s">
        <v>63</v>
      </c>
      <c r="S437" s="71" t="s">
        <v>63</v>
      </c>
      <c r="T437" s="71" t="s">
        <v>63</v>
      </c>
      <c r="U437" s="71" t="s">
        <v>63</v>
      </c>
    </row>
    <row r="438" spans="5:21" x14ac:dyDescent="0.25">
      <c r="E438" s="78" t="s">
        <v>94</v>
      </c>
      <c r="F438" s="65"/>
      <c r="G438" s="65"/>
      <c r="H438" s="65"/>
      <c r="I438" s="72"/>
      <c r="J438" s="72"/>
      <c r="K438" s="72"/>
      <c r="L438" s="72"/>
      <c r="M438" s="65">
        <f>SUM(I438:L438)</f>
        <v>0</v>
      </c>
      <c r="N438" s="72"/>
      <c r="O438" s="72"/>
      <c r="P438" s="72"/>
      <c r="Q438" s="72"/>
      <c r="R438" s="66">
        <f t="shared" ref="R438:R444" si="259">SUM(N438:Q438)</f>
        <v>0</v>
      </c>
      <c r="S438" s="66"/>
      <c r="T438" s="66"/>
      <c r="U438" s="66"/>
    </row>
    <row r="439" spans="5:21" x14ac:dyDescent="0.25">
      <c r="E439" s="78" t="s">
        <v>95</v>
      </c>
      <c r="F439" s="65"/>
      <c r="G439" s="65"/>
      <c r="H439" s="65"/>
      <c r="I439" s="72"/>
      <c r="J439" s="72"/>
      <c r="K439" s="72"/>
      <c r="L439" s="72"/>
      <c r="M439" s="65">
        <f t="shared" ref="M439:M444" si="260">SUM(I439:L439)</f>
        <v>0</v>
      </c>
      <c r="N439" s="72"/>
      <c r="O439" s="72"/>
      <c r="P439" s="72"/>
      <c r="Q439" s="72"/>
      <c r="R439" s="66">
        <f t="shared" si="259"/>
        <v>0</v>
      </c>
      <c r="S439" s="66"/>
      <c r="T439" s="66"/>
      <c r="U439" s="66"/>
    </row>
    <row r="440" spans="5:21" x14ac:dyDescent="0.25">
      <c r="E440" s="78" t="s">
        <v>96</v>
      </c>
      <c r="F440" s="65"/>
      <c r="G440" s="65"/>
      <c r="H440" s="65"/>
      <c r="I440" s="72"/>
      <c r="J440" s="72"/>
      <c r="K440" s="72"/>
      <c r="L440" s="72"/>
      <c r="M440" s="65">
        <f t="shared" si="260"/>
        <v>0</v>
      </c>
      <c r="N440" s="72"/>
      <c r="O440" s="72"/>
      <c r="P440" s="72"/>
      <c r="Q440" s="72"/>
      <c r="R440" s="66">
        <f t="shared" si="259"/>
        <v>0</v>
      </c>
      <c r="S440" s="66"/>
      <c r="T440" s="66"/>
      <c r="U440" s="66"/>
    </row>
    <row r="441" spans="5:21" x14ac:dyDescent="0.25">
      <c r="E441" s="78" t="s">
        <v>97</v>
      </c>
      <c r="F441" s="65"/>
      <c r="G441" s="65"/>
      <c r="H441" s="65"/>
      <c r="I441" s="72"/>
      <c r="J441" s="72"/>
      <c r="K441" s="72"/>
      <c r="L441" s="72"/>
      <c r="M441" s="65">
        <f t="shared" si="260"/>
        <v>0</v>
      </c>
      <c r="N441" s="72"/>
      <c r="O441" s="72"/>
      <c r="P441" s="72"/>
      <c r="Q441" s="72"/>
      <c r="R441" s="66">
        <f t="shared" si="259"/>
        <v>0</v>
      </c>
      <c r="S441" s="66"/>
      <c r="T441" s="66"/>
      <c r="U441" s="66"/>
    </row>
    <row r="442" spans="5:21" x14ac:dyDescent="0.25">
      <c r="E442" s="78" t="s">
        <v>98</v>
      </c>
      <c r="F442" s="65"/>
      <c r="G442" s="65"/>
      <c r="H442" s="65"/>
      <c r="I442" s="72"/>
      <c r="J442" s="72"/>
      <c r="K442" s="72"/>
      <c r="L442" s="72"/>
      <c r="M442" s="65">
        <f t="shared" si="260"/>
        <v>0</v>
      </c>
      <c r="N442" s="72"/>
      <c r="O442" s="72"/>
      <c r="P442" s="72"/>
      <c r="Q442" s="72"/>
      <c r="R442" s="66">
        <f t="shared" si="259"/>
        <v>0</v>
      </c>
      <c r="S442" s="66"/>
      <c r="T442" s="66"/>
      <c r="U442" s="66"/>
    </row>
    <row r="443" spans="5:21" x14ac:dyDescent="0.25">
      <c r="E443" s="78" t="s">
        <v>77</v>
      </c>
      <c r="F443" s="65"/>
      <c r="G443" s="65"/>
      <c r="H443" s="65"/>
      <c r="I443" s="72"/>
      <c r="J443" s="72"/>
      <c r="K443" s="72"/>
      <c r="L443" s="72"/>
      <c r="M443" s="65">
        <f t="shared" si="260"/>
        <v>0</v>
      </c>
      <c r="N443" s="72"/>
      <c r="O443" s="72"/>
      <c r="P443" s="72"/>
      <c r="Q443" s="72"/>
      <c r="R443" s="66">
        <f t="shared" si="259"/>
        <v>0</v>
      </c>
      <c r="S443" s="66"/>
      <c r="T443" s="66"/>
      <c r="U443" s="66"/>
    </row>
    <row r="444" spans="5:21" x14ac:dyDescent="0.25">
      <c r="E444" s="78" t="s">
        <v>77</v>
      </c>
      <c r="F444" s="65"/>
      <c r="G444" s="65"/>
      <c r="H444" s="65"/>
      <c r="I444" s="72"/>
      <c r="J444" s="72"/>
      <c r="K444" s="72"/>
      <c r="L444" s="72"/>
      <c r="M444" s="65">
        <f t="shared" si="260"/>
        <v>0</v>
      </c>
      <c r="N444" s="72"/>
      <c r="O444" s="72"/>
      <c r="P444" s="72"/>
      <c r="Q444" s="72"/>
      <c r="R444" s="66">
        <f t="shared" si="259"/>
        <v>0</v>
      </c>
      <c r="S444" s="66"/>
      <c r="T444" s="66"/>
      <c r="U444" s="66"/>
    </row>
    <row r="445" spans="5:21" ht="15.75" thickBot="1" x14ac:dyDescent="0.3">
      <c r="E445" s="8" t="s">
        <v>27</v>
      </c>
      <c r="F445" s="67">
        <f>SUM(F438:F444)</f>
        <v>0</v>
      </c>
      <c r="G445" s="67">
        <f t="shared" ref="G445:U445" si="261">SUM(G438:G444)</f>
        <v>0</v>
      </c>
      <c r="H445" s="67">
        <f t="shared" si="261"/>
        <v>0</v>
      </c>
      <c r="I445" s="43">
        <f t="shared" si="261"/>
        <v>0</v>
      </c>
      <c r="J445" s="43">
        <f t="shared" si="261"/>
        <v>0</v>
      </c>
      <c r="K445" s="43">
        <f t="shared" si="261"/>
        <v>0</v>
      </c>
      <c r="L445" s="43">
        <f t="shared" si="261"/>
        <v>0</v>
      </c>
      <c r="M445" s="68">
        <f t="shared" si="261"/>
        <v>0</v>
      </c>
      <c r="N445" s="43">
        <f t="shared" si="261"/>
        <v>0</v>
      </c>
      <c r="O445" s="43">
        <f t="shared" si="261"/>
        <v>0</v>
      </c>
      <c r="P445" s="43">
        <f t="shared" si="261"/>
        <v>0</v>
      </c>
      <c r="Q445" s="43">
        <f t="shared" si="261"/>
        <v>0</v>
      </c>
      <c r="R445" s="69">
        <f t="shared" si="261"/>
        <v>0</v>
      </c>
      <c r="S445" s="69">
        <f t="shared" si="261"/>
        <v>0</v>
      </c>
      <c r="T445" s="69">
        <f t="shared" si="261"/>
        <v>0</v>
      </c>
      <c r="U445" s="69">
        <f t="shared" si="261"/>
        <v>0</v>
      </c>
    </row>
    <row r="446" spans="5:21" ht="15.75" thickTop="1" x14ac:dyDescent="0.25"/>
    <row r="449" spans="5:21" x14ac:dyDescent="0.25">
      <c r="E449" s="4" t="s">
        <v>105</v>
      </c>
    </row>
    <row r="450" spans="5:21" x14ac:dyDescent="0.25">
      <c r="E450" s="6" t="s">
        <v>25</v>
      </c>
    </row>
    <row r="452" spans="5:21" x14ac:dyDescent="0.25">
      <c r="F452" s="12">
        <f>Inputs!$C$7</f>
        <v>2023</v>
      </c>
      <c r="G452" s="12">
        <f>Inputs!$C$8</f>
        <v>2024</v>
      </c>
      <c r="H452" s="12">
        <f>Inputs!$C$9</f>
        <v>2025</v>
      </c>
      <c r="I452" s="13" t="s">
        <v>1</v>
      </c>
      <c r="J452" s="13" t="s">
        <v>2</v>
      </c>
      <c r="K452" s="13" t="s">
        <v>3</v>
      </c>
      <c r="L452" s="13" t="s">
        <v>4</v>
      </c>
      <c r="M452" s="13">
        <f>Inputs!$C$10</f>
        <v>2026</v>
      </c>
      <c r="N452" s="14" t="s">
        <v>1</v>
      </c>
      <c r="O452" s="14" t="s">
        <v>2</v>
      </c>
      <c r="P452" s="14" t="s">
        <v>3</v>
      </c>
      <c r="Q452" s="14" t="s">
        <v>4</v>
      </c>
      <c r="R452" s="15">
        <f>Inputs!$C$11</f>
        <v>2027</v>
      </c>
      <c r="S452" s="16">
        <f>Inputs!$C$12</f>
        <v>2028</v>
      </c>
      <c r="T452" s="16">
        <f>Inputs!$C$13</f>
        <v>2029</v>
      </c>
      <c r="U452" s="16">
        <f>Inputs!$C$14</f>
        <v>2030</v>
      </c>
    </row>
    <row r="453" spans="5:21" x14ac:dyDescent="0.25">
      <c r="F453" s="71" t="s">
        <v>63</v>
      </c>
      <c r="G453" s="71" t="s">
        <v>63</v>
      </c>
      <c r="H453" s="71" t="s">
        <v>63</v>
      </c>
      <c r="I453" s="71" t="s">
        <v>63</v>
      </c>
      <c r="J453" s="71" t="s">
        <v>63</v>
      </c>
      <c r="K453" s="71" t="s">
        <v>63</v>
      </c>
      <c r="L453" s="71" t="s">
        <v>63</v>
      </c>
      <c r="M453" s="71" t="s">
        <v>63</v>
      </c>
      <c r="N453" s="71" t="s">
        <v>63</v>
      </c>
      <c r="O453" s="71" t="s">
        <v>63</v>
      </c>
      <c r="P453" s="71" t="s">
        <v>63</v>
      </c>
      <c r="Q453" s="71" t="s">
        <v>63</v>
      </c>
      <c r="R453" s="71" t="s">
        <v>63</v>
      </c>
      <c r="S453" s="71" t="s">
        <v>63</v>
      </c>
      <c r="T453" s="71" t="s">
        <v>63</v>
      </c>
      <c r="U453" s="71" t="s">
        <v>63</v>
      </c>
    </row>
    <row r="454" spans="5:21" x14ac:dyDescent="0.25">
      <c r="E454" s="78" t="s">
        <v>106</v>
      </c>
      <c r="F454" s="65"/>
      <c r="G454" s="65"/>
      <c r="H454" s="65"/>
      <c r="I454" s="72"/>
      <c r="J454" s="72"/>
      <c r="K454" s="72"/>
      <c r="L454" s="72"/>
      <c r="M454" s="65">
        <f>SUM(I454:L454)</f>
        <v>0</v>
      </c>
      <c r="N454" s="72"/>
      <c r="O454" s="72"/>
      <c r="P454" s="72"/>
      <c r="Q454" s="72"/>
      <c r="R454" s="66">
        <f t="shared" ref="R454:R460" si="262">SUM(N454:Q454)</f>
        <v>0</v>
      </c>
      <c r="S454" s="66"/>
      <c r="T454" s="66"/>
      <c r="U454" s="66"/>
    </row>
    <row r="455" spans="5:21" x14ac:dyDescent="0.25">
      <c r="E455" s="78" t="s">
        <v>100</v>
      </c>
      <c r="F455" s="65"/>
      <c r="G455" s="65"/>
      <c r="H455" s="65"/>
      <c r="I455" s="72"/>
      <c r="J455" s="72"/>
      <c r="K455" s="72"/>
      <c r="L455" s="72"/>
      <c r="M455" s="65">
        <f t="shared" ref="M455:M460" si="263">SUM(I455:L455)</f>
        <v>0</v>
      </c>
      <c r="N455" s="72"/>
      <c r="O455" s="72"/>
      <c r="P455" s="72"/>
      <c r="Q455" s="72"/>
      <c r="R455" s="66">
        <f t="shared" si="262"/>
        <v>0</v>
      </c>
      <c r="S455" s="66"/>
      <c r="T455" s="66"/>
      <c r="U455" s="66"/>
    </row>
    <row r="456" spans="5:21" x14ac:dyDescent="0.25">
      <c r="E456" s="78" t="s">
        <v>132</v>
      </c>
      <c r="F456" s="65"/>
      <c r="G456" s="65"/>
      <c r="H456" s="65"/>
      <c r="I456" s="72"/>
      <c r="J456" s="72"/>
      <c r="K456" s="72"/>
      <c r="L456" s="72"/>
      <c r="M456" s="65">
        <f t="shared" si="263"/>
        <v>0</v>
      </c>
      <c r="N456" s="72"/>
      <c r="O456" s="72"/>
      <c r="P456" s="72"/>
      <c r="Q456" s="72"/>
      <c r="R456" s="66">
        <f t="shared" si="262"/>
        <v>0</v>
      </c>
      <c r="S456" s="66"/>
      <c r="T456" s="66"/>
      <c r="U456" s="66"/>
    </row>
    <row r="457" spans="5:21" x14ac:dyDescent="0.25">
      <c r="E457" s="78" t="s">
        <v>77</v>
      </c>
      <c r="F457" s="65"/>
      <c r="G457" s="65"/>
      <c r="H457" s="65"/>
      <c r="I457" s="72"/>
      <c r="J457" s="72"/>
      <c r="K457" s="72"/>
      <c r="L457" s="72"/>
      <c r="M457" s="65">
        <f t="shared" si="263"/>
        <v>0</v>
      </c>
      <c r="N457" s="72"/>
      <c r="O457" s="72"/>
      <c r="P457" s="72"/>
      <c r="Q457" s="72"/>
      <c r="R457" s="66">
        <f t="shared" si="262"/>
        <v>0</v>
      </c>
      <c r="S457" s="66"/>
      <c r="T457" s="66"/>
      <c r="U457" s="66"/>
    </row>
    <row r="458" spans="5:21" x14ac:dyDescent="0.25">
      <c r="E458" s="78" t="s">
        <v>77</v>
      </c>
      <c r="F458" s="65"/>
      <c r="G458" s="65"/>
      <c r="H458" s="65"/>
      <c r="I458" s="72"/>
      <c r="J458" s="72"/>
      <c r="K458" s="72"/>
      <c r="L458" s="72"/>
      <c r="M458" s="65">
        <f t="shared" si="263"/>
        <v>0</v>
      </c>
      <c r="N458" s="72"/>
      <c r="O458" s="72"/>
      <c r="P458" s="72"/>
      <c r="Q458" s="72"/>
      <c r="R458" s="66">
        <f t="shared" si="262"/>
        <v>0</v>
      </c>
      <c r="S458" s="66"/>
      <c r="T458" s="66"/>
      <c r="U458" s="66"/>
    </row>
    <row r="459" spans="5:21" x14ac:dyDescent="0.25">
      <c r="E459" s="78" t="s">
        <v>77</v>
      </c>
      <c r="F459" s="65"/>
      <c r="G459" s="65"/>
      <c r="H459" s="65"/>
      <c r="I459" s="72"/>
      <c r="J459" s="72"/>
      <c r="K459" s="72"/>
      <c r="L459" s="72"/>
      <c r="M459" s="65">
        <f t="shared" si="263"/>
        <v>0</v>
      </c>
      <c r="N459" s="72"/>
      <c r="O459" s="72"/>
      <c r="P459" s="72"/>
      <c r="Q459" s="72"/>
      <c r="R459" s="66">
        <f t="shared" si="262"/>
        <v>0</v>
      </c>
      <c r="S459" s="66"/>
      <c r="T459" s="66"/>
      <c r="U459" s="66"/>
    </row>
    <row r="460" spans="5:21" x14ac:dyDescent="0.25">
      <c r="E460" s="78" t="s">
        <v>77</v>
      </c>
      <c r="F460" s="65"/>
      <c r="G460" s="65"/>
      <c r="H460" s="65"/>
      <c r="I460" s="72"/>
      <c r="J460" s="72"/>
      <c r="K460" s="72"/>
      <c r="L460" s="72"/>
      <c r="M460" s="65">
        <f t="shared" si="263"/>
        <v>0</v>
      </c>
      <c r="N460" s="72"/>
      <c r="O460" s="72"/>
      <c r="P460" s="72"/>
      <c r="Q460" s="72"/>
      <c r="R460" s="66">
        <f t="shared" si="262"/>
        <v>0</v>
      </c>
      <c r="S460" s="66"/>
      <c r="T460" s="66"/>
      <c r="U460" s="66"/>
    </row>
    <row r="461" spans="5:21" ht="15.75" thickBot="1" x14ac:dyDescent="0.3">
      <c r="E461" s="8" t="s">
        <v>27</v>
      </c>
      <c r="F461" s="67">
        <f>SUM(F454:F460)</f>
        <v>0</v>
      </c>
      <c r="G461" s="67">
        <f t="shared" ref="G461:U461" si="264">SUM(G454:G460)</f>
        <v>0</v>
      </c>
      <c r="H461" s="67">
        <f t="shared" si="264"/>
        <v>0</v>
      </c>
      <c r="I461" s="43">
        <f t="shared" si="264"/>
        <v>0</v>
      </c>
      <c r="J461" s="43">
        <f t="shared" si="264"/>
        <v>0</v>
      </c>
      <c r="K461" s="43">
        <f t="shared" si="264"/>
        <v>0</v>
      </c>
      <c r="L461" s="43">
        <f t="shared" si="264"/>
        <v>0</v>
      </c>
      <c r="M461" s="68">
        <f t="shared" si="264"/>
        <v>0</v>
      </c>
      <c r="N461" s="43">
        <f t="shared" si="264"/>
        <v>0</v>
      </c>
      <c r="O461" s="43">
        <f t="shared" si="264"/>
        <v>0</v>
      </c>
      <c r="P461" s="43">
        <f t="shared" si="264"/>
        <v>0</v>
      </c>
      <c r="Q461" s="43">
        <f t="shared" si="264"/>
        <v>0</v>
      </c>
      <c r="R461" s="69">
        <f t="shared" si="264"/>
        <v>0</v>
      </c>
      <c r="S461" s="69">
        <f t="shared" si="264"/>
        <v>0</v>
      </c>
      <c r="T461" s="69">
        <f t="shared" si="264"/>
        <v>0</v>
      </c>
      <c r="U461" s="69">
        <f t="shared" si="264"/>
        <v>0</v>
      </c>
    </row>
    <row r="462" spans="5:21" ht="15.75" thickTop="1" x14ac:dyDescent="0.25">
      <c r="F462" s="24"/>
      <c r="G462" s="25"/>
      <c r="H462" s="25"/>
      <c r="I462" s="25"/>
      <c r="J462" s="25"/>
      <c r="K462" s="25"/>
      <c r="L462" s="25"/>
      <c r="M462" s="25"/>
      <c r="N462" s="25"/>
      <c r="O462" s="25"/>
      <c r="P462" s="25"/>
      <c r="Q462" s="25"/>
      <c r="R462" s="25"/>
      <c r="S462" s="25"/>
      <c r="T462" s="25"/>
      <c r="U462" s="25"/>
    </row>
  </sheetData>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D3E01-71C0-4546-AF53-7E04F395E269}">
  <sheetPr>
    <tabColor theme="9" tint="0.79998168889431442"/>
  </sheetPr>
  <dimension ref="B3:AJ480"/>
  <sheetViews>
    <sheetView showGridLines="0" zoomScale="80" zoomScaleNormal="80" workbookViewId="0">
      <selection activeCell="C1" sqref="C1"/>
    </sheetView>
  </sheetViews>
  <sheetFormatPr defaultRowHeight="15" outlineLevelRow="1" outlineLevelCol="1" x14ac:dyDescent="0.25"/>
  <cols>
    <col min="1" max="1" width="3.85546875" customWidth="1"/>
    <col min="2" max="2" width="5.28515625" bestFit="1" customWidth="1"/>
    <col min="3" max="3" width="4.5703125" bestFit="1" customWidth="1"/>
    <col min="4" max="4" width="3.85546875" customWidth="1"/>
    <col min="5" max="5" width="38.7109375" customWidth="1"/>
    <col min="6" max="8" width="7.7109375" customWidth="1"/>
    <col min="9" max="12" width="7.7109375" customWidth="1" outlineLevel="1"/>
    <col min="13" max="13" width="7.7109375" customWidth="1"/>
    <col min="14" max="17" width="7.7109375" customWidth="1" outlineLevel="1"/>
    <col min="18" max="21" width="8.5703125" bestFit="1" customWidth="1"/>
    <col min="23" max="23" width="40.28515625" customWidth="1"/>
  </cols>
  <sheetData>
    <row r="3" spans="2:36" ht="18.75" x14ac:dyDescent="0.3">
      <c r="B3" s="4" t="s">
        <v>34</v>
      </c>
      <c r="C3" s="4" t="s">
        <v>387</v>
      </c>
      <c r="E3" s="53" t="str">
        <f>"Scenario 1: "&amp;Inputs!B22</f>
        <v>Scenario 1: Scenario 1</v>
      </c>
      <c r="F3" s="49"/>
      <c r="G3" s="49"/>
      <c r="H3" s="49"/>
      <c r="I3" s="49"/>
      <c r="J3" s="49"/>
      <c r="K3" s="49"/>
      <c r="L3" s="49"/>
      <c r="M3" s="49"/>
      <c r="N3" s="49"/>
      <c r="O3" s="49"/>
      <c r="P3" s="49"/>
      <c r="Q3" s="49"/>
      <c r="R3" s="49"/>
      <c r="S3" s="49"/>
      <c r="T3" s="49"/>
      <c r="U3" s="49"/>
    </row>
    <row r="4" spans="2:36" hidden="1" outlineLevel="1" x14ac:dyDescent="0.25">
      <c r="E4" s="52" t="str">
        <f>Inputs!C22</f>
        <v>Scenario 1 Description</v>
      </c>
    </row>
    <row r="5" spans="2:36" hidden="1" outlineLevel="1" x14ac:dyDescent="0.25"/>
    <row r="6" spans="2:36" hidden="1" outlineLevel="1" x14ac:dyDescent="0.25"/>
    <row r="7" spans="2:36" hidden="1" outlineLevel="1" x14ac:dyDescent="0.25">
      <c r="E7" s="4" t="s">
        <v>116</v>
      </c>
      <c r="W7" s="4" t="str">
        <f>E7</f>
        <v>Inventory (Gross Inventory + Inventory Reserves)</v>
      </c>
    </row>
    <row r="8" spans="2:36" hidden="1" outlineLevel="1" x14ac:dyDescent="0.25">
      <c r="E8" s="6" t="s">
        <v>25</v>
      </c>
      <c r="W8" s="61" t="s">
        <v>134</v>
      </c>
    </row>
    <row r="9" spans="2:36" hidden="1" outlineLevel="1" x14ac:dyDescent="0.25"/>
    <row r="10" spans="2:36" hidden="1" outlineLevel="1" x14ac:dyDescent="0.25">
      <c r="F10" s="12">
        <f>Inputs!$C$7</f>
        <v>2023</v>
      </c>
      <c r="G10" s="12">
        <f>Inputs!$C$8</f>
        <v>2024</v>
      </c>
      <c r="H10" s="12">
        <f>Inputs!$C$9</f>
        <v>2025</v>
      </c>
      <c r="I10" s="13" t="s">
        <v>1</v>
      </c>
      <c r="J10" s="13" t="s">
        <v>2</v>
      </c>
      <c r="K10" s="13" t="s">
        <v>3</v>
      </c>
      <c r="L10" s="13" t="s">
        <v>4</v>
      </c>
      <c r="M10" s="13">
        <f>Inputs!$C$10</f>
        <v>2026</v>
      </c>
      <c r="N10" s="14" t="s">
        <v>1</v>
      </c>
      <c r="O10" s="14" t="s">
        <v>2</v>
      </c>
      <c r="P10" s="14" t="s">
        <v>3</v>
      </c>
      <c r="Q10" s="14" t="s">
        <v>4</v>
      </c>
      <c r="R10" s="15">
        <f>Inputs!$C$11</f>
        <v>2027</v>
      </c>
      <c r="S10" s="16">
        <f>Inputs!$C$12</f>
        <v>2028</v>
      </c>
      <c r="T10" s="16">
        <f>Inputs!$C$13</f>
        <v>2029</v>
      </c>
      <c r="U10" s="16">
        <f>Inputs!$C$14</f>
        <v>2030</v>
      </c>
      <c r="X10" s="13" t="s">
        <v>1</v>
      </c>
      <c r="Y10" s="13" t="s">
        <v>2</v>
      </c>
      <c r="Z10" s="13" t="s">
        <v>3</v>
      </c>
      <c r="AA10" s="13" t="s">
        <v>4</v>
      </c>
      <c r="AB10" s="13">
        <f>Inputs!$C$10</f>
        <v>2026</v>
      </c>
      <c r="AC10" s="14" t="s">
        <v>1</v>
      </c>
      <c r="AD10" s="14" t="s">
        <v>2</v>
      </c>
      <c r="AE10" s="14" t="s">
        <v>3</v>
      </c>
      <c r="AF10" s="14" t="s">
        <v>4</v>
      </c>
      <c r="AG10" s="15">
        <f>Inputs!$C$11</f>
        <v>2027</v>
      </c>
      <c r="AH10" s="16">
        <f>Inputs!$C$12</f>
        <v>2028</v>
      </c>
      <c r="AI10" s="16">
        <f>Inputs!$C$13</f>
        <v>2029</v>
      </c>
      <c r="AJ10" s="16">
        <f>Inputs!$C$14</f>
        <v>2030</v>
      </c>
    </row>
    <row r="11" spans="2:36" hidden="1" outlineLevel="1" x14ac:dyDescent="0.25">
      <c r="F11" s="71" t="s">
        <v>63</v>
      </c>
      <c r="G11" s="71" t="s">
        <v>63</v>
      </c>
      <c r="H11" s="71" t="s">
        <v>63</v>
      </c>
      <c r="I11" s="71" t="s">
        <v>63</v>
      </c>
      <c r="J11" s="71" t="s">
        <v>63</v>
      </c>
      <c r="K11" s="71" t="s">
        <v>63</v>
      </c>
      <c r="L11" s="71" t="s">
        <v>63</v>
      </c>
      <c r="M11" s="71" t="s">
        <v>63</v>
      </c>
      <c r="N11" s="71" t="s">
        <v>63</v>
      </c>
      <c r="O11" s="71" t="s">
        <v>63</v>
      </c>
      <c r="P11" s="71" t="s">
        <v>63</v>
      </c>
      <c r="Q11" s="71" t="s">
        <v>63</v>
      </c>
      <c r="R11" s="71" t="s">
        <v>63</v>
      </c>
      <c r="S11" s="71" t="s">
        <v>63</v>
      </c>
      <c r="T11" s="71" t="s">
        <v>63</v>
      </c>
      <c r="U11" s="71" t="s">
        <v>63</v>
      </c>
      <c r="X11" s="63" t="s">
        <v>30</v>
      </c>
      <c r="Y11" s="63" t="s">
        <v>30</v>
      </c>
      <c r="Z11" s="63" t="s">
        <v>30</v>
      </c>
      <c r="AA11" s="63" t="s">
        <v>30</v>
      </c>
      <c r="AB11" s="62"/>
      <c r="AC11" s="63" t="s">
        <v>30</v>
      </c>
      <c r="AD11" s="63" t="s">
        <v>30</v>
      </c>
      <c r="AE11" s="63" t="s">
        <v>30</v>
      </c>
      <c r="AF11" s="63" t="s">
        <v>30</v>
      </c>
      <c r="AG11" s="62"/>
      <c r="AH11" s="63" t="s">
        <v>30</v>
      </c>
      <c r="AI11" s="63" t="s">
        <v>30</v>
      </c>
      <c r="AJ11" s="63" t="s">
        <v>30</v>
      </c>
    </row>
    <row r="12" spans="2:36" hidden="1" outlineLevel="1" x14ac:dyDescent="0.25">
      <c r="B12" s="229" t="s">
        <v>195</v>
      </c>
      <c r="C12" s="229"/>
      <c r="E12" s="78" t="s">
        <v>110</v>
      </c>
      <c r="F12" s="21">
        <f>F412</f>
        <v>0</v>
      </c>
      <c r="G12" s="21">
        <f t="shared" ref="G12:H12" si="0">G412</f>
        <v>0</v>
      </c>
      <c r="H12" s="21">
        <f t="shared" si="0"/>
        <v>0</v>
      </c>
      <c r="I12" s="85">
        <f>IF(X12="",I412,X12)</f>
        <v>0</v>
      </c>
      <c r="J12" s="85">
        <f t="shared" ref="J12:L12" si="1">IF(Y12="",J412,Y12)</f>
        <v>0</v>
      </c>
      <c r="K12" s="85">
        <f t="shared" si="1"/>
        <v>0</v>
      </c>
      <c r="L12" s="85">
        <f t="shared" si="1"/>
        <v>0</v>
      </c>
      <c r="M12" s="17">
        <f>L12</f>
        <v>0</v>
      </c>
      <c r="N12" s="85">
        <f t="shared" ref="N12:Q12" si="2">IF(AC12="",N412,AC12)</f>
        <v>0</v>
      </c>
      <c r="O12" s="85">
        <f t="shared" si="2"/>
        <v>0</v>
      </c>
      <c r="P12" s="85">
        <f t="shared" si="2"/>
        <v>0</v>
      </c>
      <c r="Q12" s="85">
        <f t="shared" si="2"/>
        <v>0</v>
      </c>
      <c r="R12" s="22">
        <f>Q12</f>
        <v>0</v>
      </c>
      <c r="S12" s="23">
        <f t="shared" ref="S12:S21" si="3">IF(AH12="",S412,AH12)</f>
        <v>0</v>
      </c>
      <c r="T12" s="23">
        <f t="shared" ref="T12:T21" si="4">IF(AI12="",T412,AI12)</f>
        <v>0</v>
      </c>
      <c r="U12" s="23">
        <f t="shared" ref="U12:U21" si="5">IF(AJ12="",U412,AJ12)</f>
        <v>0</v>
      </c>
      <c r="W12" s="78" t="str">
        <f>E12</f>
        <v>Finished Goods</v>
      </c>
      <c r="X12" s="64"/>
      <c r="Y12" s="64"/>
      <c r="Z12" s="64"/>
      <c r="AA12" s="64"/>
      <c r="AB12" s="60"/>
      <c r="AC12" s="64"/>
      <c r="AD12" s="64"/>
      <c r="AE12" s="64"/>
      <c r="AF12" s="64"/>
      <c r="AG12" s="60"/>
      <c r="AH12" s="64"/>
      <c r="AI12" s="64"/>
      <c r="AJ12" s="64"/>
    </row>
    <row r="13" spans="2:36" hidden="1" outlineLevel="1" x14ac:dyDescent="0.25">
      <c r="B13" s="229" t="s">
        <v>195</v>
      </c>
      <c r="E13" s="78" t="s">
        <v>111</v>
      </c>
      <c r="F13" s="21">
        <f t="shared" ref="F13:H13" si="6">F413</f>
        <v>0</v>
      </c>
      <c r="G13" s="21">
        <f t="shared" si="6"/>
        <v>0</v>
      </c>
      <c r="H13" s="21">
        <f t="shared" si="6"/>
        <v>0</v>
      </c>
      <c r="I13" s="85">
        <f t="shared" ref="I13:L13" si="7">IF(X13="",I413,X13)</f>
        <v>0</v>
      </c>
      <c r="J13" s="85">
        <f t="shared" si="7"/>
        <v>0</v>
      </c>
      <c r="K13" s="85">
        <f t="shared" si="7"/>
        <v>0</v>
      </c>
      <c r="L13" s="85">
        <f t="shared" si="7"/>
        <v>0</v>
      </c>
      <c r="M13" s="17">
        <f t="shared" ref="M13:M21" si="8">L13</f>
        <v>0</v>
      </c>
      <c r="N13" s="85">
        <f t="shared" ref="N13:Q13" si="9">IF(AC13="",N413,AC13)</f>
        <v>0</v>
      </c>
      <c r="O13" s="85">
        <f t="shared" si="9"/>
        <v>0</v>
      </c>
      <c r="P13" s="85">
        <f t="shared" si="9"/>
        <v>0</v>
      </c>
      <c r="Q13" s="85">
        <f t="shared" si="9"/>
        <v>0</v>
      </c>
      <c r="R13" s="22">
        <f t="shared" ref="R13:R21" si="10">Q13</f>
        <v>0</v>
      </c>
      <c r="S13" s="23">
        <f t="shared" si="3"/>
        <v>0</v>
      </c>
      <c r="T13" s="23">
        <f t="shared" si="4"/>
        <v>0</v>
      </c>
      <c r="U13" s="23">
        <f t="shared" si="5"/>
        <v>0</v>
      </c>
      <c r="W13" s="78" t="str">
        <f t="shared" ref="W13:W21" si="11">E13</f>
        <v>Raw Materials</v>
      </c>
      <c r="X13" s="64"/>
      <c r="Y13" s="64"/>
      <c r="Z13" s="64"/>
      <c r="AA13" s="64"/>
      <c r="AB13" s="60"/>
      <c r="AC13" s="64"/>
      <c r="AD13" s="64"/>
      <c r="AE13" s="64"/>
      <c r="AF13" s="64"/>
      <c r="AG13" s="60"/>
      <c r="AH13" s="64"/>
      <c r="AI13" s="64"/>
      <c r="AJ13" s="64"/>
    </row>
    <row r="14" spans="2:36" hidden="1" outlineLevel="1" x14ac:dyDescent="0.25">
      <c r="B14" s="229" t="s">
        <v>195</v>
      </c>
      <c r="E14" s="78" t="s">
        <v>112</v>
      </c>
      <c r="F14" s="21">
        <f t="shared" ref="F14:H14" si="12">F414</f>
        <v>0</v>
      </c>
      <c r="G14" s="21">
        <f t="shared" si="12"/>
        <v>0</v>
      </c>
      <c r="H14" s="21">
        <f t="shared" si="12"/>
        <v>0</v>
      </c>
      <c r="I14" s="85">
        <f t="shared" ref="I14:L14" si="13">IF(X14="",I414,X14)</f>
        <v>0</v>
      </c>
      <c r="J14" s="85">
        <f t="shared" si="13"/>
        <v>0</v>
      </c>
      <c r="K14" s="85">
        <f t="shared" si="13"/>
        <v>0</v>
      </c>
      <c r="L14" s="85">
        <f t="shared" si="13"/>
        <v>0</v>
      </c>
      <c r="M14" s="17">
        <f t="shared" si="8"/>
        <v>0</v>
      </c>
      <c r="N14" s="85">
        <f t="shared" ref="N14:Q14" si="14">IF(AC14="",N414,AC14)</f>
        <v>0</v>
      </c>
      <c r="O14" s="85">
        <f t="shared" si="14"/>
        <v>0</v>
      </c>
      <c r="P14" s="85">
        <f t="shared" si="14"/>
        <v>0</v>
      </c>
      <c r="Q14" s="85">
        <f t="shared" si="14"/>
        <v>0</v>
      </c>
      <c r="R14" s="22">
        <f t="shared" si="10"/>
        <v>0</v>
      </c>
      <c r="S14" s="23">
        <f t="shared" si="3"/>
        <v>0</v>
      </c>
      <c r="T14" s="23">
        <f t="shared" si="4"/>
        <v>0</v>
      </c>
      <c r="U14" s="23">
        <f t="shared" si="5"/>
        <v>0</v>
      </c>
      <c r="W14" s="78" t="str">
        <f t="shared" si="11"/>
        <v>Capitalized Variances</v>
      </c>
      <c r="X14" s="64"/>
      <c r="Y14" s="64"/>
      <c r="Z14" s="64"/>
      <c r="AA14" s="64"/>
      <c r="AB14" s="60"/>
      <c r="AC14" s="64"/>
      <c r="AD14" s="64"/>
      <c r="AE14" s="64"/>
      <c r="AF14" s="64"/>
      <c r="AG14" s="60"/>
      <c r="AH14" s="64"/>
      <c r="AI14" s="64"/>
      <c r="AJ14" s="64"/>
    </row>
    <row r="15" spans="2:36" hidden="1" outlineLevel="1" x14ac:dyDescent="0.25">
      <c r="B15" s="229" t="s">
        <v>195</v>
      </c>
      <c r="E15" s="78" t="s">
        <v>113</v>
      </c>
      <c r="F15" s="21">
        <f t="shared" ref="F15:H15" si="15">F415</f>
        <v>0</v>
      </c>
      <c r="G15" s="21">
        <f t="shared" si="15"/>
        <v>0</v>
      </c>
      <c r="H15" s="21">
        <f t="shared" si="15"/>
        <v>0</v>
      </c>
      <c r="I15" s="85">
        <f t="shared" ref="I15:L15" si="16">IF(X15="",I415,X15)</f>
        <v>0</v>
      </c>
      <c r="J15" s="85">
        <f t="shared" si="16"/>
        <v>0</v>
      </c>
      <c r="K15" s="85">
        <f t="shared" si="16"/>
        <v>0</v>
      </c>
      <c r="L15" s="85">
        <f t="shared" si="16"/>
        <v>0</v>
      </c>
      <c r="M15" s="17">
        <f t="shared" si="8"/>
        <v>0</v>
      </c>
      <c r="N15" s="85">
        <f t="shared" ref="N15:Q15" si="17">IF(AC15="",N415,AC15)</f>
        <v>0</v>
      </c>
      <c r="O15" s="85">
        <f t="shared" si="17"/>
        <v>0</v>
      </c>
      <c r="P15" s="85">
        <f t="shared" si="17"/>
        <v>0</v>
      </c>
      <c r="Q15" s="85">
        <f t="shared" si="17"/>
        <v>0</v>
      </c>
      <c r="R15" s="22">
        <f t="shared" si="10"/>
        <v>0</v>
      </c>
      <c r="S15" s="23">
        <f t="shared" si="3"/>
        <v>0</v>
      </c>
      <c r="T15" s="23">
        <f t="shared" si="4"/>
        <v>0</v>
      </c>
      <c r="U15" s="23">
        <f t="shared" si="5"/>
        <v>0</v>
      </c>
      <c r="W15" s="78" t="str">
        <f t="shared" si="11"/>
        <v>Capitalized Overhead</v>
      </c>
      <c r="X15" s="64"/>
      <c r="Y15" s="64"/>
      <c r="Z15" s="64"/>
      <c r="AA15" s="64"/>
      <c r="AB15" s="60"/>
      <c r="AC15" s="64"/>
      <c r="AD15" s="64"/>
      <c r="AE15" s="64"/>
      <c r="AF15" s="64"/>
      <c r="AG15" s="60"/>
      <c r="AH15" s="64"/>
      <c r="AI15" s="64"/>
      <c r="AJ15" s="64"/>
    </row>
    <row r="16" spans="2:36" hidden="1" outlineLevel="1" x14ac:dyDescent="0.25">
      <c r="B16" s="229" t="s">
        <v>195</v>
      </c>
      <c r="E16" s="78" t="s">
        <v>117</v>
      </c>
      <c r="F16" s="21">
        <f t="shared" ref="F16:H16" si="18">F416</f>
        <v>0</v>
      </c>
      <c r="G16" s="21">
        <f t="shared" si="18"/>
        <v>0</v>
      </c>
      <c r="H16" s="21">
        <f t="shared" si="18"/>
        <v>0</v>
      </c>
      <c r="I16" s="85">
        <f t="shared" ref="I16:L16" si="19">IF(X16="",I416,X16)</f>
        <v>0</v>
      </c>
      <c r="J16" s="85">
        <f t="shared" si="19"/>
        <v>0</v>
      </c>
      <c r="K16" s="85">
        <f t="shared" si="19"/>
        <v>0</v>
      </c>
      <c r="L16" s="85">
        <f t="shared" si="19"/>
        <v>0</v>
      </c>
      <c r="M16" s="17">
        <f t="shared" si="8"/>
        <v>0</v>
      </c>
      <c r="N16" s="85">
        <f t="shared" ref="N16:Q16" si="20">IF(AC16="",N416,AC16)</f>
        <v>0</v>
      </c>
      <c r="O16" s="85">
        <f t="shared" si="20"/>
        <v>0</v>
      </c>
      <c r="P16" s="85">
        <f t="shared" si="20"/>
        <v>0</v>
      </c>
      <c r="Q16" s="85">
        <f t="shared" si="20"/>
        <v>0</v>
      </c>
      <c r="R16" s="22">
        <f t="shared" si="10"/>
        <v>0</v>
      </c>
      <c r="S16" s="23">
        <f t="shared" si="3"/>
        <v>0</v>
      </c>
      <c r="T16" s="23">
        <f t="shared" si="4"/>
        <v>0</v>
      </c>
      <c r="U16" s="23">
        <f t="shared" si="5"/>
        <v>0</v>
      </c>
      <c r="W16" s="78" t="str">
        <f t="shared" si="11"/>
        <v>Work in Progress (WIP)</v>
      </c>
      <c r="X16" s="64"/>
      <c r="Y16" s="64"/>
      <c r="Z16" s="64"/>
      <c r="AA16" s="64"/>
      <c r="AB16" s="60"/>
      <c r="AC16" s="64"/>
      <c r="AD16" s="64"/>
      <c r="AE16" s="64"/>
      <c r="AF16" s="64"/>
      <c r="AG16" s="60"/>
      <c r="AH16" s="64"/>
      <c r="AI16" s="64"/>
      <c r="AJ16" s="64"/>
    </row>
    <row r="17" spans="2:36" hidden="1" outlineLevel="1" x14ac:dyDescent="0.25">
      <c r="B17" s="229" t="s">
        <v>195</v>
      </c>
      <c r="E17" s="78" t="s">
        <v>114</v>
      </c>
      <c r="F17" s="21">
        <f t="shared" ref="F17:H17" si="21">F417</f>
        <v>0</v>
      </c>
      <c r="G17" s="21">
        <f t="shared" si="21"/>
        <v>0</v>
      </c>
      <c r="H17" s="21">
        <f t="shared" si="21"/>
        <v>0</v>
      </c>
      <c r="I17" s="85">
        <f t="shared" ref="I17:L17" si="22">IF(X17="",I417,X17)</f>
        <v>0</v>
      </c>
      <c r="J17" s="85">
        <f t="shared" si="22"/>
        <v>0</v>
      </c>
      <c r="K17" s="85">
        <f t="shared" si="22"/>
        <v>0</v>
      </c>
      <c r="L17" s="85">
        <f t="shared" si="22"/>
        <v>0</v>
      </c>
      <c r="M17" s="17">
        <f t="shared" si="8"/>
        <v>0</v>
      </c>
      <c r="N17" s="85">
        <f t="shared" ref="N17:Q17" si="23">IF(AC17="",N417,AC17)</f>
        <v>0</v>
      </c>
      <c r="O17" s="85">
        <f t="shared" si="23"/>
        <v>0</v>
      </c>
      <c r="P17" s="85">
        <f t="shared" si="23"/>
        <v>0</v>
      </c>
      <c r="Q17" s="85">
        <f t="shared" si="23"/>
        <v>0</v>
      </c>
      <c r="R17" s="22">
        <f t="shared" si="10"/>
        <v>0</v>
      </c>
      <c r="S17" s="23">
        <f t="shared" si="3"/>
        <v>0</v>
      </c>
      <c r="T17" s="23">
        <f t="shared" si="4"/>
        <v>0</v>
      </c>
      <c r="U17" s="23">
        <f t="shared" si="5"/>
        <v>0</v>
      </c>
      <c r="W17" s="78" t="str">
        <f t="shared" si="11"/>
        <v>E&amp;O Reserves</v>
      </c>
      <c r="X17" s="64"/>
      <c r="Y17" s="64"/>
      <c r="Z17" s="64"/>
      <c r="AA17" s="64"/>
      <c r="AB17" s="60"/>
      <c r="AC17" s="64"/>
      <c r="AD17" s="64"/>
      <c r="AE17" s="64"/>
      <c r="AF17" s="64"/>
      <c r="AG17" s="60"/>
      <c r="AH17" s="64"/>
      <c r="AI17" s="64"/>
      <c r="AJ17" s="64"/>
    </row>
    <row r="18" spans="2:36" hidden="1" outlineLevel="1" x14ac:dyDescent="0.25">
      <c r="B18" s="229" t="s">
        <v>195</v>
      </c>
      <c r="E18" s="78" t="s">
        <v>115</v>
      </c>
      <c r="F18" s="21">
        <f t="shared" ref="F18:H18" si="24">F418</f>
        <v>0</v>
      </c>
      <c r="G18" s="21">
        <f t="shared" si="24"/>
        <v>0</v>
      </c>
      <c r="H18" s="21">
        <f t="shared" si="24"/>
        <v>0</v>
      </c>
      <c r="I18" s="85">
        <f t="shared" ref="I18:L18" si="25">IF(X18="",I418,X18)</f>
        <v>0</v>
      </c>
      <c r="J18" s="85">
        <f t="shared" si="25"/>
        <v>0</v>
      </c>
      <c r="K18" s="85">
        <f t="shared" si="25"/>
        <v>0</v>
      </c>
      <c r="L18" s="85">
        <f t="shared" si="25"/>
        <v>0</v>
      </c>
      <c r="M18" s="17">
        <f t="shared" si="8"/>
        <v>0</v>
      </c>
      <c r="N18" s="85">
        <f t="shared" ref="N18:Q18" si="26">IF(AC18="",N418,AC18)</f>
        <v>0</v>
      </c>
      <c r="O18" s="85">
        <f t="shared" si="26"/>
        <v>0</v>
      </c>
      <c r="P18" s="85">
        <f t="shared" si="26"/>
        <v>0</v>
      </c>
      <c r="Q18" s="85">
        <f t="shared" si="26"/>
        <v>0</v>
      </c>
      <c r="R18" s="22">
        <f t="shared" si="10"/>
        <v>0</v>
      </c>
      <c r="S18" s="23">
        <f t="shared" si="3"/>
        <v>0</v>
      </c>
      <c r="T18" s="23">
        <f t="shared" si="4"/>
        <v>0</v>
      </c>
      <c r="U18" s="23">
        <f t="shared" si="5"/>
        <v>0</v>
      </c>
      <c r="W18" s="78" t="str">
        <f t="shared" si="11"/>
        <v>Other Inventory Reserves</v>
      </c>
      <c r="X18" s="64"/>
      <c r="Y18" s="64"/>
      <c r="Z18" s="64"/>
      <c r="AA18" s="64"/>
      <c r="AB18" s="60"/>
      <c r="AC18" s="64"/>
      <c r="AD18" s="64"/>
      <c r="AE18" s="64"/>
      <c r="AF18" s="64"/>
      <c r="AG18" s="60"/>
      <c r="AH18" s="64"/>
      <c r="AI18" s="64"/>
      <c r="AJ18" s="64"/>
    </row>
    <row r="19" spans="2:36" hidden="1" outlineLevel="1" x14ac:dyDescent="0.25">
      <c r="B19" s="229" t="s">
        <v>195</v>
      </c>
      <c r="E19" s="78" t="s">
        <v>118</v>
      </c>
      <c r="F19" s="21">
        <f t="shared" ref="F19:H19" si="27">F419</f>
        <v>0</v>
      </c>
      <c r="G19" s="21">
        <f t="shared" si="27"/>
        <v>0</v>
      </c>
      <c r="H19" s="21">
        <f t="shared" si="27"/>
        <v>0</v>
      </c>
      <c r="I19" s="85">
        <f t="shared" ref="I19:L19" si="28">IF(X19="",I419,X19)</f>
        <v>0</v>
      </c>
      <c r="J19" s="85">
        <f t="shared" si="28"/>
        <v>0</v>
      </c>
      <c r="K19" s="85">
        <f t="shared" si="28"/>
        <v>0</v>
      </c>
      <c r="L19" s="85">
        <f t="shared" si="28"/>
        <v>0</v>
      </c>
      <c r="M19" s="17">
        <f t="shared" si="8"/>
        <v>0</v>
      </c>
      <c r="N19" s="85">
        <f t="shared" ref="N19:Q19" si="29">IF(AC19="",N419,AC19)</f>
        <v>0</v>
      </c>
      <c r="O19" s="85">
        <f t="shared" si="29"/>
        <v>0</v>
      </c>
      <c r="P19" s="85">
        <f t="shared" si="29"/>
        <v>0</v>
      </c>
      <c r="Q19" s="85">
        <f t="shared" si="29"/>
        <v>0</v>
      </c>
      <c r="R19" s="22">
        <f t="shared" si="10"/>
        <v>0</v>
      </c>
      <c r="S19" s="23">
        <f t="shared" si="3"/>
        <v>0</v>
      </c>
      <c r="T19" s="23">
        <f t="shared" si="4"/>
        <v>0</v>
      </c>
      <c r="U19" s="23">
        <f t="shared" si="5"/>
        <v>0</v>
      </c>
      <c r="W19" s="78" t="str">
        <f t="shared" si="11"/>
        <v>Book to Physical Reserve</v>
      </c>
      <c r="X19" s="64"/>
      <c r="Y19" s="64"/>
      <c r="Z19" s="64"/>
      <c r="AA19" s="64"/>
      <c r="AB19" s="60"/>
      <c r="AC19" s="64"/>
      <c r="AD19" s="64"/>
      <c r="AE19" s="64"/>
      <c r="AF19" s="64"/>
      <c r="AG19" s="60"/>
      <c r="AH19" s="64"/>
      <c r="AI19" s="64"/>
      <c r="AJ19" s="64"/>
    </row>
    <row r="20" spans="2:36" hidden="1" outlineLevel="1" x14ac:dyDescent="0.25">
      <c r="B20" s="229" t="s">
        <v>195</v>
      </c>
      <c r="E20" s="78" t="s">
        <v>119</v>
      </c>
      <c r="F20" s="21">
        <f t="shared" ref="F20:H20" si="30">F420</f>
        <v>0</v>
      </c>
      <c r="G20" s="21">
        <f t="shared" si="30"/>
        <v>0</v>
      </c>
      <c r="H20" s="21">
        <f t="shared" si="30"/>
        <v>0</v>
      </c>
      <c r="I20" s="85">
        <f t="shared" ref="I20:L20" si="31">IF(X20="",I420,X20)</f>
        <v>0</v>
      </c>
      <c r="J20" s="85">
        <f t="shared" si="31"/>
        <v>0</v>
      </c>
      <c r="K20" s="85">
        <f t="shared" si="31"/>
        <v>0</v>
      </c>
      <c r="L20" s="85">
        <f t="shared" si="31"/>
        <v>0</v>
      </c>
      <c r="M20" s="17">
        <f t="shared" si="8"/>
        <v>0</v>
      </c>
      <c r="N20" s="85">
        <f t="shared" ref="N20:Q20" si="32">IF(AC20="",N420,AC20)</f>
        <v>0</v>
      </c>
      <c r="O20" s="85">
        <f t="shared" si="32"/>
        <v>0</v>
      </c>
      <c r="P20" s="85">
        <f t="shared" si="32"/>
        <v>0</v>
      </c>
      <c r="Q20" s="85">
        <f t="shared" si="32"/>
        <v>0</v>
      </c>
      <c r="R20" s="22">
        <f t="shared" si="10"/>
        <v>0</v>
      </c>
      <c r="S20" s="23">
        <f t="shared" si="3"/>
        <v>0</v>
      </c>
      <c r="T20" s="23">
        <f t="shared" si="4"/>
        <v>0</v>
      </c>
      <c r="U20" s="23">
        <f t="shared" si="5"/>
        <v>0</v>
      </c>
      <c r="W20" s="78" t="str">
        <f t="shared" si="11"/>
        <v>LIFO Reserves</v>
      </c>
      <c r="X20" s="64"/>
      <c r="Y20" s="64"/>
      <c r="Z20" s="64"/>
      <c r="AA20" s="64"/>
      <c r="AB20" s="60"/>
      <c r="AC20" s="64"/>
      <c r="AD20" s="64"/>
      <c r="AE20" s="64"/>
      <c r="AF20" s="64"/>
      <c r="AG20" s="60"/>
      <c r="AH20" s="64"/>
      <c r="AI20" s="64"/>
      <c r="AJ20" s="64"/>
    </row>
    <row r="21" spans="2:36" hidden="1" outlineLevel="1" x14ac:dyDescent="0.25">
      <c r="B21" s="229" t="s">
        <v>195</v>
      </c>
      <c r="E21" s="78" t="s">
        <v>77</v>
      </c>
      <c r="F21" s="21">
        <f t="shared" ref="F21:H21" si="33">F421</f>
        <v>0</v>
      </c>
      <c r="G21" s="21">
        <f t="shared" si="33"/>
        <v>0</v>
      </c>
      <c r="H21" s="21">
        <f t="shared" si="33"/>
        <v>0</v>
      </c>
      <c r="I21" s="85">
        <f t="shared" ref="I21:L21" si="34">IF(X21="",I421,X21)</f>
        <v>0</v>
      </c>
      <c r="J21" s="85">
        <f t="shared" si="34"/>
        <v>0</v>
      </c>
      <c r="K21" s="85">
        <f t="shared" si="34"/>
        <v>0</v>
      </c>
      <c r="L21" s="85">
        <f t="shared" si="34"/>
        <v>0</v>
      </c>
      <c r="M21" s="17">
        <f t="shared" si="8"/>
        <v>0</v>
      </c>
      <c r="N21" s="85">
        <f t="shared" ref="N21:Q21" si="35">IF(AC21="",N421,AC21)</f>
        <v>0</v>
      </c>
      <c r="O21" s="85">
        <f t="shared" si="35"/>
        <v>0</v>
      </c>
      <c r="P21" s="85">
        <f t="shared" si="35"/>
        <v>0</v>
      </c>
      <c r="Q21" s="85">
        <f t="shared" si="35"/>
        <v>0</v>
      </c>
      <c r="R21" s="22">
        <f t="shared" si="10"/>
        <v>0</v>
      </c>
      <c r="S21" s="23">
        <f t="shared" si="3"/>
        <v>0</v>
      </c>
      <c r="T21" s="23">
        <f t="shared" si="4"/>
        <v>0</v>
      </c>
      <c r="U21" s="23">
        <f t="shared" si="5"/>
        <v>0</v>
      </c>
      <c r="W21" s="78" t="str">
        <f t="shared" si="11"/>
        <v>blank</v>
      </c>
      <c r="X21" s="64"/>
      <c r="Y21" s="64"/>
      <c r="Z21" s="64"/>
      <c r="AA21" s="64"/>
      <c r="AB21" s="60"/>
      <c r="AC21" s="64"/>
      <c r="AD21" s="64"/>
      <c r="AE21" s="64"/>
      <c r="AF21" s="64"/>
      <c r="AG21" s="60"/>
      <c r="AH21" s="64"/>
      <c r="AI21" s="64"/>
      <c r="AJ21" s="64"/>
    </row>
    <row r="22" spans="2:36" ht="15.75" hidden="1" outlineLevel="1" thickBot="1" x14ac:dyDescent="0.3">
      <c r="E22" s="8" t="s">
        <v>42</v>
      </c>
      <c r="F22" s="9">
        <f>SUM(F12:F21)</f>
        <v>0</v>
      </c>
      <c r="G22" s="9">
        <f t="shared" ref="G22" si="36">SUM(G12:G21)</f>
        <v>0</v>
      </c>
      <c r="H22" s="9">
        <f t="shared" ref="H22" si="37">SUM(H12:H21)</f>
        <v>0</v>
      </c>
      <c r="I22" s="86">
        <f t="shared" ref="I22" si="38">SUM(I12:I21)</f>
        <v>0</v>
      </c>
      <c r="J22" s="86">
        <f t="shared" ref="J22" si="39">SUM(J12:J21)</f>
        <v>0</v>
      </c>
      <c r="K22" s="86">
        <f t="shared" ref="K22" si="40">SUM(K12:K21)</f>
        <v>0</v>
      </c>
      <c r="L22" s="86">
        <f t="shared" ref="L22:M22" si="41">SUM(L12:L21)</f>
        <v>0</v>
      </c>
      <c r="M22" s="18">
        <f t="shared" si="41"/>
        <v>0</v>
      </c>
      <c r="N22" s="86">
        <f t="shared" ref="N22" si="42">SUM(N12:N21)</f>
        <v>0</v>
      </c>
      <c r="O22" s="86">
        <f t="shared" ref="O22" si="43">SUM(O12:O21)</f>
        <v>0</v>
      </c>
      <c r="P22" s="86">
        <f t="shared" ref="P22" si="44">SUM(P12:P21)</f>
        <v>0</v>
      </c>
      <c r="Q22" s="86">
        <f t="shared" ref="Q22:R22" si="45">SUM(Q12:Q21)</f>
        <v>0</v>
      </c>
      <c r="R22" s="19">
        <f t="shared" si="45"/>
        <v>0</v>
      </c>
      <c r="S22" s="20">
        <f t="shared" ref="S22" si="46">SUM(S12:S21)</f>
        <v>0</v>
      </c>
      <c r="T22" s="20">
        <f t="shared" ref="T22" si="47">SUM(T12:T21)</f>
        <v>0</v>
      </c>
      <c r="U22" s="20">
        <f t="shared" ref="U22" si="48">SUM(U12:U21)</f>
        <v>0</v>
      </c>
    </row>
    <row r="23" spans="2:36" ht="15.75" hidden="1" outlineLevel="1" thickTop="1" x14ac:dyDescent="0.25">
      <c r="M23" s="3"/>
    </row>
    <row r="24" spans="2:36" hidden="1" outlineLevel="1" x14ac:dyDescent="0.25">
      <c r="M24" s="3"/>
    </row>
    <row r="25" spans="2:36" hidden="1" outlineLevel="1" x14ac:dyDescent="0.25">
      <c r="M25" s="3"/>
    </row>
    <row r="26" spans="2:36" hidden="1" outlineLevel="1" x14ac:dyDescent="0.25">
      <c r="E26" s="4" t="s">
        <v>133</v>
      </c>
      <c r="W26" s="4" t="str">
        <f>E26</f>
        <v>Accounts Receivable (Gross Trade Receivables + Allowance for Doubtful Accounts + Intercompany Recievables)</v>
      </c>
    </row>
    <row r="27" spans="2:36" hidden="1" outlineLevel="1" x14ac:dyDescent="0.25">
      <c r="E27" s="6" t="s">
        <v>25</v>
      </c>
      <c r="W27" s="61" t="s">
        <v>134</v>
      </c>
    </row>
    <row r="28" spans="2:36" hidden="1" outlineLevel="1" x14ac:dyDescent="0.25"/>
    <row r="29" spans="2:36" hidden="1" outlineLevel="1" x14ac:dyDescent="0.25">
      <c r="F29" s="12">
        <f>Inputs!$C$7</f>
        <v>2023</v>
      </c>
      <c r="G29" s="12">
        <f>Inputs!$C$8</f>
        <v>2024</v>
      </c>
      <c r="H29" s="12">
        <f>Inputs!$C$9</f>
        <v>2025</v>
      </c>
      <c r="I29" s="13" t="s">
        <v>1</v>
      </c>
      <c r="J29" s="13" t="s">
        <v>2</v>
      </c>
      <c r="K29" s="13" t="s">
        <v>3</v>
      </c>
      <c r="L29" s="13" t="s">
        <v>4</v>
      </c>
      <c r="M29" s="13">
        <f>Inputs!$C$10</f>
        <v>2026</v>
      </c>
      <c r="N29" s="14" t="s">
        <v>1</v>
      </c>
      <c r="O29" s="14" t="s">
        <v>2</v>
      </c>
      <c r="P29" s="14" t="s">
        <v>3</v>
      </c>
      <c r="Q29" s="14" t="s">
        <v>4</v>
      </c>
      <c r="R29" s="15">
        <f>Inputs!$C$11</f>
        <v>2027</v>
      </c>
      <c r="S29" s="16">
        <f>Inputs!$C$12</f>
        <v>2028</v>
      </c>
      <c r="T29" s="16">
        <f>Inputs!$C$13</f>
        <v>2029</v>
      </c>
      <c r="U29" s="16">
        <f>Inputs!$C$14</f>
        <v>2030</v>
      </c>
      <c r="X29" s="13" t="s">
        <v>1</v>
      </c>
      <c r="Y29" s="13" t="s">
        <v>2</v>
      </c>
      <c r="Z29" s="13" t="s">
        <v>3</v>
      </c>
      <c r="AA29" s="13" t="s">
        <v>4</v>
      </c>
      <c r="AB29" s="13">
        <f>Inputs!$C$10</f>
        <v>2026</v>
      </c>
      <c r="AC29" s="14" t="s">
        <v>1</v>
      </c>
      <c r="AD29" s="14" t="s">
        <v>2</v>
      </c>
      <c r="AE29" s="14" t="s">
        <v>3</v>
      </c>
      <c r="AF29" s="14" t="s">
        <v>4</v>
      </c>
      <c r="AG29" s="15">
        <f>Inputs!$C$11</f>
        <v>2027</v>
      </c>
      <c r="AH29" s="16">
        <f>Inputs!$C$12</f>
        <v>2028</v>
      </c>
      <c r="AI29" s="16">
        <f>Inputs!$C$13</f>
        <v>2029</v>
      </c>
      <c r="AJ29" s="16">
        <f>Inputs!$C$14</f>
        <v>2030</v>
      </c>
    </row>
    <row r="30" spans="2:36" hidden="1" outlineLevel="1" x14ac:dyDescent="0.25">
      <c r="F30" s="71" t="s">
        <v>63</v>
      </c>
      <c r="G30" s="71" t="s">
        <v>63</v>
      </c>
      <c r="H30" s="71" t="s">
        <v>63</v>
      </c>
      <c r="I30" s="71" t="s">
        <v>63</v>
      </c>
      <c r="J30" s="71" t="s">
        <v>63</v>
      </c>
      <c r="K30" s="71" t="s">
        <v>63</v>
      </c>
      <c r="L30" s="71" t="s">
        <v>63</v>
      </c>
      <c r="M30" s="71" t="s">
        <v>63</v>
      </c>
      <c r="N30" s="71" t="s">
        <v>63</v>
      </c>
      <c r="O30" s="71" t="s">
        <v>63</v>
      </c>
      <c r="P30" s="71" t="s">
        <v>63</v>
      </c>
      <c r="Q30" s="71" t="s">
        <v>63</v>
      </c>
      <c r="R30" s="71" t="s">
        <v>63</v>
      </c>
      <c r="S30" s="71" t="s">
        <v>63</v>
      </c>
      <c r="T30" s="71" t="s">
        <v>63</v>
      </c>
      <c r="U30" s="71" t="s">
        <v>63</v>
      </c>
      <c r="X30" s="63" t="s">
        <v>30</v>
      </c>
      <c r="Y30" s="63" t="s">
        <v>30</v>
      </c>
      <c r="Z30" s="63" t="s">
        <v>30</v>
      </c>
      <c r="AA30" s="63" t="s">
        <v>30</v>
      </c>
      <c r="AB30" s="62"/>
      <c r="AC30" s="63" t="s">
        <v>30</v>
      </c>
      <c r="AD30" s="63" t="s">
        <v>30</v>
      </c>
      <c r="AE30" s="63" t="s">
        <v>30</v>
      </c>
      <c r="AF30" s="63" t="s">
        <v>30</v>
      </c>
      <c r="AG30" s="62"/>
      <c r="AH30" s="63" t="s">
        <v>30</v>
      </c>
      <c r="AI30" s="63" t="s">
        <v>30</v>
      </c>
      <c r="AJ30" s="63" t="s">
        <v>30</v>
      </c>
    </row>
    <row r="31" spans="2:36" hidden="1" outlineLevel="1" x14ac:dyDescent="0.25">
      <c r="B31" s="229" t="s">
        <v>195</v>
      </c>
      <c r="C31" s="229"/>
      <c r="E31" s="78" t="s">
        <v>120</v>
      </c>
      <c r="F31" s="21">
        <f>F431</f>
        <v>0</v>
      </c>
      <c r="G31" s="21">
        <f t="shared" ref="G31:H31" si="49">G431</f>
        <v>0</v>
      </c>
      <c r="H31" s="21">
        <f t="shared" si="49"/>
        <v>0</v>
      </c>
      <c r="I31" s="85">
        <f>IF(X31="",I431,X31)</f>
        <v>0</v>
      </c>
      <c r="J31" s="85">
        <f t="shared" ref="J31:J40" si="50">IF(Y31="",J431,Y31)</f>
        <v>0</v>
      </c>
      <c r="K31" s="85">
        <f t="shared" ref="K31:K40" si="51">IF(Z31="",K431,Z31)</f>
        <v>0</v>
      </c>
      <c r="L31" s="85">
        <f t="shared" ref="L31:L40" si="52">IF(AA31="",L431,AA31)</f>
        <v>0</v>
      </c>
      <c r="M31" s="17">
        <f>L31</f>
        <v>0</v>
      </c>
      <c r="N31" s="85">
        <f t="shared" ref="N31:N40" si="53">IF(AC31="",N431,AC31)</f>
        <v>0</v>
      </c>
      <c r="O31" s="85">
        <f t="shared" ref="O31:O40" si="54">IF(AD31="",O431,AD31)</f>
        <v>0</v>
      </c>
      <c r="P31" s="85">
        <f t="shared" ref="P31:P40" si="55">IF(AE31="",P431,AE31)</f>
        <v>0</v>
      </c>
      <c r="Q31" s="85">
        <f t="shared" ref="Q31:Q40" si="56">IF(AF31="",Q431,AF31)</f>
        <v>0</v>
      </c>
      <c r="R31" s="22">
        <f>Q31</f>
        <v>0</v>
      </c>
      <c r="S31" s="23">
        <f t="shared" ref="S31:S40" si="57">IF(AH31="",S431,AH31)</f>
        <v>0</v>
      </c>
      <c r="T31" s="23">
        <f t="shared" ref="T31:T40" si="58">IF(AI31="",T431,AI31)</f>
        <v>0</v>
      </c>
      <c r="U31" s="23">
        <f t="shared" ref="U31:U40" si="59">IF(AJ31="",U431,AJ31)</f>
        <v>0</v>
      </c>
      <c r="W31" s="78" t="str">
        <f t="shared" ref="W31:W40" si="60">E31</f>
        <v>Trade Account Receivable</v>
      </c>
      <c r="X31" s="64"/>
      <c r="Y31" s="64"/>
      <c r="Z31" s="64"/>
      <c r="AA31" s="64"/>
      <c r="AB31" s="60"/>
      <c r="AC31" s="64"/>
      <c r="AD31" s="64"/>
      <c r="AE31" s="64"/>
      <c r="AF31" s="64"/>
      <c r="AG31" s="60"/>
      <c r="AH31" s="64"/>
      <c r="AI31" s="64"/>
      <c r="AJ31" s="64"/>
    </row>
    <row r="32" spans="2:36" hidden="1" outlineLevel="1" x14ac:dyDescent="0.25">
      <c r="B32" s="229" t="s">
        <v>195</v>
      </c>
      <c r="C32" s="229"/>
      <c r="E32" s="78" t="s">
        <v>122</v>
      </c>
      <c r="F32" s="21">
        <f t="shared" ref="F32:H32" si="61">F432</f>
        <v>0</v>
      </c>
      <c r="G32" s="21">
        <f t="shared" si="61"/>
        <v>0</v>
      </c>
      <c r="H32" s="21">
        <f t="shared" si="61"/>
        <v>0</v>
      </c>
      <c r="I32" s="85">
        <f t="shared" ref="I32:I40" si="62">IF(X32="",I432,X32)</f>
        <v>0</v>
      </c>
      <c r="J32" s="85">
        <f t="shared" si="50"/>
        <v>0</v>
      </c>
      <c r="K32" s="85">
        <f t="shared" si="51"/>
        <v>0</v>
      </c>
      <c r="L32" s="85">
        <f t="shared" si="52"/>
        <v>0</v>
      </c>
      <c r="M32" s="17">
        <f t="shared" ref="M32:M40" si="63">L32</f>
        <v>0</v>
      </c>
      <c r="N32" s="85">
        <f t="shared" si="53"/>
        <v>0</v>
      </c>
      <c r="O32" s="85">
        <f t="shared" si="54"/>
        <v>0</v>
      </c>
      <c r="P32" s="85">
        <f t="shared" si="55"/>
        <v>0</v>
      </c>
      <c r="Q32" s="85">
        <f t="shared" si="56"/>
        <v>0</v>
      </c>
      <c r="R32" s="22">
        <f t="shared" ref="R32:R40" si="64">Q32</f>
        <v>0</v>
      </c>
      <c r="S32" s="23">
        <f t="shared" si="57"/>
        <v>0</v>
      </c>
      <c r="T32" s="23">
        <f t="shared" si="58"/>
        <v>0</v>
      </c>
      <c r="U32" s="23">
        <f t="shared" si="59"/>
        <v>0</v>
      </c>
      <c r="W32" s="78" t="str">
        <f t="shared" si="60"/>
        <v>Notes Receivable</v>
      </c>
      <c r="X32" s="64"/>
      <c r="Y32" s="64"/>
      <c r="Z32" s="64"/>
      <c r="AA32" s="64"/>
      <c r="AB32" s="60"/>
      <c r="AC32" s="64"/>
      <c r="AD32" s="64"/>
      <c r="AE32" s="64"/>
      <c r="AF32" s="64"/>
      <c r="AG32" s="60"/>
      <c r="AH32" s="64"/>
      <c r="AI32" s="64"/>
      <c r="AJ32" s="64"/>
    </row>
    <row r="33" spans="2:36" hidden="1" outlineLevel="1" x14ac:dyDescent="0.25">
      <c r="B33" s="229" t="s">
        <v>195</v>
      </c>
      <c r="C33" s="229"/>
      <c r="E33" s="78" t="s">
        <v>123</v>
      </c>
      <c r="F33" s="21">
        <f t="shared" ref="F33:H33" si="65">F433</f>
        <v>0</v>
      </c>
      <c r="G33" s="21">
        <f t="shared" si="65"/>
        <v>0</v>
      </c>
      <c r="H33" s="21">
        <f t="shared" si="65"/>
        <v>0</v>
      </c>
      <c r="I33" s="85">
        <f t="shared" si="62"/>
        <v>0</v>
      </c>
      <c r="J33" s="85">
        <f t="shared" si="50"/>
        <v>0</v>
      </c>
      <c r="K33" s="85">
        <f t="shared" si="51"/>
        <v>0</v>
      </c>
      <c r="L33" s="85">
        <f t="shared" si="52"/>
        <v>0</v>
      </c>
      <c r="M33" s="17">
        <f t="shared" si="63"/>
        <v>0</v>
      </c>
      <c r="N33" s="85">
        <f t="shared" si="53"/>
        <v>0</v>
      </c>
      <c r="O33" s="85">
        <f t="shared" si="54"/>
        <v>0</v>
      </c>
      <c r="P33" s="85">
        <f t="shared" si="55"/>
        <v>0</v>
      </c>
      <c r="Q33" s="85">
        <f t="shared" si="56"/>
        <v>0</v>
      </c>
      <c r="R33" s="22">
        <f t="shared" si="64"/>
        <v>0</v>
      </c>
      <c r="S33" s="23">
        <f t="shared" si="57"/>
        <v>0</v>
      </c>
      <c r="T33" s="23">
        <f t="shared" si="58"/>
        <v>0</v>
      </c>
      <c r="U33" s="23">
        <f t="shared" si="59"/>
        <v>0</v>
      </c>
      <c r="W33" s="78" t="str">
        <f t="shared" si="60"/>
        <v>Sales Lease Receivable</v>
      </c>
      <c r="X33" s="64"/>
      <c r="Y33" s="64"/>
      <c r="Z33" s="64"/>
      <c r="AA33" s="64"/>
      <c r="AB33" s="60"/>
      <c r="AC33" s="64"/>
      <c r="AD33" s="64"/>
      <c r="AE33" s="64"/>
      <c r="AF33" s="64"/>
      <c r="AG33" s="60"/>
      <c r="AH33" s="64"/>
      <c r="AI33" s="64"/>
      <c r="AJ33" s="64"/>
    </row>
    <row r="34" spans="2:36" hidden="1" outlineLevel="1" x14ac:dyDescent="0.25">
      <c r="B34" s="229" t="s">
        <v>195</v>
      </c>
      <c r="C34" s="229"/>
      <c r="E34" s="78" t="s">
        <v>121</v>
      </c>
      <c r="F34" s="21">
        <f t="shared" ref="F34:H34" si="66">F434</f>
        <v>0</v>
      </c>
      <c r="G34" s="21">
        <f t="shared" si="66"/>
        <v>0</v>
      </c>
      <c r="H34" s="21">
        <f t="shared" si="66"/>
        <v>0</v>
      </c>
      <c r="I34" s="85">
        <f t="shared" si="62"/>
        <v>0</v>
      </c>
      <c r="J34" s="85">
        <f t="shared" si="50"/>
        <v>0</v>
      </c>
      <c r="K34" s="85">
        <f t="shared" si="51"/>
        <v>0</v>
      </c>
      <c r="L34" s="85">
        <f t="shared" si="52"/>
        <v>0</v>
      </c>
      <c r="M34" s="17">
        <f t="shared" si="63"/>
        <v>0</v>
      </c>
      <c r="N34" s="85">
        <f t="shared" si="53"/>
        <v>0</v>
      </c>
      <c r="O34" s="85">
        <f t="shared" si="54"/>
        <v>0</v>
      </c>
      <c r="P34" s="85">
        <f t="shared" si="55"/>
        <v>0</v>
      </c>
      <c r="Q34" s="85">
        <f t="shared" si="56"/>
        <v>0</v>
      </c>
      <c r="R34" s="22">
        <f t="shared" si="64"/>
        <v>0</v>
      </c>
      <c r="S34" s="23">
        <f t="shared" si="57"/>
        <v>0</v>
      </c>
      <c r="T34" s="23">
        <f t="shared" si="58"/>
        <v>0</v>
      </c>
      <c r="U34" s="23">
        <f t="shared" si="59"/>
        <v>0</v>
      </c>
      <c r="W34" s="78" t="str">
        <f t="shared" si="60"/>
        <v>Unbilled AR and Other Receivables</v>
      </c>
      <c r="X34" s="64"/>
      <c r="Y34" s="64"/>
      <c r="Z34" s="64"/>
      <c r="AA34" s="64"/>
      <c r="AB34" s="60"/>
      <c r="AC34" s="64"/>
      <c r="AD34" s="64"/>
      <c r="AE34" s="64"/>
      <c r="AF34" s="64"/>
      <c r="AG34" s="60"/>
      <c r="AH34" s="64"/>
      <c r="AI34" s="64"/>
      <c r="AJ34" s="64"/>
    </row>
    <row r="35" spans="2:36" hidden="1" outlineLevel="1" x14ac:dyDescent="0.25">
      <c r="B35" s="229" t="s">
        <v>195</v>
      </c>
      <c r="C35" s="229"/>
      <c r="E35" s="78" t="s">
        <v>41</v>
      </c>
      <c r="F35" s="21">
        <f t="shared" ref="F35:H35" si="67">F435</f>
        <v>0</v>
      </c>
      <c r="G35" s="21">
        <f t="shared" si="67"/>
        <v>0</v>
      </c>
      <c r="H35" s="21">
        <f t="shared" si="67"/>
        <v>0</v>
      </c>
      <c r="I35" s="85">
        <f t="shared" si="62"/>
        <v>0</v>
      </c>
      <c r="J35" s="85">
        <f t="shared" si="50"/>
        <v>0</v>
      </c>
      <c r="K35" s="85">
        <f t="shared" si="51"/>
        <v>0</v>
      </c>
      <c r="L35" s="85">
        <f t="shared" si="52"/>
        <v>0</v>
      </c>
      <c r="M35" s="17">
        <f t="shared" si="63"/>
        <v>0</v>
      </c>
      <c r="N35" s="85">
        <f t="shared" si="53"/>
        <v>0</v>
      </c>
      <c r="O35" s="85">
        <f t="shared" si="54"/>
        <v>0</v>
      </c>
      <c r="P35" s="85">
        <f t="shared" si="55"/>
        <v>0</v>
      </c>
      <c r="Q35" s="85">
        <f t="shared" si="56"/>
        <v>0</v>
      </c>
      <c r="R35" s="22">
        <f t="shared" si="64"/>
        <v>0</v>
      </c>
      <c r="S35" s="23">
        <f t="shared" si="57"/>
        <v>0</v>
      </c>
      <c r="T35" s="23">
        <f t="shared" si="58"/>
        <v>0</v>
      </c>
      <c r="U35" s="23">
        <f t="shared" si="59"/>
        <v>0</v>
      </c>
      <c r="W35" s="78" t="str">
        <f t="shared" si="60"/>
        <v>Allowance for Doubtful Accounts</v>
      </c>
      <c r="X35" s="64"/>
      <c r="Y35" s="64"/>
      <c r="Z35" s="64"/>
      <c r="AA35" s="64"/>
      <c r="AB35" s="60"/>
      <c r="AC35" s="64"/>
      <c r="AD35" s="64"/>
      <c r="AE35" s="64"/>
      <c r="AF35" s="64"/>
      <c r="AG35" s="60"/>
      <c r="AH35" s="64"/>
      <c r="AI35" s="64"/>
      <c r="AJ35" s="64"/>
    </row>
    <row r="36" spans="2:36" hidden="1" outlineLevel="1" x14ac:dyDescent="0.25">
      <c r="B36" s="229" t="s">
        <v>195</v>
      </c>
      <c r="C36" s="229"/>
      <c r="E36" s="78" t="s">
        <v>124</v>
      </c>
      <c r="F36" s="21">
        <f t="shared" ref="F36:H36" si="68">F436</f>
        <v>0</v>
      </c>
      <c r="G36" s="21">
        <f t="shared" si="68"/>
        <v>0</v>
      </c>
      <c r="H36" s="21">
        <f t="shared" si="68"/>
        <v>0</v>
      </c>
      <c r="I36" s="85">
        <f t="shared" si="62"/>
        <v>0</v>
      </c>
      <c r="J36" s="85">
        <f t="shared" si="50"/>
        <v>0</v>
      </c>
      <c r="K36" s="85">
        <f t="shared" si="51"/>
        <v>0</v>
      </c>
      <c r="L36" s="85">
        <f t="shared" si="52"/>
        <v>0</v>
      </c>
      <c r="M36" s="17">
        <f t="shared" si="63"/>
        <v>0</v>
      </c>
      <c r="N36" s="85">
        <f t="shared" si="53"/>
        <v>0</v>
      </c>
      <c r="O36" s="85">
        <f t="shared" si="54"/>
        <v>0</v>
      </c>
      <c r="P36" s="85">
        <f t="shared" si="55"/>
        <v>0</v>
      </c>
      <c r="Q36" s="85">
        <f t="shared" si="56"/>
        <v>0</v>
      </c>
      <c r="R36" s="22">
        <f t="shared" si="64"/>
        <v>0</v>
      </c>
      <c r="S36" s="23">
        <f t="shared" si="57"/>
        <v>0</v>
      </c>
      <c r="T36" s="23">
        <f t="shared" si="58"/>
        <v>0</v>
      </c>
      <c r="U36" s="23">
        <f t="shared" si="59"/>
        <v>0</v>
      </c>
      <c r="W36" s="78" t="str">
        <f t="shared" si="60"/>
        <v>Interco Receivables</v>
      </c>
      <c r="X36" s="64"/>
      <c r="Y36" s="64"/>
      <c r="Z36" s="64"/>
      <c r="AA36" s="64"/>
      <c r="AB36" s="60"/>
      <c r="AC36" s="64"/>
      <c r="AD36" s="64"/>
      <c r="AE36" s="64"/>
      <c r="AF36" s="64"/>
      <c r="AG36" s="60"/>
      <c r="AH36" s="64"/>
      <c r="AI36" s="64"/>
      <c r="AJ36" s="64"/>
    </row>
    <row r="37" spans="2:36" hidden="1" outlineLevel="1" x14ac:dyDescent="0.25">
      <c r="B37" s="229" t="s">
        <v>195</v>
      </c>
      <c r="C37" s="229"/>
      <c r="E37" s="78" t="s">
        <v>77</v>
      </c>
      <c r="F37" s="21">
        <f t="shared" ref="F37:H37" si="69">F437</f>
        <v>0</v>
      </c>
      <c r="G37" s="21">
        <f t="shared" si="69"/>
        <v>0</v>
      </c>
      <c r="H37" s="21">
        <f t="shared" si="69"/>
        <v>0</v>
      </c>
      <c r="I37" s="85">
        <f t="shared" si="62"/>
        <v>0</v>
      </c>
      <c r="J37" s="85">
        <f t="shared" si="50"/>
        <v>0</v>
      </c>
      <c r="K37" s="85">
        <f t="shared" si="51"/>
        <v>0</v>
      </c>
      <c r="L37" s="85">
        <f t="shared" si="52"/>
        <v>0</v>
      </c>
      <c r="M37" s="17">
        <f t="shared" si="63"/>
        <v>0</v>
      </c>
      <c r="N37" s="85">
        <f t="shared" si="53"/>
        <v>0</v>
      </c>
      <c r="O37" s="85">
        <f t="shared" si="54"/>
        <v>0</v>
      </c>
      <c r="P37" s="85">
        <f t="shared" si="55"/>
        <v>0</v>
      </c>
      <c r="Q37" s="85">
        <f t="shared" si="56"/>
        <v>0</v>
      </c>
      <c r="R37" s="22">
        <f t="shared" si="64"/>
        <v>0</v>
      </c>
      <c r="S37" s="23">
        <f t="shared" si="57"/>
        <v>0</v>
      </c>
      <c r="T37" s="23">
        <f t="shared" si="58"/>
        <v>0</v>
      </c>
      <c r="U37" s="23">
        <f t="shared" si="59"/>
        <v>0</v>
      </c>
      <c r="W37" s="78" t="str">
        <f t="shared" si="60"/>
        <v>blank</v>
      </c>
      <c r="X37" s="64"/>
      <c r="Y37" s="64"/>
      <c r="Z37" s="64"/>
      <c r="AA37" s="64"/>
      <c r="AB37" s="60"/>
      <c r="AC37" s="64"/>
      <c r="AD37" s="64"/>
      <c r="AE37" s="64"/>
      <c r="AF37" s="64"/>
      <c r="AG37" s="60"/>
      <c r="AH37" s="64"/>
      <c r="AI37" s="64"/>
      <c r="AJ37" s="64"/>
    </row>
    <row r="38" spans="2:36" hidden="1" outlineLevel="1" x14ac:dyDescent="0.25">
      <c r="B38" s="229" t="s">
        <v>195</v>
      </c>
      <c r="C38" s="229"/>
      <c r="E38" s="78" t="s">
        <v>77</v>
      </c>
      <c r="F38" s="21">
        <f t="shared" ref="F38:H38" si="70">F438</f>
        <v>0</v>
      </c>
      <c r="G38" s="21">
        <f t="shared" si="70"/>
        <v>0</v>
      </c>
      <c r="H38" s="21">
        <f t="shared" si="70"/>
        <v>0</v>
      </c>
      <c r="I38" s="85">
        <f t="shared" si="62"/>
        <v>0</v>
      </c>
      <c r="J38" s="85">
        <f t="shared" si="50"/>
        <v>0</v>
      </c>
      <c r="K38" s="85">
        <f t="shared" si="51"/>
        <v>0</v>
      </c>
      <c r="L38" s="85">
        <f t="shared" si="52"/>
        <v>0</v>
      </c>
      <c r="M38" s="17">
        <f t="shared" si="63"/>
        <v>0</v>
      </c>
      <c r="N38" s="85">
        <f t="shared" si="53"/>
        <v>0</v>
      </c>
      <c r="O38" s="85">
        <f t="shared" si="54"/>
        <v>0</v>
      </c>
      <c r="P38" s="85">
        <f t="shared" si="55"/>
        <v>0</v>
      </c>
      <c r="Q38" s="85">
        <f t="shared" si="56"/>
        <v>0</v>
      </c>
      <c r="R38" s="22">
        <f t="shared" si="64"/>
        <v>0</v>
      </c>
      <c r="S38" s="23">
        <f t="shared" si="57"/>
        <v>0</v>
      </c>
      <c r="T38" s="23">
        <f t="shared" si="58"/>
        <v>0</v>
      </c>
      <c r="U38" s="23">
        <f t="shared" si="59"/>
        <v>0</v>
      </c>
      <c r="W38" s="78" t="str">
        <f t="shared" si="60"/>
        <v>blank</v>
      </c>
      <c r="X38" s="64"/>
      <c r="Y38" s="64"/>
      <c r="Z38" s="64"/>
      <c r="AA38" s="64"/>
      <c r="AB38" s="60"/>
      <c r="AC38" s="64"/>
      <c r="AD38" s="64"/>
      <c r="AE38" s="64"/>
      <c r="AF38" s="64"/>
      <c r="AG38" s="60"/>
      <c r="AH38" s="64"/>
      <c r="AI38" s="64"/>
      <c r="AJ38" s="64"/>
    </row>
    <row r="39" spans="2:36" hidden="1" outlineLevel="1" x14ac:dyDescent="0.25">
      <c r="B39" s="229" t="s">
        <v>195</v>
      </c>
      <c r="C39" s="229"/>
      <c r="E39" s="78" t="s">
        <v>77</v>
      </c>
      <c r="F39" s="21">
        <f t="shared" ref="F39:H39" si="71">F439</f>
        <v>0</v>
      </c>
      <c r="G39" s="21">
        <f t="shared" si="71"/>
        <v>0</v>
      </c>
      <c r="H39" s="21">
        <f t="shared" si="71"/>
        <v>0</v>
      </c>
      <c r="I39" s="85">
        <f t="shared" si="62"/>
        <v>0</v>
      </c>
      <c r="J39" s="85">
        <f t="shared" si="50"/>
        <v>0</v>
      </c>
      <c r="K39" s="85">
        <f t="shared" si="51"/>
        <v>0</v>
      </c>
      <c r="L39" s="85">
        <f t="shared" si="52"/>
        <v>0</v>
      </c>
      <c r="M39" s="17">
        <f t="shared" si="63"/>
        <v>0</v>
      </c>
      <c r="N39" s="85">
        <f t="shared" si="53"/>
        <v>0</v>
      </c>
      <c r="O39" s="85">
        <f t="shared" si="54"/>
        <v>0</v>
      </c>
      <c r="P39" s="85">
        <f t="shared" si="55"/>
        <v>0</v>
      </c>
      <c r="Q39" s="85">
        <f t="shared" si="56"/>
        <v>0</v>
      </c>
      <c r="R39" s="22">
        <f t="shared" si="64"/>
        <v>0</v>
      </c>
      <c r="S39" s="23">
        <f t="shared" si="57"/>
        <v>0</v>
      </c>
      <c r="T39" s="23">
        <f t="shared" si="58"/>
        <v>0</v>
      </c>
      <c r="U39" s="23">
        <f t="shared" si="59"/>
        <v>0</v>
      </c>
      <c r="W39" s="78" t="str">
        <f t="shared" si="60"/>
        <v>blank</v>
      </c>
      <c r="X39" s="64"/>
      <c r="Y39" s="64"/>
      <c r="Z39" s="64"/>
      <c r="AA39" s="64"/>
      <c r="AB39" s="60"/>
      <c r="AC39" s="64"/>
      <c r="AD39" s="64"/>
      <c r="AE39" s="64"/>
      <c r="AF39" s="64"/>
      <c r="AG39" s="60"/>
      <c r="AH39" s="64"/>
      <c r="AI39" s="64"/>
      <c r="AJ39" s="64"/>
    </row>
    <row r="40" spans="2:36" hidden="1" outlineLevel="1" x14ac:dyDescent="0.25">
      <c r="B40" s="229" t="s">
        <v>195</v>
      </c>
      <c r="C40" s="229"/>
      <c r="E40" s="78" t="s">
        <v>77</v>
      </c>
      <c r="F40" s="21">
        <f t="shared" ref="F40:H40" si="72">F440</f>
        <v>0</v>
      </c>
      <c r="G40" s="21">
        <f t="shared" si="72"/>
        <v>0</v>
      </c>
      <c r="H40" s="21">
        <f t="shared" si="72"/>
        <v>0</v>
      </c>
      <c r="I40" s="85">
        <f t="shared" si="62"/>
        <v>0</v>
      </c>
      <c r="J40" s="85">
        <f t="shared" si="50"/>
        <v>0</v>
      </c>
      <c r="K40" s="85">
        <f t="shared" si="51"/>
        <v>0</v>
      </c>
      <c r="L40" s="85">
        <f t="shared" si="52"/>
        <v>0</v>
      </c>
      <c r="M40" s="17">
        <f t="shared" si="63"/>
        <v>0</v>
      </c>
      <c r="N40" s="85">
        <f t="shared" si="53"/>
        <v>0</v>
      </c>
      <c r="O40" s="85">
        <f t="shared" si="54"/>
        <v>0</v>
      </c>
      <c r="P40" s="85">
        <f t="shared" si="55"/>
        <v>0</v>
      </c>
      <c r="Q40" s="85">
        <f t="shared" si="56"/>
        <v>0</v>
      </c>
      <c r="R40" s="22">
        <f t="shared" si="64"/>
        <v>0</v>
      </c>
      <c r="S40" s="23">
        <f t="shared" si="57"/>
        <v>0</v>
      </c>
      <c r="T40" s="23">
        <f t="shared" si="58"/>
        <v>0</v>
      </c>
      <c r="U40" s="23">
        <f t="shared" si="59"/>
        <v>0</v>
      </c>
      <c r="W40" s="78" t="str">
        <f t="shared" si="60"/>
        <v>blank</v>
      </c>
      <c r="X40" s="64"/>
      <c r="Y40" s="64"/>
      <c r="Z40" s="64"/>
      <c r="AA40" s="64"/>
      <c r="AB40" s="60"/>
      <c r="AC40" s="64"/>
      <c r="AD40" s="64"/>
      <c r="AE40" s="64"/>
      <c r="AF40" s="64"/>
      <c r="AG40" s="60"/>
      <c r="AH40" s="64"/>
      <c r="AI40" s="64"/>
      <c r="AJ40" s="64"/>
    </row>
    <row r="41" spans="2:36" ht="15.75" hidden="1" outlineLevel="1" thickBot="1" x14ac:dyDescent="0.3">
      <c r="E41" s="8" t="s">
        <v>125</v>
      </c>
      <c r="F41" s="9">
        <f>SUM(F31:F40)</f>
        <v>0</v>
      </c>
      <c r="G41" s="9">
        <f t="shared" ref="G41" si="73">SUM(G31:G40)</f>
        <v>0</v>
      </c>
      <c r="H41" s="9">
        <f t="shared" ref="H41" si="74">SUM(H31:H40)</f>
        <v>0</v>
      </c>
      <c r="I41" s="86">
        <f t="shared" ref="I41" si="75">SUM(I31:I40)</f>
        <v>0</v>
      </c>
      <c r="J41" s="86">
        <f t="shared" ref="J41" si="76">SUM(J31:J40)</f>
        <v>0</v>
      </c>
      <c r="K41" s="86">
        <f t="shared" ref="K41" si="77">SUM(K31:K40)</f>
        <v>0</v>
      </c>
      <c r="L41" s="86">
        <f t="shared" ref="L41" si="78">SUM(L31:L40)</f>
        <v>0</v>
      </c>
      <c r="M41" s="18">
        <f t="shared" ref="M41" si="79">SUM(M31:M40)</f>
        <v>0</v>
      </c>
      <c r="N41" s="86">
        <f t="shared" ref="N41" si="80">SUM(N31:N40)</f>
        <v>0</v>
      </c>
      <c r="O41" s="86">
        <f t="shared" ref="O41" si="81">SUM(O31:O40)</f>
        <v>0</v>
      </c>
      <c r="P41" s="86">
        <f t="shared" ref="P41" si="82">SUM(P31:P40)</f>
        <v>0</v>
      </c>
      <c r="Q41" s="86">
        <f t="shared" ref="Q41" si="83">SUM(Q31:Q40)</f>
        <v>0</v>
      </c>
      <c r="R41" s="19">
        <f t="shared" ref="R41" si="84">SUM(R31:R40)</f>
        <v>0</v>
      </c>
      <c r="S41" s="20">
        <f t="shared" ref="S41" si="85">SUM(S31:S40)</f>
        <v>0</v>
      </c>
      <c r="T41" s="20">
        <f t="shared" ref="T41" si="86">SUM(T31:T40)</f>
        <v>0</v>
      </c>
      <c r="U41" s="20">
        <f t="shared" ref="U41" si="87">SUM(U31:U40)</f>
        <v>0</v>
      </c>
    </row>
    <row r="42" spans="2:36" ht="15.75" hidden="1" outlineLevel="1" thickTop="1" x14ac:dyDescent="0.25"/>
    <row r="43" spans="2:36" hidden="1" outlineLevel="1" x14ac:dyDescent="0.25"/>
    <row r="44" spans="2:36" hidden="1" outlineLevel="1" x14ac:dyDescent="0.25"/>
    <row r="45" spans="2:36" hidden="1" outlineLevel="1" x14ac:dyDescent="0.25">
      <c r="E45" s="4" t="s">
        <v>128</v>
      </c>
      <c r="W45" s="4" t="str">
        <f>E45</f>
        <v>Accounts Payable (Trade Accts Payable + Current Notes Payable + Intercompany Payables)</v>
      </c>
    </row>
    <row r="46" spans="2:36" hidden="1" outlineLevel="1" x14ac:dyDescent="0.25">
      <c r="E46" s="6" t="s">
        <v>25</v>
      </c>
      <c r="W46" s="61" t="s">
        <v>134</v>
      </c>
    </row>
    <row r="47" spans="2:36" hidden="1" outlineLevel="1" x14ac:dyDescent="0.25"/>
    <row r="48" spans="2:36" hidden="1" outlineLevel="1" x14ac:dyDescent="0.25">
      <c r="F48" s="12">
        <f>Inputs!$C$7</f>
        <v>2023</v>
      </c>
      <c r="G48" s="12">
        <f>Inputs!$C$8</f>
        <v>2024</v>
      </c>
      <c r="H48" s="12">
        <f>Inputs!$C$9</f>
        <v>2025</v>
      </c>
      <c r="I48" s="13" t="s">
        <v>1</v>
      </c>
      <c r="J48" s="13" t="s">
        <v>2</v>
      </c>
      <c r="K48" s="13" t="s">
        <v>3</v>
      </c>
      <c r="L48" s="13" t="s">
        <v>4</v>
      </c>
      <c r="M48" s="13">
        <f>Inputs!$C$10</f>
        <v>2026</v>
      </c>
      <c r="N48" s="14" t="s">
        <v>1</v>
      </c>
      <c r="O48" s="14" t="s">
        <v>2</v>
      </c>
      <c r="P48" s="14" t="s">
        <v>3</v>
      </c>
      <c r="Q48" s="14" t="s">
        <v>4</v>
      </c>
      <c r="R48" s="15">
        <f>Inputs!$C$11</f>
        <v>2027</v>
      </c>
      <c r="S48" s="16">
        <f>Inputs!$C$12</f>
        <v>2028</v>
      </c>
      <c r="T48" s="16">
        <f>Inputs!$C$13</f>
        <v>2029</v>
      </c>
      <c r="U48" s="16">
        <f>Inputs!$C$14</f>
        <v>2030</v>
      </c>
      <c r="X48" s="13" t="s">
        <v>1</v>
      </c>
      <c r="Y48" s="13" t="s">
        <v>2</v>
      </c>
      <c r="Z48" s="13" t="s">
        <v>3</v>
      </c>
      <c r="AA48" s="13" t="s">
        <v>4</v>
      </c>
      <c r="AB48" s="13">
        <f>Inputs!$C$10</f>
        <v>2026</v>
      </c>
      <c r="AC48" s="14" t="s">
        <v>1</v>
      </c>
      <c r="AD48" s="14" t="s">
        <v>2</v>
      </c>
      <c r="AE48" s="14" t="s">
        <v>3</v>
      </c>
      <c r="AF48" s="14" t="s">
        <v>4</v>
      </c>
      <c r="AG48" s="15">
        <f>Inputs!$C$11</f>
        <v>2027</v>
      </c>
      <c r="AH48" s="16">
        <f>Inputs!$C$12</f>
        <v>2028</v>
      </c>
      <c r="AI48" s="16">
        <f>Inputs!$C$13</f>
        <v>2029</v>
      </c>
      <c r="AJ48" s="16">
        <f>Inputs!$C$14</f>
        <v>2030</v>
      </c>
    </row>
    <row r="49" spans="2:36" hidden="1" outlineLevel="1" x14ac:dyDescent="0.25">
      <c r="F49" s="71" t="s">
        <v>63</v>
      </c>
      <c r="G49" s="71" t="s">
        <v>63</v>
      </c>
      <c r="H49" s="71" t="s">
        <v>63</v>
      </c>
      <c r="I49" s="71" t="s">
        <v>63</v>
      </c>
      <c r="J49" s="71" t="s">
        <v>63</v>
      </c>
      <c r="K49" s="71" t="s">
        <v>63</v>
      </c>
      <c r="L49" s="71" t="s">
        <v>63</v>
      </c>
      <c r="M49" s="71" t="s">
        <v>63</v>
      </c>
      <c r="N49" s="71" t="s">
        <v>63</v>
      </c>
      <c r="O49" s="71" t="s">
        <v>63</v>
      </c>
      <c r="P49" s="71" t="s">
        <v>63</v>
      </c>
      <c r="Q49" s="71" t="s">
        <v>63</v>
      </c>
      <c r="R49" s="71" t="s">
        <v>63</v>
      </c>
      <c r="S49" s="71" t="s">
        <v>63</v>
      </c>
      <c r="T49" s="71" t="s">
        <v>63</v>
      </c>
      <c r="U49" s="71" t="s">
        <v>63</v>
      </c>
      <c r="X49" s="63" t="s">
        <v>30</v>
      </c>
      <c r="Y49" s="63" t="s">
        <v>30</v>
      </c>
      <c r="Z49" s="63" t="s">
        <v>30</v>
      </c>
      <c r="AA49" s="63" t="s">
        <v>30</v>
      </c>
      <c r="AB49" s="62"/>
      <c r="AC49" s="63" t="s">
        <v>30</v>
      </c>
      <c r="AD49" s="63" t="s">
        <v>30</v>
      </c>
      <c r="AE49" s="63" t="s">
        <v>30</v>
      </c>
      <c r="AF49" s="63" t="s">
        <v>30</v>
      </c>
      <c r="AG49" s="62"/>
      <c r="AH49" s="63" t="s">
        <v>30</v>
      </c>
      <c r="AI49" s="63" t="s">
        <v>30</v>
      </c>
      <c r="AJ49" s="63" t="s">
        <v>30</v>
      </c>
    </row>
    <row r="50" spans="2:36" hidden="1" outlineLevel="1" x14ac:dyDescent="0.25">
      <c r="B50" s="229" t="s">
        <v>195</v>
      </c>
      <c r="E50" s="78" t="s">
        <v>43</v>
      </c>
      <c r="F50" s="21">
        <f>F450</f>
        <v>0</v>
      </c>
      <c r="G50" s="21">
        <f t="shared" ref="G50:H50" si="88">G450</f>
        <v>0</v>
      </c>
      <c r="H50" s="21">
        <f t="shared" si="88"/>
        <v>0</v>
      </c>
      <c r="I50" s="85">
        <f>IF(X50="",I450,X50)</f>
        <v>0</v>
      </c>
      <c r="J50" s="85">
        <f t="shared" ref="J50:J59" si="89">IF(Y50="",J450,Y50)</f>
        <v>0</v>
      </c>
      <c r="K50" s="85">
        <f t="shared" ref="K50:K59" si="90">IF(Z50="",K450,Z50)</f>
        <v>0</v>
      </c>
      <c r="L50" s="85">
        <f t="shared" ref="L50:L59" si="91">IF(AA50="",L450,AA50)</f>
        <v>0</v>
      </c>
      <c r="M50" s="17">
        <f>L50</f>
        <v>0</v>
      </c>
      <c r="N50" s="85">
        <f t="shared" ref="N50:N59" si="92">IF(AC50="",N450,AC50)</f>
        <v>0</v>
      </c>
      <c r="O50" s="85">
        <f t="shared" ref="O50:O59" si="93">IF(AD50="",O450,AD50)</f>
        <v>0</v>
      </c>
      <c r="P50" s="85">
        <f t="shared" ref="P50:P59" si="94">IF(AE50="",P450,AE50)</f>
        <v>0</v>
      </c>
      <c r="Q50" s="85">
        <f t="shared" ref="Q50:Q59" si="95">IF(AF50="",Q450,AF50)</f>
        <v>0</v>
      </c>
      <c r="R50" s="22">
        <f>Q50</f>
        <v>0</v>
      </c>
      <c r="S50" s="23">
        <f t="shared" ref="S50:S59" si="96">IF(AH50="",S450,AH50)</f>
        <v>0</v>
      </c>
      <c r="T50" s="23">
        <f t="shared" ref="T50:T59" si="97">IF(AI50="",T450,AI50)</f>
        <v>0</v>
      </c>
      <c r="U50" s="23">
        <f t="shared" ref="U50:U59" si="98">IF(AJ50="",U450,AJ50)</f>
        <v>0</v>
      </c>
      <c r="W50" s="78" t="str">
        <f t="shared" ref="W50:W52" si="99">E50</f>
        <v>Trade Accounts Payable</v>
      </c>
      <c r="X50" s="64"/>
      <c r="Y50" s="64"/>
      <c r="Z50" s="64"/>
      <c r="AA50" s="64"/>
      <c r="AB50" s="60"/>
      <c r="AC50" s="64"/>
      <c r="AD50" s="64"/>
      <c r="AE50" s="64"/>
      <c r="AF50" s="64"/>
      <c r="AG50" s="60"/>
      <c r="AH50" s="64"/>
      <c r="AI50" s="64"/>
      <c r="AJ50" s="64"/>
    </row>
    <row r="51" spans="2:36" hidden="1" outlineLevel="1" x14ac:dyDescent="0.25">
      <c r="B51" s="229" t="s">
        <v>195</v>
      </c>
      <c r="E51" s="78" t="s">
        <v>126</v>
      </c>
      <c r="F51" s="21">
        <f t="shared" ref="F51:H51" si="100">F451</f>
        <v>0</v>
      </c>
      <c r="G51" s="21">
        <f t="shared" si="100"/>
        <v>0</v>
      </c>
      <c r="H51" s="21">
        <f t="shared" si="100"/>
        <v>0</v>
      </c>
      <c r="I51" s="85">
        <f t="shared" ref="I51:I59" si="101">IF(X51="",I451,X51)</f>
        <v>0</v>
      </c>
      <c r="J51" s="85">
        <f t="shared" si="89"/>
        <v>0</v>
      </c>
      <c r="K51" s="85">
        <f t="shared" si="90"/>
        <v>0</v>
      </c>
      <c r="L51" s="85">
        <f t="shared" si="91"/>
        <v>0</v>
      </c>
      <c r="M51" s="17">
        <f t="shared" ref="M51:M59" si="102">L51</f>
        <v>0</v>
      </c>
      <c r="N51" s="85">
        <f t="shared" si="92"/>
        <v>0</v>
      </c>
      <c r="O51" s="85">
        <f t="shared" si="93"/>
        <v>0</v>
      </c>
      <c r="P51" s="85">
        <f t="shared" si="94"/>
        <v>0</v>
      </c>
      <c r="Q51" s="85">
        <f t="shared" si="95"/>
        <v>0</v>
      </c>
      <c r="R51" s="22">
        <f t="shared" ref="R51:R59" si="103">Q51</f>
        <v>0</v>
      </c>
      <c r="S51" s="23">
        <f t="shared" si="96"/>
        <v>0</v>
      </c>
      <c r="T51" s="23">
        <f t="shared" si="97"/>
        <v>0</v>
      </c>
      <c r="U51" s="23">
        <f t="shared" si="98"/>
        <v>0</v>
      </c>
      <c r="W51" s="78" t="str">
        <f t="shared" si="99"/>
        <v>Trade Payables Subledger</v>
      </c>
      <c r="X51" s="64"/>
      <c r="Y51" s="64"/>
      <c r="Z51" s="64"/>
      <c r="AA51" s="64"/>
      <c r="AB51" s="60"/>
      <c r="AC51" s="64"/>
      <c r="AD51" s="64"/>
      <c r="AE51" s="64"/>
      <c r="AF51" s="64"/>
      <c r="AG51" s="60"/>
      <c r="AH51" s="64"/>
      <c r="AI51" s="64"/>
      <c r="AJ51" s="64"/>
    </row>
    <row r="52" spans="2:36" hidden="1" outlineLevel="1" x14ac:dyDescent="0.25">
      <c r="B52" s="229" t="s">
        <v>195</v>
      </c>
      <c r="E52" s="78" t="s">
        <v>127</v>
      </c>
      <c r="F52" s="21">
        <f t="shared" ref="F52:H52" si="104">F452</f>
        <v>0</v>
      </c>
      <c r="G52" s="21">
        <f t="shared" si="104"/>
        <v>0</v>
      </c>
      <c r="H52" s="21">
        <f t="shared" si="104"/>
        <v>0</v>
      </c>
      <c r="I52" s="85">
        <f t="shared" si="101"/>
        <v>0</v>
      </c>
      <c r="J52" s="85">
        <f t="shared" si="89"/>
        <v>0</v>
      </c>
      <c r="K52" s="85">
        <f t="shared" si="90"/>
        <v>0</v>
      </c>
      <c r="L52" s="85">
        <f t="shared" si="91"/>
        <v>0</v>
      </c>
      <c r="M52" s="17">
        <f t="shared" si="102"/>
        <v>0</v>
      </c>
      <c r="N52" s="85">
        <f t="shared" si="92"/>
        <v>0</v>
      </c>
      <c r="O52" s="85">
        <f t="shared" si="93"/>
        <v>0</v>
      </c>
      <c r="P52" s="85">
        <f t="shared" si="94"/>
        <v>0</v>
      </c>
      <c r="Q52" s="85">
        <f t="shared" si="95"/>
        <v>0</v>
      </c>
      <c r="R52" s="22">
        <f t="shared" si="103"/>
        <v>0</v>
      </c>
      <c r="S52" s="23">
        <f t="shared" si="96"/>
        <v>0</v>
      </c>
      <c r="T52" s="23">
        <f t="shared" si="97"/>
        <v>0</v>
      </c>
      <c r="U52" s="23">
        <f t="shared" si="98"/>
        <v>0</v>
      </c>
      <c r="W52" s="78" t="str">
        <f t="shared" si="99"/>
        <v>Trade Payables GRNI</v>
      </c>
      <c r="X52" s="64"/>
      <c r="Y52" s="64"/>
      <c r="Z52" s="64"/>
      <c r="AA52" s="64"/>
      <c r="AB52" s="60"/>
      <c r="AC52" s="64"/>
      <c r="AD52" s="64"/>
      <c r="AE52" s="64"/>
      <c r="AF52" s="64"/>
      <c r="AG52" s="60"/>
      <c r="AH52" s="64"/>
      <c r="AI52" s="64"/>
      <c r="AJ52" s="64"/>
    </row>
    <row r="53" spans="2:36" hidden="1" outlineLevel="1" x14ac:dyDescent="0.25">
      <c r="B53" s="229" t="s">
        <v>195</v>
      </c>
      <c r="E53" s="78" t="s">
        <v>44</v>
      </c>
      <c r="F53" s="21">
        <f t="shared" ref="F53:H53" si="105">F453</f>
        <v>0</v>
      </c>
      <c r="G53" s="21">
        <f t="shared" si="105"/>
        <v>0</v>
      </c>
      <c r="H53" s="21">
        <f t="shared" si="105"/>
        <v>0</v>
      </c>
      <c r="I53" s="85">
        <f t="shared" si="101"/>
        <v>0</v>
      </c>
      <c r="J53" s="85">
        <f t="shared" si="89"/>
        <v>0</v>
      </c>
      <c r="K53" s="85">
        <f t="shared" si="90"/>
        <v>0</v>
      </c>
      <c r="L53" s="85">
        <f t="shared" si="91"/>
        <v>0</v>
      </c>
      <c r="M53" s="17">
        <f t="shared" si="102"/>
        <v>0</v>
      </c>
      <c r="N53" s="85">
        <f t="shared" si="92"/>
        <v>0</v>
      </c>
      <c r="O53" s="85">
        <f t="shared" si="93"/>
        <v>0</v>
      </c>
      <c r="P53" s="85">
        <f t="shared" si="94"/>
        <v>0</v>
      </c>
      <c r="Q53" s="85">
        <f t="shared" si="95"/>
        <v>0</v>
      </c>
      <c r="R53" s="22">
        <f t="shared" si="103"/>
        <v>0</v>
      </c>
      <c r="S53" s="23">
        <f t="shared" si="96"/>
        <v>0</v>
      </c>
      <c r="T53" s="23">
        <f t="shared" si="97"/>
        <v>0</v>
      </c>
      <c r="U53" s="23">
        <f t="shared" si="98"/>
        <v>0</v>
      </c>
      <c r="W53" s="78" t="str">
        <f>E53</f>
        <v>Intercompany Payables</v>
      </c>
      <c r="X53" s="64"/>
      <c r="Y53" s="64"/>
      <c r="Z53" s="64"/>
      <c r="AA53" s="64"/>
      <c r="AB53" s="60"/>
      <c r="AC53" s="64"/>
      <c r="AD53" s="64"/>
      <c r="AE53" s="64"/>
      <c r="AF53" s="64"/>
      <c r="AG53" s="60"/>
      <c r="AH53" s="64"/>
      <c r="AI53" s="64"/>
      <c r="AJ53" s="64"/>
    </row>
    <row r="54" spans="2:36" hidden="1" outlineLevel="1" x14ac:dyDescent="0.25">
      <c r="B54" s="229" t="s">
        <v>195</v>
      </c>
      <c r="E54" s="78" t="s">
        <v>77</v>
      </c>
      <c r="F54" s="21">
        <f t="shared" ref="F54:H54" si="106">F454</f>
        <v>0</v>
      </c>
      <c r="G54" s="21">
        <f t="shared" si="106"/>
        <v>0</v>
      </c>
      <c r="H54" s="21">
        <f t="shared" si="106"/>
        <v>0</v>
      </c>
      <c r="I54" s="85">
        <f t="shared" si="101"/>
        <v>0</v>
      </c>
      <c r="J54" s="85">
        <f t="shared" si="89"/>
        <v>0</v>
      </c>
      <c r="K54" s="85">
        <f t="shared" si="90"/>
        <v>0</v>
      </c>
      <c r="L54" s="85">
        <f t="shared" si="91"/>
        <v>0</v>
      </c>
      <c r="M54" s="17">
        <f t="shared" si="102"/>
        <v>0</v>
      </c>
      <c r="N54" s="85">
        <f t="shared" si="92"/>
        <v>0</v>
      </c>
      <c r="O54" s="85">
        <f t="shared" si="93"/>
        <v>0</v>
      </c>
      <c r="P54" s="85">
        <f t="shared" si="94"/>
        <v>0</v>
      </c>
      <c r="Q54" s="85">
        <f t="shared" si="95"/>
        <v>0</v>
      </c>
      <c r="R54" s="22">
        <f t="shared" si="103"/>
        <v>0</v>
      </c>
      <c r="S54" s="23">
        <f t="shared" si="96"/>
        <v>0</v>
      </c>
      <c r="T54" s="23">
        <f t="shared" si="97"/>
        <v>0</v>
      </c>
      <c r="U54" s="23">
        <f t="shared" si="98"/>
        <v>0</v>
      </c>
      <c r="W54" s="78" t="str">
        <f t="shared" ref="W54:W59" si="107">E54</f>
        <v>blank</v>
      </c>
      <c r="X54" s="64"/>
      <c r="Y54" s="64"/>
      <c r="Z54" s="64"/>
      <c r="AA54" s="64"/>
      <c r="AB54" s="60"/>
      <c r="AC54" s="64"/>
      <c r="AD54" s="64"/>
      <c r="AE54" s="64"/>
      <c r="AF54" s="64"/>
      <c r="AG54" s="60"/>
      <c r="AH54" s="64"/>
      <c r="AI54" s="64"/>
      <c r="AJ54" s="64"/>
    </row>
    <row r="55" spans="2:36" hidden="1" outlineLevel="1" x14ac:dyDescent="0.25">
      <c r="B55" s="229" t="s">
        <v>195</v>
      </c>
      <c r="E55" s="78" t="s">
        <v>77</v>
      </c>
      <c r="F55" s="21">
        <f t="shared" ref="F55:H55" si="108">F455</f>
        <v>0</v>
      </c>
      <c r="G55" s="21">
        <f t="shared" si="108"/>
        <v>0</v>
      </c>
      <c r="H55" s="21">
        <f t="shared" si="108"/>
        <v>0</v>
      </c>
      <c r="I55" s="85">
        <f t="shared" si="101"/>
        <v>0</v>
      </c>
      <c r="J55" s="85">
        <f t="shared" si="89"/>
        <v>0</v>
      </c>
      <c r="K55" s="85">
        <f t="shared" si="90"/>
        <v>0</v>
      </c>
      <c r="L55" s="85">
        <f t="shared" si="91"/>
        <v>0</v>
      </c>
      <c r="M55" s="17">
        <f t="shared" si="102"/>
        <v>0</v>
      </c>
      <c r="N55" s="85">
        <f t="shared" si="92"/>
        <v>0</v>
      </c>
      <c r="O55" s="85">
        <f t="shared" si="93"/>
        <v>0</v>
      </c>
      <c r="P55" s="85">
        <f t="shared" si="94"/>
        <v>0</v>
      </c>
      <c r="Q55" s="85">
        <f t="shared" si="95"/>
        <v>0</v>
      </c>
      <c r="R55" s="22">
        <f t="shared" si="103"/>
        <v>0</v>
      </c>
      <c r="S55" s="23">
        <f t="shared" si="96"/>
        <v>0</v>
      </c>
      <c r="T55" s="23">
        <f t="shared" si="97"/>
        <v>0</v>
      </c>
      <c r="U55" s="23">
        <f t="shared" si="98"/>
        <v>0</v>
      </c>
      <c r="W55" s="78" t="str">
        <f t="shared" si="107"/>
        <v>blank</v>
      </c>
      <c r="X55" s="64"/>
      <c r="Y55" s="64"/>
      <c r="Z55" s="64"/>
      <c r="AA55" s="64"/>
      <c r="AB55" s="60"/>
      <c r="AC55" s="64"/>
      <c r="AD55" s="64"/>
      <c r="AE55" s="64"/>
      <c r="AF55" s="64"/>
      <c r="AG55" s="60"/>
      <c r="AH55" s="64"/>
      <c r="AI55" s="64"/>
      <c r="AJ55" s="64"/>
    </row>
    <row r="56" spans="2:36" hidden="1" outlineLevel="1" x14ac:dyDescent="0.25">
      <c r="B56" s="229" t="s">
        <v>195</v>
      </c>
      <c r="E56" s="78" t="s">
        <v>77</v>
      </c>
      <c r="F56" s="21">
        <f t="shared" ref="F56:H56" si="109">F456</f>
        <v>0</v>
      </c>
      <c r="G56" s="21">
        <f t="shared" si="109"/>
        <v>0</v>
      </c>
      <c r="H56" s="21">
        <f t="shared" si="109"/>
        <v>0</v>
      </c>
      <c r="I56" s="85">
        <f t="shared" si="101"/>
        <v>0</v>
      </c>
      <c r="J56" s="85">
        <f t="shared" si="89"/>
        <v>0</v>
      </c>
      <c r="K56" s="85">
        <f t="shared" si="90"/>
        <v>0</v>
      </c>
      <c r="L56" s="85">
        <f t="shared" si="91"/>
        <v>0</v>
      </c>
      <c r="M56" s="17">
        <f t="shared" si="102"/>
        <v>0</v>
      </c>
      <c r="N56" s="85">
        <f t="shared" si="92"/>
        <v>0</v>
      </c>
      <c r="O56" s="85">
        <f t="shared" si="93"/>
        <v>0</v>
      </c>
      <c r="P56" s="85">
        <f t="shared" si="94"/>
        <v>0</v>
      </c>
      <c r="Q56" s="85">
        <f t="shared" si="95"/>
        <v>0</v>
      </c>
      <c r="R56" s="22">
        <f t="shared" si="103"/>
        <v>0</v>
      </c>
      <c r="S56" s="23">
        <f t="shared" si="96"/>
        <v>0</v>
      </c>
      <c r="T56" s="23">
        <f t="shared" si="97"/>
        <v>0</v>
      </c>
      <c r="U56" s="23">
        <f t="shared" si="98"/>
        <v>0</v>
      </c>
      <c r="W56" s="78" t="str">
        <f t="shared" si="107"/>
        <v>blank</v>
      </c>
      <c r="X56" s="64"/>
      <c r="Y56" s="64"/>
      <c r="Z56" s="64"/>
      <c r="AA56" s="64"/>
      <c r="AB56" s="60"/>
      <c r="AC56" s="64"/>
      <c r="AD56" s="64"/>
      <c r="AE56" s="64"/>
      <c r="AF56" s="64"/>
      <c r="AG56" s="60"/>
      <c r="AH56" s="64"/>
      <c r="AI56" s="64"/>
      <c r="AJ56" s="64"/>
    </row>
    <row r="57" spans="2:36" hidden="1" outlineLevel="1" x14ac:dyDescent="0.25">
      <c r="B57" s="229" t="s">
        <v>195</v>
      </c>
      <c r="E57" s="78" t="s">
        <v>77</v>
      </c>
      <c r="F57" s="21">
        <f t="shared" ref="F57:H57" si="110">F457</f>
        <v>0</v>
      </c>
      <c r="G57" s="21">
        <f t="shared" si="110"/>
        <v>0</v>
      </c>
      <c r="H57" s="21">
        <f t="shared" si="110"/>
        <v>0</v>
      </c>
      <c r="I57" s="85">
        <f t="shared" si="101"/>
        <v>0</v>
      </c>
      <c r="J57" s="85">
        <f t="shared" si="89"/>
        <v>0</v>
      </c>
      <c r="K57" s="85">
        <f t="shared" si="90"/>
        <v>0</v>
      </c>
      <c r="L57" s="85">
        <f t="shared" si="91"/>
        <v>0</v>
      </c>
      <c r="M57" s="17">
        <f t="shared" si="102"/>
        <v>0</v>
      </c>
      <c r="N57" s="85">
        <f t="shared" si="92"/>
        <v>0</v>
      </c>
      <c r="O57" s="85">
        <f t="shared" si="93"/>
        <v>0</v>
      </c>
      <c r="P57" s="85">
        <f t="shared" si="94"/>
        <v>0</v>
      </c>
      <c r="Q57" s="85">
        <f t="shared" si="95"/>
        <v>0</v>
      </c>
      <c r="R57" s="22">
        <f t="shared" si="103"/>
        <v>0</v>
      </c>
      <c r="S57" s="23">
        <f t="shared" si="96"/>
        <v>0</v>
      </c>
      <c r="T57" s="23">
        <f t="shared" si="97"/>
        <v>0</v>
      </c>
      <c r="U57" s="23">
        <f t="shared" si="98"/>
        <v>0</v>
      </c>
      <c r="W57" s="78" t="str">
        <f t="shared" si="107"/>
        <v>blank</v>
      </c>
      <c r="X57" s="64"/>
      <c r="Y57" s="64"/>
      <c r="Z57" s="64"/>
      <c r="AA57" s="64"/>
      <c r="AB57" s="60"/>
      <c r="AC57" s="64"/>
      <c r="AD57" s="64"/>
      <c r="AE57" s="64"/>
      <c r="AF57" s="64"/>
      <c r="AG57" s="60"/>
      <c r="AH57" s="64"/>
      <c r="AI57" s="64"/>
      <c r="AJ57" s="64"/>
    </row>
    <row r="58" spans="2:36" hidden="1" outlineLevel="1" x14ac:dyDescent="0.25">
      <c r="B58" s="229" t="s">
        <v>195</v>
      </c>
      <c r="E58" s="78" t="s">
        <v>77</v>
      </c>
      <c r="F58" s="21">
        <f t="shared" ref="F58:H58" si="111">F458</f>
        <v>0</v>
      </c>
      <c r="G58" s="21">
        <f t="shared" si="111"/>
        <v>0</v>
      </c>
      <c r="H58" s="21">
        <f t="shared" si="111"/>
        <v>0</v>
      </c>
      <c r="I58" s="85">
        <f t="shared" si="101"/>
        <v>0</v>
      </c>
      <c r="J58" s="85">
        <f t="shared" si="89"/>
        <v>0</v>
      </c>
      <c r="K58" s="85">
        <f t="shared" si="90"/>
        <v>0</v>
      </c>
      <c r="L58" s="85">
        <f t="shared" si="91"/>
        <v>0</v>
      </c>
      <c r="M58" s="17">
        <f t="shared" si="102"/>
        <v>0</v>
      </c>
      <c r="N58" s="85">
        <f t="shared" si="92"/>
        <v>0</v>
      </c>
      <c r="O58" s="85">
        <f t="shared" si="93"/>
        <v>0</v>
      </c>
      <c r="P58" s="85">
        <f t="shared" si="94"/>
        <v>0</v>
      </c>
      <c r="Q58" s="85">
        <f t="shared" si="95"/>
        <v>0</v>
      </c>
      <c r="R58" s="22">
        <f t="shared" si="103"/>
        <v>0</v>
      </c>
      <c r="S58" s="23">
        <f t="shared" si="96"/>
        <v>0</v>
      </c>
      <c r="T58" s="23">
        <f t="shared" si="97"/>
        <v>0</v>
      </c>
      <c r="U58" s="23">
        <f t="shared" si="98"/>
        <v>0</v>
      </c>
      <c r="W58" s="78" t="str">
        <f t="shared" si="107"/>
        <v>blank</v>
      </c>
      <c r="X58" s="64"/>
      <c r="Y58" s="64"/>
      <c r="Z58" s="64"/>
      <c r="AA58" s="64"/>
      <c r="AB58" s="60"/>
      <c r="AC58" s="64"/>
      <c r="AD58" s="64"/>
      <c r="AE58" s="64"/>
      <c r="AF58" s="64"/>
      <c r="AG58" s="60"/>
      <c r="AH58" s="64"/>
      <c r="AI58" s="64"/>
      <c r="AJ58" s="64"/>
    </row>
    <row r="59" spans="2:36" hidden="1" outlineLevel="1" x14ac:dyDescent="0.25">
      <c r="B59" s="229" t="s">
        <v>195</v>
      </c>
      <c r="E59" s="78" t="s">
        <v>77</v>
      </c>
      <c r="F59" s="21">
        <f t="shared" ref="F59:H59" si="112">F459</f>
        <v>0</v>
      </c>
      <c r="G59" s="21">
        <f t="shared" si="112"/>
        <v>0</v>
      </c>
      <c r="H59" s="21">
        <f t="shared" si="112"/>
        <v>0</v>
      </c>
      <c r="I59" s="85">
        <f t="shared" si="101"/>
        <v>0</v>
      </c>
      <c r="J59" s="85">
        <f t="shared" si="89"/>
        <v>0</v>
      </c>
      <c r="K59" s="85">
        <f t="shared" si="90"/>
        <v>0</v>
      </c>
      <c r="L59" s="85">
        <f t="shared" si="91"/>
        <v>0</v>
      </c>
      <c r="M59" s="17">
        <f t="shared" si="102"/>
        <v>0</v>
      </c>
      <c r="N59" s="85">
        <f t="shared" si="92"/>
        <v>0</v>
      </c>
      <c r="O59" s="85">
        <f t="shared" si="93"/>
        <v>0</v>
      </c>
      <c r="P59" s="85">
        <f t="shared" si="94"/>
        <v>0</v>
      </c>
      <c r="Q59" s="85">
        <f t="shared" si="95"/>
        <v>0</v>
      </c>
      <c r="R59" s="22">
        <f t="shared" si="103"/>
        <v>0</v>
      </c>
      <c r="S59" s="23">
        <f t="shared" si="96"/>
        <v>0</v>
      </c>
      <c r="T59" s="23">
        <f t="shared" si="97"/>
        <v>0</v>
      </c>
      <c r="U59" s="23">
        <f t="shared" si="98"/>
        <v>0</v>
      </c>
      <c r="W59" s="78" t="str">
        <f t="shared" si="107"/>
        <v>blank</v>
      </c>
      <c r="X59" s="64"/>
      <c r="Y59" s="64"/>
      <c r="Z59" s="64"/>
      <c r="AA59" s="64"/>
      <c r="AB59" s="60"/>
      <c r="AC59" s="64"/>
      <c r="AD59" s="64"/>
      <c r="AE59" s="64"/>
      <c r="AF59" s="64"/>
      <c r="AG59" s="60"/>
      <c r="AH59" s="64"/>
      <c r="AI59" s="64"/>
      <c r="AJ59" s="64"/>
    </row>
    <row r="60" spans="2:36" ht="15.75" hidden="1" outlineLevel="1" thickBot="1" x14ac:dyDescent="0.3">
      <c r="E60" s="8" t="s">
        <v>131</v>
      </c>
      <c r="F60" s="9">
        <f>SUM(F50:F59)</f>
        <v>0</v>
      </c>
      <c r="G60" s="9">
        <f t="shared" ref="G60" si="113">SUM(G50:G59)</f>
        <v>0</v>
      </c>
      <c r="H60" s="9">
        <f t="shared" ref="H60" si="114">SUM(H50:H59)</f>
        <v>0</v>
      </c>
      <c r="I60" s="86">
        <f t="shared" ref="I60" si="115">SUM(I50:I59)</f>
        <v>0</v>
      </c>
      <c r="J60" s="86">
        <f t="shared" ref="J60" si="116">SUM(J50:J59)</f>
        <v>0</v>
      </c>
      <c r="K60" s="86">
        <f t="shared" ref="K60" si="117">SUM(K50:K59)</f>
        <v>0</v>
      </c>
      <c r="L60" s="86">
        <f t="shared" ref="L60" si="118">SUM(L50:L59)</f>
        <v>0</v>
      </c>
      <c r="M60" s="18">
        <f t="shared" ref="M60" si="119">SUM(M50:M59)</f>
        <v>0</v>
      </c>
      <c r="N60" s="86">
        <f t="shared" ref="N60" si="120">SUM(N50:N59)</f>
        <v>0</v>
      </c>
      <c r="O60" s="86">
        <f t="shared" ref="O60" si="121">SUM(O50:O59)</f>
        <v>0</v>
      </c>
      <c r="P60" s="86">
        <f t="shared" ref="P60" si="122">SUM(P50:P59)</f>
        <v>0</v>
      </c>
      <c r="Q60" s="86">
        <f t="shared" ref="Q60" si="123">SUM(Q50:Q59)</f>
        <v>0</v>
      </c>
      <c r="R60" s="19">
        <f t="shared" ref="R60" si="124">SUM(R50:R59)</f>
        <v>0</v>
      </c>
      <c r="S60" s="20">
        <f t="shared" ref="S60" si="125">SUM(S50:S59)</f>
        <v>0</v>
      </c>
      <c r="T60" s="20">
        <f t="shared" ref="T60" si="126">SUM(T50:T59)</f>
        <v>0</v>
      </c>
      <c r="U60" s="20">
        <f t="shared" ref="U60" si="127">SUM(U50:U59)</f>
        <v>0</v>
      </c>
    </row>
    <row r="61" spans="2:36" ht="15.75" hidden="1" outlineLevel="1" thickTop="1" x14ac:dyDescent="0.25"/>
    <row r="62" spans="2:36" hidden="1" outlineLevel="1" x14ac:dyDescent="0.25"/>
    <row r="63" spans="2:36" hidden="1" outlineLevel="1" x14ac:dyDescent="0.25"/>
    <row r="64" spans="2:36" hidden="1" outlineLevel="1" x14ac:dyDescent="0.25">
      <c r="E64" s="4" t="s">
        <v>109</v>
      </c>
      <c r="W64" s="4" t="str">
        <f>E64</f>
        <v>Short Term Deferred Revenue</v>
      </c>
    </row>
    <row r="65" spans="2:36" hidden="1" outlineLevel="1" x14ac:dyDescent="0.25">
      <c r="E65" s="6" t="s">
        <v>25</v>
      </c>
      <c r="W65" s="61" t="s">
        <v>134</v>
      </c>
    </row>
    <row r="66" spans="2:36" hidden="1" outlineLevel="1" x14ac:dyDescent="0.25"/>
    <row r="67" spans="2:36" hidden="1" outlineLevel="1" x14ac:dyDescent="0.25">
      <c r="F67" s="12">
        <f>Inputs!$C$7</f>
        <v>2023</v>
      </c>
      <c r="G67" s="12">
        <f>Inputs!$C$8</f>
        <v>2024</v>
      </c>
      <c r="H67" s="12">
        <f>Inputs!$C$9</f>
        <v>2025</v>
      </c>
      <c r="I67" s="13" t="s">
        <v>1</v>
      </c>
      <c r="J67" s="13" t="s">
        <v>2</v>
      </c>
      <c r="K67" s="13" t="s">
        <v>3</v>
      </c>
      <c r="L67" s="13" t="s">
        <v>4</v>
      </c>
      <c r="M67" s="13">
        <f>Inputs!$C$10</f>
        <v>2026</v>
      </c>
      <c r="N67" s="14" t="s">
        <v>1</v>
      </c>
      <c r="O67" s="14" t="s">
        <v>2</v>
      </c>
      <c r="P67" s="14" t="s">
        <v>3</v>
      </c>
      <c r="Q67" s="14" t="s">
        <v>4</v>
      </c>
      <c r="R67" s="15">
        <f>Inputs!$C$11</f>
        <v>2027</v>
      </c>
      <c r="S67" s="16">
        <f>Inputs!$C$12</f>
        <v>2028</v>
      </c>
      <c r="T67" s="16">
        <f>Inputs!$C$13</f>
        <v>2029</v>
      </c>
      <c r="U67" s="16">
        <f>Inputs!$C$14</f>
        <v>2030</v>
      </c>
      <c r="X67" s="13" t="s">
        <v>1</v>
      </c>
      <c r="Y67" s="13" t="s">
        <v>2</v>
      </c>
      <c r="Z67" s="13" t="s">
        <v>3</v>
      </c>
      <c r="AA67" s="13" t="s">
        <v>4</v>
      </c>
      <c r="AB67" s="13">
        <f>Inputs!$C$10</f>
        <v>2026</v>
      </c>
      <c r="AC67" s="14" t="s">
        <v>1</v>
      </c>
      <c r="AD67" s="14" t="s">
        <v>2</v>
      </c>
      <c r="AE67" s="14" t="s">
        <v>3</v>
      </c>
      <c r="AF67" s="14" t="s">
        <v>4</v>
      </c>
      <c r="AG67" s="15">
        <f>Inputs!$C$11</f>
        <v>2027</v>
      </c>
      <c r="AH67" s="16">
        <f>Inputs!$C$12</f>
        <v>2028</v>
      </c>
      <c r="AI67" s="16">
        <f>Inputs!$C$13</f>
        <v>2029</v>
      </c>
      <c r="AJ67" s="16">
        <f>Inputs!$C$14</f>
        <v>2030</v>
      </c>
    </row>
    <row r="68" spans="2:36" hidden="1" outlineLevel="1" x14ac:dyDescent="0.25">
      <c r="F68" s="71" t="s">
        <v>63</v>
      </c>
      <c r="G68" s="71" t="s">
        <v>63</v>
      </c>
      <c r="H68" s="71" t="s">
        <v>63</v>
      </c>
      <c r="I68" s="71" t="s">
        <v>63</v>
      </c>
      <c r="J68" s="71" t="s">
        <v>63</v>
      </c>
      <c r="K68" s="71" t="s">
        <v>63</v>
      </c>
      <c r="L68" s="71" t="s">
        <v>63</v>
      </c>
      <c r="M68" s="71" t="s">
        <v>63</v>
      </c>
      <c r="N68" s="71" t="s">
        <v>63</v>
      </c>
      <c r="O68" s="71" t="s">
        <v>63</v>
      </c>
      <c r="P68" s="71" t="s">
        <v>63</v>
      </c>
      <c r="Q68" s="71" t="s">
        <v>63</v>
      </c>
      <c r="R68" s="71" t="s">
        <v>63</v>
      </c>
      <c r="S68" s="71" t="s">
        <v>63</v>
      </c>
      <c r="T68" s="71" t="s">
        <v>63</v>
      </c>
      <c r="U68" s="71" t="s">
        <v>63</v>
      </c>
      <c r="X68" s="63" t="s">
        <v>30</v>
      </c>
      <c r="Y68" s="63" t="s">
        <v>30</v>
      </c>
      <c r="Z68" s="63" t="s">
        <v>30</v>
      </c>
      <c r="AA68" s="63" t="s">
        <v>30</v>
      </c>
      <c r="AB68" s="62"/>
      <c r="AC68" s="63" t="s">
        <v>30</v>
      </c>
      <c r="AD68" s="63" t="s">
        <v>30</v>
      </c>
      <c r="AE68" s="63" t="s">
        <v>30</v>
      </c>
      <c r="AF68" s="63" t="s">
        <v>30</v>
      </c>
      <c r="AG68" s="62"/>
      <c r="AH68" s="63" t="s">
        <v>30</v>
      </c>
      <c r="AI68" s="63" t="s">
        <v>30</v>
      </c>
      <c r="AJ68" s="63" t="s">
        <v>30</v>
      </c>
    </row>
    <row r="69" spans="2:36" hidden="1" outlineLevel="1" x14ac:dyDescent="0.25">
      <c r="B69" s="229" t="s">
        <v>195</v>
      </c>
      <c r="E69" s="78" t="s">
        <v>129</v>
      </c>
      <c r="F69" s="21">
        <f>F469</f>
        <v>0</v>
      </c>
      <c r="G69" s="21">
        <f t="shared" ref="G69:H69" si="128">G469</f>
        <v>0</v>
      </c>
      <c r="H69" s="21">
        <f t="shared" si="128"/>
        <v>0</v>
      </c>
      <c r="I69" s="85">
        <f>IF(X69="",I469,X69)</f>
        <v>0</v>
      </c>
      <c r="J69" s="85">
        <f t="shared" ref="J69:J78" si="129">IF(Y69="",J469,Y69)</f>
        <v>0</v>
      </c>
      <c r="K69" s="85">
        <f t="shared" ref="K69:K78" si="130">IF(Z69="",K469,Z69)</f>
        <v>0</v>
      </c>
      <c r="L69" s="85">
        <f t="shared" ref="L69:L78" si="131">IF(AA69="",L469,AA69)</f>
        <v>0</v>
      </c>
      <c r="M69" s="17">
        <f>L69</f>
        <v>0</v>
      </c>
      <c r="N69" s="85">
        <f t="shared" ref="N69:N78" si="132">IF(AC69="",N469,AC69)</f>
        <v>0</v>
      </c>
      <c r="O69" s="85">
        <f t="shared" ref="O69:O78" si="133">IF(AD69="",O469,AD69)</f>
        <v>0</v>
      </c>
      <c r="P69" s="85">
        <f t="shared" ref="P69:P78" si="134">IF(AE69="",P469,AE69)</f>
        <v>0</v>
      </c>
      <c r="Q69" s="85">
        <f t="shared" ref="Q69:Q78" si="135">IF(AF69="",Q469,AF69)</f>
        <v>0</v>
      </c>
      <c r="R69" s="22">
        <f>Q69</f>
        <v>0</v>
      </c>
      <c r="S69" s="23">
        <f t="shared" ref="S69:S78" si="136">IF(AH69="",S469,AH69)</f>
        <v>0</v>
      </c>
      <c r="T69" s="23">
        <f t="shared" ref="T69:T78" si="137">IF(AI69="",T469,AI69)</f>
        <v>0</v>
      </c>
      <c r="U69" s="23">
        <f t="shared" ref="U69:U78" si="138">IF(AJ69="",U469,AJ69)</f>
        <v>0</v>
      </c>
      <c r="W69" s="78" t="str">
        <f>E69</f>
        <v>Unearned Revenue and Customer Deposits</v>
      </c>
      <c r="X69" s="64"/>
      <c r="Y69" s="64"/>
      <c r="Z69" s="64"/>
      <c r="AA69" s="64"/>
      <c r="AB69" s="60"/>
      <c r="AC69" s="64"/>
      <c r="AD69" s="64"/>
      <c r="AE69" s="64"/>
      <c r="AF69" s="64"/>
      <c r="AG69" s="60"/>
      <c r="AH69" s="64"/>
      <c r="AI69" s="64"/>
      <c r="AJ69" s="64"/>
    </row>
    <row r="70" spans="2:36" hidden="1" outlineLevel="1" x14ac:dyDescent="0.25">
      <c r="B70" s="229" t="s">
        <v>195</v>
      </c>
      <c r="E70" s="78" t="s">
        <v>77</v>
      </c>
      <c r="F70" s="21">
        <f t="shared" ref="F70:H70" si="139">F470</f>
        <v>0</v>
      </c>
      <c r="G70" s="21">
        <f t="shared" si="139"/>
        <v>0</v>
      </c>
      <c r="H70" s="21">
        <f t="shared" si="139"/>
        <v>0</v>
      </c>
      <c r="I70" s="85">
        <f t="shared" ref="I70:I78" si="140">IF(X70="",I470,X70)</f>
        <v>0</v>
      </c>
      <c r="J70" s="85">
        <f t="shared" si="129"/>
        <v>0</v>
      </c>
      <c r="K70" s="85">
        <f t="shared" si="130"/>
        <v>0</v>
      </c>
      <c r="L70" s="85">
        <f t="shared" si="131"/>
        <v>0</v>
      </c>
      <c r="M70" s="17">
        <f t="shared" ref="M70:M78" si="141">L70</f>
        <v>0</v>
      </c>
      <c r="N70" s="85">
        <f t="shared" si="132"/>
        <v>0</v>
      </c>
      <c r="O70" s="85">
        <f t="shared" si="133"/>
        <v>0</v>
      </c>
      <c r="P70" s="85">
        <f t="shared" si="134"/>
        <v>0</v>
      </c>
      <c r="Q70" s="85">
        <f t="shared" si="135"/>
        <v>0</v>
      </c>
      <c r="R70" s="22">
        <f t="shared" ref="R70:R78" si="142">Q70</f>
        <v>0</v>
      </c>
      <c r="S70" s="23">
        <f t="shared" si="136"/>
        <v>0</v>
      </c>
      <c r="T70" s="23">
        <f t="shared" si="137"/>
        <v>0</v>
      </c>
      <c r="U70" s="23">
        <f t="shared" si="138"/>
        <v>0</v>
      </c>
      <c r="W70" s="78" t="str">
        <f t="shared" ref="W70:W78" si="143">E70</f>
        <v>blank</v>
      </c>
      <c r="X70" s="64"/>
      <c r="Y70" s="64"/>
      <c r="Z70" s="64"/>
      <c r="AA70" s="64"/>
      <c r="AB70" s="60"/>
      <c r="AC70" s="64"/>
      <c r="AD70" s="64"/>
      <c r="AE70" s="64"/>
      <c r="AF70" s="64"/>
      <c r="AG70" s="60"/>
      <c r="AH70" s="64"/>
      <c r="AI70" s="64"/>
      <c r="AJ70" s="64"/>
    </row>
    <row r="71" spans="2:36" hidden="1" outlineLevel="1" x14ac:dyDescent="0.25">
      <c r="B71" s="229" t="s">
        <v>195</v>
      </c>
      <c r="E71" s="78" t="s">
        <v>77</v>
      </c>
      <c r="F71" s="21">
        <f t="shared" ref="F71:H71" si="144">F471</f>
        <v>0</v>
      </c>
      <c r="G71" s="21">
        <f t="shared" si="144"/>
        <v>0</v>
      </c>
      <c r="H71" s="21">
        <f t="shared" si="144"/>
        <v>0</v>
      </c>
      <c r="I71" s="85">
        <f t="shared" si="140"/>
        <v>0</v>
      </c>
      <c r="J71" s="85">
        <f t="shared" si="129"/>
        <v>0</v>
      </c>
      <c r="K71" s="85">
        <f t="shared" si="130"/>
        <v>0</v>
      </c>
      <c r="L71" s="85">
        <f t="shared" si="131"/>
        <v>0</v>
      </c>
      <c r="M71" s="17">
        <f t="shared" si="141"/>
        <v>0</v>
      </c>
      <c r="N71" s="85">
        <f t="shared" si="132"/>
        <v>0</v>
      </c>
      <c r="O71" s="85">
        <f t="shared" si="133"/>
        <v>0</v>
      </c>
      <c r="P71" s="85">
        <f t="shared" si="134"/>
        <v>0</v>
      </c>
      <c r="Q71" s="85">
        <f t="shared" si="135"/>
        <v>0</v>
      </c>
      <c r="R71" s="22">
        <f t="shared" si="142"/>
        <v>0</v>
      </c>
      <c r="S71" s="23">
        <f t="shared" si="136"/>
        <v>0</v>
      </c>
      <c r="T71" s="23">
        <f t="shared" si="137"/>
        <v>0</v>
      </c>
      <c r="U71" s="23">
        <f t="shared" si="138"/>
        <v>0</v>
      </c>
      <c r="W71" s="78" t="str">
        <f t="shared" si="143"/>
        <v>blank</v>
      </c>
      <c r="X71" s="64"/>
      <c r="Y71" s="64"/>
      <c r="Z71" s="64"/>
      <c r="AA71" s="64"/>
      <c r="AB71" s="60"/>
      <c r="AC71" s="64"/>
      <c r="AD71" s="64"/>
      <c r="AE71" s="64"/>
      <c r="AF71" s="64"/>
      <c r="AG71" s="60"/>
      <c r="AH71" s="64"/>
      <c r="AI71" s="64"/>
      <c r="AJ71" s="64"/>
    </row>
    <row r="72" spans="2:36" hidden="1" outlineLevel="1" x14ac:dyDescent="0.25">
      <c r="B72" s="229" t="s">
        <v>195</v>
      </c>
      <c r="E72" s="78" t="s">
        <v>77</v>
      </c>
      <c r="F72" s="21">
        <f t="shared" ref="F72:H72" si="145">F472</f>
        <v>0</v>
      </c>
      <c r="G72" s="21">
        <f t="shared" si="145"/>
        <v>0</v>
      </c>
      <c r="H72" s="21">
        <f t="shared" si="145"/>
        <v>0</v>
      </c>
      <c r="I72" s="85">
        <f t="shared" si="140"/>
        <v>0</v>
      </c>
      <c r="J72" s="85">
        <f t="shared" si="129"/>
        <v>0</v>
      </c>
      <c r="K72" s="85">
        <f t="shared" si="130"/>
        <v>0</v>
      </c>
      <c r="L72" s="85">
        <f t="shared" si="131"/>
        <v>0</v>
      </c>
      <c r="M72" s="17">
        <f t="shared" si="141"/>
        <v>0</v>
      </c>
      <c r="N72" s="85">
        <f t="shared" si="132"/>
        <v>0</v>
      </c>
      <c r="O72" s="85">
        <f t="shared" si="133"/>
        <v>0</v>
      </c>
      <c r="P72" s="85">
        <f t="shared" si="134"/>
        <v>0</v>
      </c>
      <c r="Q72" s="85">
        <f t="shared" si="135"/>
        <v>0</v>
      </c>
      <c r="R72" s="22">
        <f t="shared" si="142"/>
        <v>0</v>
      </c>
      <c r="S72" s="23">
        <f t="shared" si="136"/>
        <v>0</v>
      </c>
      <c r="T72" s="23">
        <f t="shared" si="137"/>
        <v>0</v>
      </c>
      <c r="U72" s="23">
        <f t="shared" si="138"/>
        <v>0</v>
      </c>
      <c r="W72" s="78" t="str">
        <f t="shared" si="143"/>
        <v>blank</v>
      </c>
      <c r="X72" s="64"/>
      <c r="Y72" s="64"/>
      <c r="Z72" s="64"/>
      <c r="AA72" s="64"/>
      <c r="AB72" s="60"/>
      <c r="AC72" s="64"/>
      <c r="AD72" s="64"/>
      <c r="AE72" s="64"/>
      <c r="AF72" s="64"/>
      <c r="AG72" s="60"/>
      <c r="AH72" s="64"/>
      <c r="AI72" s="64"/>
      <c r="AJ72" s="64"/>
    </row>
    <row r="73" spans="2:36" hidden="1" outlineLevel="1" x14ac:dyDescent="0.25">
      <c r="B73" s="229" t="s">
        <v>195</v>
      </c>
      <c r="E73" s="78" t="s">
        <v>77</v>
      </c>
      <c r="F73" s="21">
        <f t="shared" ref="F73:H73" si="146">F473</f>
        <v>0</v>
      </c>
      <c r="G73" s="21">
        <f t="shared" si="146"/>
        <v>0</v>
      </c>
      <c r="H73" s="21">
        <f t="shared" si="146"/>
        <v>0</v>
      </c>
      <c r="I73" s="85">
        <f t="shared" si="140"/>
        <v>0</v>
      </c>
      <c r="J73" s="85">
        <f t="shared" si="129"/>
        <v>0</v>
      </c>
      <c r="K73" s="85">
        <f t="shared" si="130"/>
        <v>0</v>
      </c>
      <c r="L73" s="85">
        <f t="shared" si="131"/>
        <v>0</v>
      </c>
      <c r="M73" s="17">
        <f t="shared" si="141"/>
        <v>0</v>
      </c>
      <c r="N73" s="85">
        <f t="shared" si="132"/>
        <v>0</v>
      </c>
      <c r="O73" s="85">
        <f t="shared" si="133"/>
        <v>0</v>
      </c>
      <c r="P73" s="85">
        <f t="shared" si="134"/>
        <v>0</v>
      </c>
      <c r="Q73" s="85">
        <f t="shared" si="135"/>
        <v>0</v>
      </c>
      <c r="R73" s="22">
        <f t="shared" si="142"/>
        <v>0</v>
      </c>
      <c r="S73" s="23">
        <f t="shared" si="136"/>
        <v>0</v>
      </c>
      <c r="T73" s="23">
        <f t="shared" si="137"/>
        <v>0</v>
      </c>
      <c r="U73" s="23">
        <f t="shared" si="138"/>
        <v>0</v>
      </c>
      <c r="W73" s="78" t="str">
        <f t="shared" si="143"/>
        <v>blank</v>
      </c>
      <c r="X73" s="64"/>
      <c r="Y73" s="64"/>
      <c r="Z73" s="64"/>
      <c r="AA73" s="64"/>
      <c r="AB73" s="60"/>
      <c r="AC73" s="64"/>
      <c r="AD73" s="64"/>
      <c r="AE73" s="64"/>
      <c r="AF73" s="64"/>
      <c r="AG73" s="60"/>
      <c r="AH73" s="64"/>
      <c r="AI73" s="64"/>
      <c r="AJ73" s="64"/>
    </row>
    <row r="74" spans="2:36" hidden="1" outlineLevel="1" x14ac:dyDescent="0.25">
      <c r="B74" s="229" t="s">
        <v>195</v>
      </c>
      <c r="E74" s="78" t="s">
        <v>77</v>
      </c>
      <c r="F74" s="21">
        <f t="shared" ref="F74:H74" si="147">F474</f>
        <v>0</v>
      </c>
      <c r="G74" s="21">
        <f t="shared" si="147"/>
        <v>0</v>
      </c>
      <c r="H74" s="21">
        <f t="shared" si="147"/>
        <v>0</v>
      </c>
      <c r="I74" s="85">
        <f t="shared" si="140"/>
        <v>0</v>
      </c>
      <c r="J74" s="85">
        <f t="shared" si="129"/>
        <v>0</v>
      </c>
      <c r="K74" s="85">
        <f t="shared" si="130"/>
        <v>0</v>
      </c>
      <c r="L74" s="85">
        <f t="shared" si="131"/>
        <v>0</v>
      </c>
      <c r="M74" s="17">
        <f t="shared" si="141"/>
        <v>0</v>
      </c>
      <c r="N74" s="85">
        <f t="shared" si="132"/>
        <v>0</v>
      </c>
      <c r="O74" s="85">
        <f t="shared" si="133"/>
        <v>0</v>
      </c>
      <c r="P74" s="85">
        <f t="shared" si="134"/>
        <v>0</v>
      </c>
      <c r="Q74" s="85">
        <f t="shared" si="135"/>
        <v>0</v>
      </c>
      <c r="R74" s="22">
        <f t="shared" si="142"/>
        <v>0</v>
      </c>
      <c r="S74" s="23">
        <f t="shared" si="136"/>
        <v>0</v>
      </c>
      <c r="T74" s="23">
        <f t="shared" si="137"/>
        <v>0</v>
      </c>
      <c r="U74" s="23">
        <f t="shared" si="138"/>
        <v>0</v>
      </c>
      <c r="W74" s="78" t="str">
        <f t="shared" si="143"/>
        <v>blank</v>
      </c>
      <c r="X74" s="64"/>
      <c r="Y74" s="64"/>
      <c r="Z74" s="64"/>
      <c r="AA74" s="64"/>
      <c r="AB74" s="60"/>
      <c r="AC74" s="64"/>
      <c r="AD74" s="64"/>
      <c r="AE74" s="64"/>
      <c r="AF74" s="64"/>
      <c r="AG74" s="60"/>
      <c r="AH74" s="64"/>
      <c r="AI74" s="64"/>
      <c r="AJ74" s="64"/>
    </row>
    <row r="75" spans="2:36" hidden="1" outlineLevel="1" x14ac:dyDescent="0.25">
      <c r="B75" s="229" t="s">
        <v>195</v>
      </c>
      <c r="E75" s="78" t="s">
        <v>77</v>
      </c>
      <c r="F75" s="21">
        <f t="shared" ref="F75:H75" si="148">F475</f>
        <v>0</v>
      </c>
      <c r="G75" s="21">
        <f t="shared" si="148"/>
        <v>0</v>
      </c>
      <c r="H75" s="21">
        <f t="shared" si="148"/>
        <v>0</v>
      </c>
      <c r="I75" s="85">
        <f t="shared" si="140"/>
        <v>0</v>
      </c>
      <c r="J75" s="85">
        <f t="shared" si="129"/>
        <v>0</v>
      </c>
      <c r="K75" s="85">
        <f t="shared" si="130"/>
        <v>0</v>
      </c>
      <c r="L75" s="85">
        <f t="shared" si="131"/>
        <v>0</v>
      </c>
      <c r="M75" s="17">
        <f t="shared" si="141"/>
        <v>0</v>
      </c>
      <c r="N75" s="85">
        <f t="shared" si="132"/>
        <v>0</v>
      </c>
      <c r="O75" s="85">
        <f t="shared" si="133"/>
        <v>0</v>
      </c>
      <c r="P75" s="85">
        <f t="shared" si="134"/>
        <v>0</v>
      </c>
      <c r="Q75" s="85">
        <f t="shared" si="135"/>
        <v>0</v>
      </c>
      <c r="R75" s="22">
        <f t="shared" si="142"/>
        <v>0</v>
      </c>
      <c r="S75" s="23">
        <f t="shared" si="136"/>
        <v>0</v>
      </c>
      <c r="T75" s="23">
        <f t="shared" si="137"/>
        <v>0</v>
      </c>
      <c r="U75" s="23">
        <f t="shared" si="138"/>
        <v>0</v>
      </c>
      <c r="W75" s="78" t="str">
        <f t="shared" si="143"/>
        <v>blank</v>
      </c>
      <c r="X75" s="64"/>
      <c r="Y75" s="64"/>
      <c r="Z75" s="64"/>
      <c r="AA75" s="64"/>
      <c r="AB75" s="60"/>
      <c r="AC75" s="64"/>
      <c r="AD75" s="64"/>
      <c r="AE75" s="64"/>
      <c r="AF75" s="64"/>
      <c r="AG75" s="60"/>
      <c r="AH75" s="64"/>
      <c r="AI75" s="64"/>
      <c r="AJ75" s="64"/>
    </row>
    <row r="76" spans="2:36" hidden="1" outlineLevel="1" x14ac:dyDescent="0.25">
      <c r="B76" s="229" t="s">
        <v>195</v>
      </c>
      <c r="E76" s="78" t="s">
        <v>77</v>
      </c>
      <c r="F76" s="21">
        <f t="shared" ref="F76:H76" si="149">F476</f>
        <v>0</v>
      </c>
      <c r="G76" s="21">
        <f t="shared" si="149"/>
        <v>0</v>
      </c>
      <c r="H76" s="21">
        <f t="shared" si="149"/>
        <v>0</v>
      </c>
      <c r="I76" s="85">
        <f t="shared" si="140"/>
        <v>0</v>
      </c>
      <c r="J76" s="85">
        <f t="shared" si="129"/>
        <v>0</v>
      </c>
      <c r="K76" s="85">
        <f t="shared" si="130"/>
        <v>0</v>
      </c>
      <c r="L76" s="85">
        <f t="shared" si="131"/>
        <v>0</v>
      </c>
      <c r="M76" s="17">
        <f t="shared" si="141"/>
        <v>0</v>
      </c>
      <c r="N76" s="85">
        <f t="shared" si="132"/>
        <v>0</v>
      </c>
      <c r="O76" s="85">
        <f t="shared" si="133"/>
        <v>0</v>
      </c>
      <c r="P76" s="85">
        <f t="shared" si="134"/>
        <v>0</v>
      </c>
      <c r="Q76" s="85">
        <f t="shared" si="135"/>
        <v>0</v>
      </c>
      <c r="R76" s="22">
        <f t="shared" si="142"/>
        <v>0</v>
      </c>
      <c r="S76" s="23">
        <f t="shared" si="136"/>
        <v>0</v>
      </c>
      <c r="T76" s="23">
        <f t="shared" si="137"/>
        <v>0</v>
      </c>
      <c r="U76" s="23">
        <f t="shared" si="138"/>
        <v>0</v>
      </c>
      <c r="W76" s="78" t="str">
        <f t="shared" si="143"/>
        <v>blank</v>
      </c>
      <c r="X76" s="64"/>
      <c r="Y76" s="64"/>
      <c r="Z76" s="64"/>
      <c r="AA76" s="64"/>
      <c r="AB76" s="60"/>
      <c r="AC76" s="64"/>
      <c r="AD76" s="64"/>
      <c r="AE76" s="64"/>
      <c r="AF76" s="64"/>
      <c r="AG76" s="60"/>
      <c r="AH76" s="64"/>
      <c r="AI76" s="64"/>
      <c r="AJ76" s="64"/>
    </row>
    <row r="77" spans="2:36" hidden="1" outlineLevel="1" x14ac:dyDescent="0.25">
      <c r="B77" s="229" t="s">
        <v>195</v>
      </c>
      <c r="E77" s="78" t="s">
        <v>77</v>
      </c>
      <c r="F77" s="21">
        <f t="shared" ref="F77:H77" si="150">F477</f>
        <v>0</v>
      </c>
      <c r="G77" s="21">
        <f t="shared" si="150"/>
        <v>0</v>
      </c>
      <c r="H77" s="21">
        <f t="shared" si="150"/>
        <v>0</v>
      </c>
      <c r="I77" s="85">
        <f t="shared" si="140"/>
        <v>0</v>
      </c>
      <c r="J77" s="85">
        <f t="shared" si="129"/>
        <v>0</v>
      </c>
      <c r="K77" s="85">
        <f t="shared" si="130"/>
        <v>0</v>
      </c>
      <c r="L77" s="85">
        <f t="shared" si="131"/>
        <v>0</v>
      </c>
      <c r="M77" s="17">
        <f t="shared" si="141"/>
        <v>0</v>
      </c>
      <c r="N77" s="85">
        <f t="shared" si="132"/>
        <v>0</v>
      </c>
      <c r="O77" s="85">
        <f t="shared" si="133"/>
        <v>0</v>
      </c>
      <c r="P77" s="85">
        <f t="shared" si="134"/>
        <v>0</v>
      </c>
      <c r="Q77" s="85">
        <f t="shared" si="135"/>
        <v>0</v>
      </c>
      <c r="R77" s="22">
        <f t="shared" si="142"/>
        <v>0</v>
      </c>
      <c r="S77" s="23">
        <f t="shared" si="136"/>
        <v>0</v>
      </c>
      <c r="T77" s="23">
        <f t="shared" si="137"/>
        <v>0</v>
      </c>
      <c r="U77" s="23">
        <f t="shared" si="138"/>
        <v>0</v>
      </c>
      <c r="W77" s="78" t="str">
        <f t="shared" si="143"/>
        <v>blank</v>
      </c>
      <c r="X77" s="64"/>
      <c r="Y77" s="64"/>
      <c r="Z77" s="64"/>
      <c r="AA77" s="64"/>
      <c r="AB77" s="60"/>
      <c r="AC77" s="64"/>
      <c r="AD77" s="64"/>
      <c r="AE77" s="64"/>
      <c r="AF77" s="64"/>
      <c r="AG77" s="60"/>
      <c r="AH77" s="64"/>
      <c r="AI77" s="64"/>
      <c r="AJ77" s="64"/>
    </row>
    <row r="78" spans="2:36" hidden="1" outlineLevel="1" x14ac:dyDescent="0.25">
      <c r="B78" s="229" t="s">
        <v>195</v>
      </c>
      <c r="E78" s="78" t="s">
        <v>77</v>
      </c>
      <c r="F78" s="21">
        <f t="shared" ref="F78:H78" si="151">F478</f>
        <v>0</v>
      </c>
      <c r="G78" s="21">
        <f t="shared" si="151"/>
        <v>0</v>
      </c>
      <c r="H78" s="21">
        <f t="shared" si="151"/>
        <v>0</v>
      </c>
      <c r="I78" s="85">
        <f t="shared" si="140"/>
        <v>0</v>
      </c>
      <c r="J78" s="85">
        <f t="shared" si="129"/>
        <v>0</v>
      </c>
      <c r="K78" s="85">
        <f t="shared" si="130"/>
        <v>0</v>
      </c>
      <c r="L78" s="85">
        <f t="shared" si="131"/>
        <v>0</v>
      </c>
      <c r="M78" s="17">
        <f t="shared" si="141"/>
        <v>0</v>
      </c>
      <c r="N78" s="85">
        <f t="shared" si="132"/>
        <v>0</v>
      </c>
      <c r="O78" s="85">
        <f t="shared" si="133"/>
        <v>0</v>
      </c>
      <c r="P78" s="85">
        <f t="shared" si="134"/>
        <v>0</v>
      </c>
      <c r="Q78" s="85">
        <f t="shared" si="135"/>
        <v>0</v>
      </c>
      <c r="R78" s="22">
        <f t="shared" si="142"/>
        <v>0</v>
      </c>
      <c r="S78" s="23">
        <f t="shared" si="136"/>
        <v>0</v>
      </c>
      <c r="T78" s="23">
        <f t="shared" si="137"/>
        <v>0</v>
      </c>
      <c r="U78" s="23">
        <f t="shared" si="138"/>
        <v>0</v>
      </c>
      <c r="W78" s="78" t="str">
        <f t="shared" si="143"/>
        <v>blank</v>
      </c>
      <c r="X78" s="64"/>
      <c r="Y78" s="64"/>
      <c r="Z78" s="64"/>
      <c r="AA78" s="64"/>
      <c r="AB78" s="60"/>
      <c r="AC78" s="64"/>
      <c r="AD78" s="64"/>
      <c r="AE78" s="64"/>
      <c r="AF78" s="64"/>
      <c r="AG78" s="60"/>
      <c r="AH78" s="64"/>
      <c r="AI78" s="64"/>
      <c r="AJ78" s="64"/>
    </row>
    <row r="79" spans="2:36" ht="15.75" hidden="1" outlineLevel="1" thickBot="1" x14ac:dyDescent="0.3">
      <c r="E79" s="8" t="s">
        <v>130</v>
      </c>
      <c r="F79" s="9">
        <f>SUM(F69:F78)</f>
        <v>0</v>
      </c>
      <c r="G79" s="9">
        <f t="shared" ref="G79" si="152">SUM(G69:G78)</f>
        <v>0</v>
      </c>
      <c r="H79" s="9">
        <f t="shared" ref="H79" si="153">SUM(H69:H78)</f>
        <v>0</v>
      </c>
      <c r="I79" s="86">
        <f t="shared" ref="I79" si="154">SUM(I69:I78)</f>
        <v>0</v>
      </c>
      <c r="J79" s="86">
        <f t="shared" ref="J79" si="155">SUM(J69:J78)</f>
        <v>0</v>
      </c>
      <c r="K79" s="86">
        <f t="shared" ref="K79" si="156">SUM(K69:K78)</f>
        <v>0</v>
      </c>
      <c r="L79" s="86">
        <f t="shared" ref="L79" si="157">SUM(L69:L78)</f>
        <v>0</v>
      </c>
      <c r="M79" s="18">
        <f t="shared" ref="M79" si="158">SUM(M69:M78)</f>
        <v>0</v>
      </c>
      <c r="N79" s="86">
        <f t="shared" ref="N79" si="159">SUM(N69:N78)</f>
        <v>0</v>
      </c>
      <c r="O79" s="86">
        <f t="shared" ref="O79" si="160">SUM(O69:O78)</f>
        <v>0</v>
      </c>
      <c r="P79" s="86">
        <f t="shared" ref="P79" si="161">SUM(P69:P78)</f>
        <v>0</v>
      </c>
      <c r="Q79" s="86">
        <f t="shared" ref="Q79" si="162">SUM(Q69:Q78)</f>
        <v>0</v>
      </c>
      <c r="R79" s="19">
        <f t="shared" ref="R79" si="163">SUM(R69:R78)</f>
        <v>0</v>
      </c>
      <c r="S79" s="20">
        <f t="shared" ref="S79" si="164">SUM(S69:S78)</f>
        <v>0</v>
      </c>
      <c r="T79" s="20">
        <f t="shared" ref="T79" si="165">SUM(T69:T78)</f>
        <v>0</v>
      </c>
      <c r="U79" s="20">
        <f t="shared" ref="U79" si="166">SUM(U69:U78)</f>
        <v>0</v>
      </c>
    </row>
    <row r="80" spans="2:36" ht="15.75" hidden="1" outlineLevel="1" thickTop="1" x14ac:dyDescent="0.25">
      <c r="F80" s="24"/>
      <c r="G80" s="25"/>
      <c r="H80" s="25"/>
      <c r="I80" s="25"/>
      <c r="J80" s="25"/>
      <c r="K80" s="25"/>
      <c r="L80" s="25"/>
      <c r="M80" s="25"/>
      <c r="N80" s="25"/>
      <c r="O80" s="25"/>
      <c r="P80" s="25"/>
      <c r="Q80" s="25"/>
      <c r="R80" s="25"/>
      <c r="S80" s="25"/>
      <c r="T80" s="25"/>
      <c r="U80" s="25"/>
    </row>
    <row r="81" spans="2:36" hidden="1" outlineLevel="1" x14ac:dyDescent="0.25"/>
    <row r="82" spans="2:36" hidden="1" outlineLevel="1" x14ac:dyDescent="0.25"/>
    <row r="83" spans="2:36" ht="18.75" collapsed="1" x14ac:dyDescent="0.3">
      <c r="B83" s="4" t="s">
        <v>34</v>
      </c>
      <c r="C83" s="4" t="s">
        <v>387</v>
      </c>
      <c r="E83" s="53" t="str">
        <f>"Scenario 2: "&amp;Inputs!B23</f>
        <v>Scenario 2: Scenario 2</v>
      </c>
      <c r="F83" s="49"/>
      <c r="G83" s="49"/>
      <c r="H83" s="49"/>
      <c r="I83" s="49"/>
      <c r="J83" s="49"/>
      <c r="K83" s="49"/>
      <c r="L83" s="49"/>
      <c r="M83" s="49"/>
      <c r="N83" s="49"/>
      <c r="O83" s="49"/>
      <c r="P83" s="49"/>
      <c r="Q83" s="49"/>
      <c r="R83" s="49"/>
      <c r="S83" s="49"/>
      <c r="T83" s="49"/>
      <c r="U83" s="49"/>
    </row>
    <row r="84" spans="2:36" hidden="1" outlineLevel="1" x14ac:dyDescent="0.25">
      <c r="E84" s="52" t="str">
        <f>Inputs!C23</f>
        <v>Scenario 2 Description</v>
      </c>
    </row>
    <row r="85" spans="2:36" hidden="1" outlineLevel="1" x14ac:dyDescent="0.25"/>
    <row r="86" spans="2:36" hidden="1" outlineLevel="1" x14ac:dyDescent="0.25"/>
    <row r="87" spans="2:36" hidden="1" outlineLevel="1" x14ac:dyDescent="0.25">
      <c r="E87" s="4" t="s">
        <v>116</v>
      </c>
      <c r="W87" s="4" t="str">
        <f>E87</f>
        <v>Inventory (Gross Inventory + Inventory Reserves)</v>
      </c>
    </row>
    <row r="88" spans="2:36" hidden="1" outlineLevel="1" x14ac:dyDescent="0.25">
      <c r="E88" s="6" t="s">
        <v>25</v>
      </c>
      <c r="W88" s="61" t="s">
        <v>62</v>
      </c>
    </row>
    <row r="89" spans="2:36" hidden="1" outlineLevel="1" x14ac:dyDescent="0.25"/>
    <row r="90" spans="2:36" hidden="1" outlineLevel="1" x14ac:dyDescent="0.25">
      <c r="F90" s="12">
        <f>Inputs!$C$7</f>
        <v>2023</v>
      </c>
      <c r="G90" s="12">
        <f>Inputs!$C$8</f>
        <v>2024</v>
      </c>
      <c r="H90" s="12">
        <f>Inputs!$C$9</f>
        <v>2025</v>
      </c>
      <c r="I90" s="13" t="s">
        <v>1</v>
      </c>
      <c r="J90" s="13" t="s">
        <v>2</v>
      </c>
      <c r="K90" s="13" t="s">
        <v>3</v>
      </c>
      <c r="L90" s="13" t="s">
        <v>4</v>
      </c>
      <c r="M90" s="13">
        <f>Inputs!$C$10</f>
        <v>2026</v>
      </c>
      <c r="N90" s="14" t="s">
        <v>1</v>
      </c>
      <c r="O90" s="14" t="s">
        <v>2</v>
      </c>
      <c r="P90" s="14" t="s">
        <v>3</v>
      </c>
      <c r="Q90" s="14" t="s">
        <v>4</v>
      </c>
      <c r="R90" s="15">
        <f>Inputs!$C$11</f>
        <v>2027</v>
      </c>
      <c r="S90" s="16">
        <f>Inputs!$C$12</f>
        <v>2028</v>
      </c>
      <c r="T90" s="16">
        <f>Inputs!$C$13</f>
        <v>2029</v>
      </c>
      <c r="U90" s="16">
        <f>Inputs!$C$14</f>
        <v>2030</v>
      </c>
      <c r="X90" s="13" t="s">
        <v>1</v>
      </c>
      <c r="Y90" s="13" t="s">
        <v>2</v>
      </c>
      <c r="Z90" s="13" t="s">
        <v>3</v>
      </c>
      <c r="AA90" s="13" t="s">
        <v>4</v>
      </c>
      <c r="AB90" s="13">
        <f>Inputs!$C$10</f>
        <v>2026</v>
      </c>
      <c r="AC90" s="14" t="s">
        <v>1</v>
      </c>
      <c r="AD90" s="14" t="s">
        <v>2</v>
      </c>
      <c r="AE90" s="14" t="s">
        <v>3</v>
      </c>
      <c r="AF90" s="14" t="s">
        <v>4</v>
      </c>
      <c r="AG90" s="15">
        <f>Inputs!$C$11</f>
        <v>2027</v>
      </c>
      <c r="AH90" s="16">
        <f>Inputs!$C$12</f>
        <v>2028</v>
      </c>
      <c r="AI90" s="16">
        <f>Inputs!$C$13</f>
        <v>2029</v>
      </c>
      <c r="AJ90" s="16">
        <f>Inputs!$C$14</f>
        <v>2030</v>
      </c>
    </row>
    <row r="91" spans="2:36" hidden="1" outlineLevel="1" x14ac:dyDescent="0.25">
      <c r="F91" s="71" t="s">
        <v>63</v>
      </c>
      <c r="G91" s="71" t="s">
        <v>63</v>
      </c>
      <c r="H91" s="71" t="s">
        <v>63</v>
      </c>
      <c r="I91" s="71" t="s">
        <v>63</v>
      </c>
      <c r="J91" s="71" t="s">
        <v>63</v>
      </c>
      <c r="K91" s="71" t="s">
        <v>63</v>
      </c>
      <c r="L91" s="71" t="s">
        <v>63</v>
      </c>
      <c r="M91" s="71" t="s">
        <v>63</v>
      </c>
      <c r="N91" s="71" t="s">
        <v>63</v>
      </c>
      <c r="O91" s="71" t="s">
        <v>63</v>
      </c>
      <c r="P91" s="71" t="s">
        <v>63</v>
      </c>
      <c r="Q91" s="71" t="s">
        <v>63</v>
      </c>
      <c r="R91" s="71" t="s">
        <v>63</v>
      </c>
      <c r="S91" s="71" t="s">
        <v>63</v>
      </c>
      <c r="T91" s="71" t="s">
        <v>63</v>
      </c>
      <c r="U91" s="71" t="s">
        <v>63</v>
      </c>
      <c r="X91" s="63" t="s">
        <v>30</v>
      </c>
      <c r="Y91" s="63" t="s">
        <v>30</v>
      </c>
      <c r="Z91" s="63" t="s">
        <v>30</v>
      </c>
      <c r="AA91" s="63" t="s">
        <v>30</v>
      </c>
      <c r="AB91" s="62"/>
      <c r="AC91" s="63" t="s">
        <v>30</v>
      </c>
      <c r="AD91" s="63" t="s">
        <v>30</v>
      </c>
      <c r="AE91" s="63" t="s">
        <v>30</v>
      </c>
      <c r="AF91" s="63" t="s">
        <v>30</v>
      </c>
      <c r="AG91" s="62"/>
      <c r="AH91" s="63" t="s">
        <v>30</v>
      </c>
      <c r="AI91" s="63" t="s">
        <v>30</v>
      </c>
      <c r="AJ91" s="63" t="s">
        <v>30</v>
      </c>
    </row>
    <row r="92" spans="2:36" hidden="1" outlineLevel="1" x14ac:dyDescent="0.25">
      <c r="B92" s="229" t="s">
        <v>195</v>
      </c>
      <c r="C92" s="229"/>
      <c r="E92" s="78" t="s">
        <v>110</v>
      </c>
      <c r="F92" s="21">
        <f>F412</f>
        <v>0</v>
      </c>
      <c r="G92" s="21">
        <f t="shared" ref="G92:H92" si="167">G412</f>
        <v>0</v>
      </c>
      <c r="H92" s="21">
        <f t="shared" si="167"/>
        <v>0</v>
      </c>
      <c r="I92" s="85">
        <f>IF(X92="",I412,X92)</f>
        <v>0</v>
      </c>
      <c r="J92" s="85">
        <f t="shared" ref="J92:L92" si="168">IF(Y92="",J412,Y92)</f>
        <v>0</v>
      </c>
      <c r="K92" s="85">
        <f t="shared" si="168"/>
        <v>0</v>
      </c>
      <c r="L92" s="85">
        <f t="shared" si="168"/>
        <v>0</v>
      </c>
      <c r="M92" s="17">
        <f>L92</f>
        <v>0</v>
      </c>
      <c r="N92" s="85">
        <f t="shared" ref="N92:Q92" si="169">IF(AC92="",N412,AC92)</f>
        <v>0</v>
      </c>
      <c r="O92" s="85">
        <f t="shared" si="169"/>
        <v>0</v>
      </c>
      <c r="P92" s="85">
        <f t="shared" si="169"/>
        <v>0</v>
      </c>
      <c r="Q92" s="85">
        <f t="shared" si="169"/>
        <v>0</v>
      </c>
      <c r="R92" s="22">
        <f>Q92</f>
        <v>0</v>
      </c>
      <c r="S92" s="23">
        <f t="shared" ref="S92:U92" si="170">IF(AH92="",S412,AH92)</f>
        <v>0</v>
      </c>
      <c r="T92" s="23">
        <f t="shared" si="170"/>
        <v>0</v>
      </c>
      <c r="U92" s="23">
        <f t="shared" si="170"/>
        <v>0</v>
      </c>
      <c r="W92" s="78" t="str">
        <f>E92</f>
        <v>Finished Goods</v>
      </c>
      <c r="X92" s="64"/>
      <c r="Y92" s="64"/>
      <c r="Z92" s="64"/>
      <c r="AA92" s="64"/>
      <c r="AB92" s="60"/>
      <c r="AC92" s="64"/>
      <c r="AD92" s="64"/>
      <c r="AE92" s="64"/>
      <c r="AF92" s="64"/>
      <c r="AG92" s="60"/>
      <c r="AH92" s="64"/>
      <c r="AI92" s="64"/>
      <c r="AJ92" s="64"/>
    </row>
    <row r="93" spans="2:36" hidden="1" outlineLevel="1" x14ac:dyDescent="0.25">
      <c r="B93" s="229" t="s">
        <v>195</v>
      </c>
      <c r="E93" s="78" t="s">
        <v>111</v>
      </c>
      <c r="F93" s="21">
        <f t="shared" ref="F93:H93" si="171">F413</f>
        <v>0</v>
      </c>
      <c r="G93" s="21">
        <f t="shared" si="171"/>
        <v>0</v>
      </c>
      <c r="H93" s="21">
        <f t="shared" si="171"/>
        <v>0</v>
      </c>
      <c r="I93" s="85">
        <f t="shared" ref="I93:L93" si="172">IF(X93="",I413,X93)</f>
        <v>0</v>
      </c>
      <c r="J93" s="85">
        <f t="shared" si="172"/>
        <v>0</v>
      </c>
      <c r="K93" s="85">
        <f t="shared" si="172"/>
        <v>0</v>
      </c>
      <c r="L93" s="85">
        <f t="shared" si="172"/>
        <v>0</v>
      </c>
      <c r="M93" s="17">
        <f t="shared" ref="M93:M101" si="173">L93</f>
        <v>0</v>
      </c>
      <c r="N93" s="85">
        <f t="shared" ref="N93:Q93" si="174">IF(AC93="",N413,AC93)</f>
        <v>0</v>
      </c>
      <c r="O93" s="85">
        <f t="shared" si="174"/>
        <v>0</v>
      </c>
      <c r="P93" s="85">
        <f t="shared" si="174"/>
        <v>0</v>
      </c>
      <c r="Q93" s="85">
        <f t="shared" si="174"/>
        <v>0</v>
      </c>
      <c r="R93" s="22">
        <f t="shared" ref="R93:R101" si="175">Q93</f>
        <v>0</v>
      </c>
      <c r="S93" s="23">
        <f t="shared" ref="S93:U93" si="176">IF(AH93="",S413,AH93)</f>
        <v>0</v>
      </c>
      <c r="T93" s="23">
        <f t="shared" si="176"/>
        <v>0</v>
      </c>
      <c r="U93" s="23">
        <f t="shared" si="176"/>
        <v>0</v>
      </c>
      <c r="W93" s="78" t="str">
        <f t="shared" ref="W93:W101" si="177">E93</f>
        <v>Raw Materials</v>
      </c>
      <c r="X93" s="64"/>
      <c r="Y93" s="64"/>
      <c r="Z93" s="64"/>
      <c r="AA93" s="64"/>
      <c r="AB93" s="60"/>
      <c r="AC93" s="64"/>
      <c r="AD93" s="64"/>
      <c r="AE93" s="64"/>
      <c r="AF93" s="64"/>
      <c r="AG93" s="60"/>
      <c r="AH93" s="64"/>
      <c r="AI93" s="64"/>
      <c r="AJ93" s="64"/>
    </row>
    <row r="94" spans="2:36" hidden="1" outlineLevel="1" x14ac:dyDescent="0.25">
      <c r="B94" s="229" t="s">
        <v>195</v>
      </c>
      <c r="E94" s="78" t="s">
        <v>112</v>
      </c>
      <c r="F94" s="21">
        <f t="shared" ref="F94:H94" si="178">F414</f>
        <v>0</v>
      </c>
      <c r="G94" s="21">
        <f t="shared" si="178"/>
        <v>0</v>
      </c>
      <c r="H94" s="21">
        <f t="shared" si="178"/>
        <v>0</v>
      </c>
      <c r="I94" s="85">
        <f t="shared" ref="I94:L94" si="179">IF(X94="",I414,X94)</f>
        <v>0</v>
      </c>
      <c r="J94" s="85">
        <f t="shared" si="179"/>
        <v>0</v>
      </c>
      <c r="K94" s="85">
        <f t="shared" si="179"/>
        <v>0</v>
      </c>
      <c r="L94" s="85">
        <f t="shared" si="179"/>
        <v>0</v>
      </c>
      <c r="M94" s="17">
        <f t="shared" si="173"/>
        <v>0</v>
      </c>
      <c r="N94" s="85">
        <f t="shared" ref="N94:Q94" si="180">IF(AC94="",N414,AC94)</f>
        <v>0</v>
      </c>
      <c r="O94" s="85">
        <f t="shared" si="180"/>
        <v>0</v>
      </c>
      <c r="P94" s="85">
        <f t="shared" si="180"/>
        <v>0</v>
      </c>
      <c r="Q94" s="85">
        <f t="shared" si="180"/>
        <v>0</v>
      </c>
      <c r="R94" s="22">
        <f t="shared" si="175"/>
        <v>0</v>
      </c>
      <c r="S94" s="23">
        <f t="shared" ref="S94:U94" si="181">IF(AH94="",S414,AH94)</f>
        <v>0</v>
      </c>
      <c r="T94" s="23">
        <f t="shared" si="181"/>
        <v>0</v>
      </c>
      <c r="U94" s="23">
        <f t="shared" si="181"/>
        <v>0</v>
      </c>
      <c r="W94" s="78" t="str">
        <f t="shared" si="177"/>
        <v>Capitalized Variances</v>
      </c>
      <c r="X94" s="64"/>
      <c r="Y94" s="64"/>
      <c r="Z94" s="64"/>
      <c r="AA94" s="64"/>
      <c r="AB94" s="60"/>
      <c r="AC94" s="64"/>
      <c r="AD94" s="64"/>
      <c r="AE94" s="64"/>
      <c r="AF94" s="64"/>
      <c r="AG94" s="60"/>
      <c r="AH94" s="64"/>
      <c r="AI94" s="64"/>
      <c r="AJ94" s="64"/>
    </row>
    <row r="95" spans="2:36" hidden="1" outlineLevel="1" x14ac:dyDescent="0.25">
      <c r="B95" s="229" t="s">
        <v>195</v>
      </c>
      <c r="E95" s="78" t="s">
        <v>113</v>
      </c>
      <c r="F95" s="21">
        <f t="shared" ref="F95:H95" si="182">F415</f>
        <v>0</v>
      </c>
      <c r="G95" s="21">
        <f t="shared" si="182"/>
        <v>0</v>
      </c>
      <c r="H95" s="21">
        <f t="shared" si="182"/>
        <v>0</v>
      </c>
      <c r="I95" s="85">
        <f t="shared" ref="I95:L95" si="183">IF(X95="",I415,X95)</f>
        <v>0</v>
      </c>
      <c r="J95" s="85">
        <f t="shared" si="183"/>
        <v>0</v>
      </c>
      <c r="K95" s="85">
        <f t="shared" si="183"/>
        <v>0</v>
      </c>
      <c r="L95" s="85">
        <f t="shared" si="183"/>
        <v>0</v>
      </c>
      <c r="M95" s="17">
        <f t="shared" si="173"/>
        <v>0</v>
      </c>
      <c r="N95" s="85">
        <f t="shared" ref="N95:Q95" si="184">IF(AC95="",N415,AC95)</f>
        <v>0</v>
      </c>
      <c r="O95" s="85">
        <f t="shared" si="184"/>
        <v>0</v>
      </c>
      <c r="P95" s="85">
        <f t="shared" si="184"/>
        <v>0</v>
      </c>
      <c r="Q95" s="85">
        <f t="shared" si="184"/>
        <v>0</v>
      </c>
      <c r="R95" s="22">
        <f t="shared" si="175"/>
        <v>0</v>
      </c>
      <c r="S95" s="23">
        <f t="shared" ref="S95:U95" si="185">IF(AH95="",S415,AH95)</f>
        <v>0</v>
      </c>
      <c r="T95" s="23">
        <f t="shared" si="185"/>
        <v>0</v>
      </c>
      <c r="U95" s="23">
        <f t="shared" si="185"/>
        <v>0</v>
      </c>
      <c r="W95" s="78" t="str">
        <f t="shared" si="177"/>
        <v>Capitalized Overhead</v>
      </c>
      <c r="X95" s="64"/>
      <c r="Y95" s="64"/>
      <c r="Z95" s="64"/>
      <c r="AA95" s="64"/>
      <c r="AB95" s="60"/>
      <c r="AC95" s="64"/>
      <c r="AD95" s="64"/>
      <c r="AE95" s="64"/>
      <c r="AF95" s="64"/>
      <c r="AG95" s="60"/>
      <c r="AH95" s="64"/>
      <c r="AI95" s="64"/>
      <c r="AJ95" s="64"/>
    </row>
    <row r="96" spans="2:36" hidden="1" outlineLevel="1" x14ac:dyDescent="0.25">
      <c r="B96" s="229" t="s">
        <v>195</v>
      </c>
      <c r="E96" s="78" t="s">
        <v>117</v>
      </c>
      <c r="F96" s="21">
        <f t="shared" ref="F96:H96" si="186">F416</f>
        <v>0</v>
      </c>
      <c r="G96" s="21">
        <f t="shared" si="186"/>
        <v>0</v>
      </c>
      <c r="H96" s="21">
        <f t="shared" si="186"/>
        <v>0</v>
      </c>
      <c r="I96" s="85">
        <f t="shared" ref="I96:L96" si="187">IF(X96="",I416,X96)</f>
        <v>0</v>
      </c>
      <c r="J96" s="85">
        <f t="shared" si="187"/>
        <v>0</v>
      </c>
      <c r="K96" s="85">
        <f t="shared" si="187"/>
        <v>0</v>
      </c>
      <c r="L96" s="85">
        <f t="shared" si="187"/>
        <v>0</v>
      </c>
      <c r="M96" s="17">
        <f t="shared" si="173"/>
        <v>0</v>
      </c>
      <c r="N96" s="85">
        <f t="shared" ref="N96:Q96" si="188">IF(AC96="",N416,AC96)</f>
        <v>0</v>
      </c>
      <c r="O96" s="85">
        <f t="shared" si="188"/>
        <v>0</v>
      </c>
      <c r="P96" s="85">
        <f t="shared" si="188"/>
        <v>0</v>
      </c>
      <c r="Q96" s="85">
        <f t="shared" si="188"/>
        <v>0</v>
      </c>
      <c r="R96" s="22">
        <f t="shared" si="175"/>
        <v>0</v>
      </c>
      <c r="S96" s="23">
        <f t="shared" ref="S96:U96" si="189">IF(AH96="",S416,AH96)</f>
        <v>0</v>
      </c>
      <c r="T96" s="23">
        <f t="shared" si="189"/>
        <v>0</v>
      </c>
      <c r="U96" s="23">
        <f t="shared" si="189"/>
        <v>0</v>
      </c>
      <c r="W96" s="78" t="str">
        <f t="shared" si="177"/>
        <v>Work in Progress (WIP)</v>
      </c>
      <c r="X96" s="64"/>
      <c r="Y96" s="64"/>
      <c r="Z96" s="64"/>
      <c r="AA96" s="64"/>
      <c r="AB96" s="60"/>
      <c r="AC96" s="64"/>
      <c r="AD96" s="64"/>
      <c r="AE96" s="64"/>
      <c r="AF96" s="64"/>
      <c r="AG96" s="60"/>
      <c r="AH96" s="64"/>
      <c r="AI96" s="64"/>
      <c r="AJ96" s="64"/>
    </row>
    <row r="97" spans="2:36" hidden="1" outlineLevel="1" x14ac:dyDescent="0.25">
      <c r="B97" s="229" t="s">
        <v>195</v>
      </c>
      <c r="E97" s="78" t="s">
        <v>114</v>
      </c>
      <c r="F97" s="21">
        <f t="shared" ref="F97:H97" si="190">F417</f>
        <v>0</v>
      </c>
      <c r="G97" s="21">
        <f t="shared" si="190"/>
        <v>0</v>
      </c>
      <c r="H97" s="21">
        <f t="shared" si="190"/>
        <v>0</v>
      </c>
      <c r="I97" s="85">
        <f t="shared" ref="I97:L97" si="191">IF(X97="",I417,X97)</f>
        <v>0</v>
      </c>
      <c r="J97" s="85">
        <f t="shared" si="191"/>
        <v>0</v>
      </c>
      <c r="K97" s="85">
        <f t="shared" si="191"/>
        <v>0</v>
      </c>
      <c r="L97" s="85">
        <f t="shared" si="191"/>
        <v>0</v>
      </c>
      <c r="M97" s="17">
        <f t="shared" si="173"/>
        <v>0</v>
      </c>
      <c r="N97" s="85">
        <f t="shared" ref="N97:Q97" si="192">IF(AC97="",N417,AC97)</f>
        <v>0</v>
      </c>
      <c r="O97" s="85">
        <f t="shared" si="192"/>
        <v>0</v>
      </c>
      <c r="P97" s="85">
        <f t="shared" si="192"/>
        <v>0</v>
      </c>
      <c r="Q97" s="85">
        <f t="shared" si="192"/>
        <v>0</v>
      </c>
      <c r="R97" s="22">
        <f t="shared" si="175"/>
        <v>0</v>
      </c>
      <c r="S97" s="23">
        <f t="shared" ref="S97:U97" si="193">IF(AH97="",S417,AH97)</f>
        <v>0</v>
      </c>
      <c r="T97" s="23">
        <f t="shared" si="193"/>
        <v>0</v>
      </c>
      <c r="U97" s="23">
        <f t="shared" si="193"/>
        <v>0</v>
      </c>
      <c r="W97" s="78" t="str">
        <f t="shared" si="177"/>
        <v>E&amp;O Reserves</v>
      </c>
      <c r="X97" s="64"/>
      <c r="Y97" s="64"/>
      <c r="Z97" s="64"/>
      <c r="AA97" s="64"/>
      <c r="AB97" s="60"/>
      <c r="AC97" s="64"/>
      <c r="AD97" s="64"/>
      <c r="AE97" s="64"/>
      <c r="AF97" s="64"/>
      <c r="AG97" s="60"/>
      <c r="AH97" s="64"/>
      <c r="AI97" s="64"/>
      <c r="AJ97" s="64"/>
    </row>
    <row r="98" spans="2:36" hidden="1" outlineLevel="1" x14ac:dyDescent="0.25">
      <c r="B98" s="229" t="s">
        <v>195</v>
      </c>
      <c r="E98" s="78" t="s">
        <v>115</v>
      </c>
      <c r="F98" s="21">
        <f t="shared" ref="F98:H98" si="194">F418</f>
        <v>0</v>
      </c>
      <c r="G98" s="21">
        <f t="shared" si="194"/>
        <v>0</v>
      </c>
      <c r="H98" s="21">
        <f t="shared" si="194"/>
        <v>0</v>
      </c>
      <c r="I98" s="85">
        <f t="shared" ref="I98:L98" si="195">IF(X98="",I418,X98)</f>
        <v>0</v>
      </c>
      <c r="J98" s="85">
        <f t="shared" si="195"/>
        <v>0</v>
      </c>
      <c r="K98" s="85">
        <f t="shared" si="195"/>
        <v>0</v>
      </c>
      <c r="L98" s="85">
        <f t="shared" si="195"/>
        <v>0</v>
      </c>
      <c r="M98" s="17">
        <f t="shared" si="173"/>
        <v>0</v>
      </c>
      <c r="N98" s="85">
        <f t="shared" ref="N98:Q98" si="196">IF(AC98="",N418,AC98)</f>
        <v>0</v>
      </c>
      <c r="O98" s="85">
        <f t="shared" si="196"/>
        <v>0</v>
      </c>
      <c r="P98" s="85">
        <f t="shared" si="196"/>
        <v>0</v>
      </c>
      <c r="Q98" s="85">
        <f t="shared" si="196"/>
        <v>0</v>
      </c>
      <c r="R98" s="22">
        <f t="shared" si="175"/>
        <v>0</v>
      </c>
      <c r="S98" s="23">
        <f t="shared" ref="S98:U98" si="197">IF(AH98="",S418,AH98)</f>
        <v>0</v>
      </c>
      <c r="T98" s="23">
        <f t="shared" si="197"/>
        <v>0</v>
      </c>
      <c r="U98" s="23">
        <f t="shared" si="197"/>
        <v>0</v>
      </c>
      <c r="W98" s="78" t="str">
        <f t="shared" si="177"/>
        <v>Other Inventory Reserves</v>
      </c>
      <c r="X98" s="64"/>
      <c r="Y98" s="64"/>
      <c r="Z98" s="64"/>
      <c r="AA98" s="64"/>
      <c r="AB98" s="60"/>
      <c r="AC98" s="64"/>
      <c r="AD98" s="64"/>
      <c r="AE98" s="64"/>
      <c r="AF98" s="64"/>
      <c r="AG98" s="60"/>
      <c r="AH98" s="64"/>
      <c r="AI98" s="64"/>
      <c r="AJ98" s="64"/>
    </row>
    <row r="99" spans="2:36" hidden="1" outlineLevel="1" x14ac:dyDescent="0.25">
      <c r="B99" s="229" t="s">
        <v>195</v>
      </c>
      <c r="E99" s="78" t="s">
        <v>118</v>
      </c>
      <c r="F99" s="21">
        <f t="shared" ref="F99:H99" si="198">F419</f>
        <v>0</v>
      </c>
      <c r="G99" s="21">
        <f t="shared" si="198"/>
        <v>0</v>
      </c>
      <c r="H99" s="21">
        <f t="shared" si="198"/>
        <v>0</v>
      </c>
      <c r="I99" s="85">
        <f t="shared" ref="I99:L99" si="199">IF(X99="",I419,X99)</f>
        <v>0</v>
      </c>
      <c r="J99" s="85">
        <f t="shared" si="199"/>
        <v>0</v>
      </c>
      <c r="K99" s="85">
        <f t="shared" si="199"/>
        <v>0</v>
      </c>
      <c r="L99" s="85">
        <f t="shared" si="199"/>
        <v>0</v>
      </c>
      <c r="M99" s="17">
        <f t="shared" si="173"/>
        <v>0</v>
      </c>
      <c r="N99" s="85">
        <f t="shared" ref="N99:Q99" si="200">IF(AC99="",N419,AC99)</f>
        <v>0</v>
      </c>
      <c r="O99" s="85">
        <f t="shared" si="200"/>
        <v>0</v>
      </c>
      <c r="P99" s="85">
        <f t="shared" si="200"/>
        <v>0</v>
      </c>
      <c r="Q99" s="85">
        <f t="shared" si="200"/>
        <v>0</v>
      </c>
      <c r="R99" s="22">
        <f t="shared" si="175"/>
        <v>0</v>
      </c>
      <c r="S99" s="23">
        <f t="shared" ref="S99:U99" si="201">IF(AH99="",S419,AH99)</f>
        <v>0</v>
      </c>
      <c r="T99" s="23">
        <f t="shared" si="201"/>
        <v>0</v>
      </c>
      <c r="U99" s="23">
        <f t="shared" si="201"/>
        <v>0</v>
      </c>
      <c r="W99" s="78" t="str">
        <f t="shared" si="177"/>
        <v>Book to Physical Reserve</v>
      </c>
      <c r="X99" s="64"/>
      <c r="Y99" s="64"/>
      <c r="Z99" s="64"/>
      <c r="AA99" s="64"/>
      <c r="AB99" s="60"/>
      <c r="AC99" s="64"/>
      <c r="AD99" s="64"/>
      <c r="AE99" s="64"/>
      <c r="AF99" s="64"/>
      <c r="AG99" s="60"/>
      <c r="AH99" s="64"/>
      <c r="AI99" s="64"/>
      <c r="AJ99" s="64"/>
    </row>
    <row r="100" spans="2:36" hidden="1" outlineLevel="1" x14ac:dyDescent="0.25">
      <c r="B100" s="229" t="s">
        <v>195</v>
      </c>
      <c r="E100" s="78" t="s">
        <v>119</v>
      </c>
      <c r="F100" s="21">
        <f t="shared" ref="F100:H100" si="202">F420</f>
        <v>0</v>
      </c>
      <c r="G100" s="21">
        <f t="shared" si="202"/>
        <v>0</v>
      </c>
      <c r="H100" s="21">
        <f t="shared" si="202"/>
        <v>0</v>
      </c>
      <c r="I100" s="85">
        <f t="shared" ref="I100:L100" si="203">IF(X100="",I420,X100)</f>
        <v>0</v>
      </c>
      <c r="J100" s="85">
        <f t="shared" si="203"/>
        <v>0</v>
      </c>
      <c r="K100" s="85">
        <f t="shared" si="203"/>
        <v>0</v>
      </c>
      <c r="L100" s="85">
        <f t="shared" si="203"/>
        <v>0</v>
      </c>
      <c r="M100" s="17">
        <f t="shared" si="173"/>
        <v>0</v>
      </c>
      <c r="N100" s="85">
        <f t="shared" ref="N100:Q100" si="204">IF(AC100="",N420,AC100)</f>
        <v>0</v>
      </c>
      <c r="O100" s="85">
        <f t="shared" si="204"/>
        <v>0</v>
      </c>
      <c r="P100" s="85">
        <f t="shared" si="204"/>
        <v>0</v>
      </c>
      <c r="Q100" s="85">
        <f t="shared" si="204"/>
        <v>0</v>
      </c>
      <c r="R100" s="22">
        <f t="shared" si="175"/>
        <v>0</v>
      </c>
      <c r="S100" s="23">
        <f t="shared" ref="S100:U100" si="205">IF(AH100="",S420,AH100)</f>
        <v>0</v>
      </c>
      <c r="T100" s="23">
        <f t="shared" si="205"/>
        <v>0</v>
      </c>
      <c r="U100" s="23">
        <f t="shared" si="205"/>
        <v>0</v>
      </c>
      <c r="W100" s="78" t="str">
        <f t="shared" si="177"/>
        <v>LIFO Reserves</v>
      </c>
      <c r="X100" s="64"/>
      <c r="Y100" s="64"/>
      <c r="Z100" s="64"/>
      <c r="AA100" s="64"/>
      <c r="AB100" s="60"/>
      <c r="AC100" s="64"/>
      <c r="AD100" s="64"/>
      <c r="AE100" s="64"/>
      <c r="AF100" s="64"/>
      <c r="AG100" s="60"/>
      <c r="AH100" s="64"/>
      <c r="AI100" s="64"/>
      <c r="AJ100" s="64"/>
    </row>
    <row r="101" spans="2:36" hidden="1" outlineLevel="1" x14ac:dyDescent="0.25">
      <c r="B101" s="229" t="s">
        <v>195</v>
      </c>
      <c r="E101" s="78" t="s">
        <v>77</v>
      </c>
      <c r="F101" s="21">
        <f t="shared" ref="F101:H101" si="206">F421</f>
        <v>0</v>
      </c>
      <c r="G101" s="21">
        <f t="shared" si="206"/>
        <v>0</v>
      </c>
      <c r="H101" s="21">
        <f t="shared" si="206"/>
        <v>0</v>
      </c>
      <c r="I101" s="85">
        <f t="shared" ref="I101:L101" si="207">IF(X101="",I421,X101)</f>
        <v>0</v>
      </c>
      <c r="J101" s="85">
        <f t="shared" si="207"/>
        <v>0</v>
      </c>
      <c r="K101" s="85">
        <f t="shared" si="207"/>
        <v>0</v>
      </c>
      <c r="L101" s="85">
        <f t="shared" si="207"/>
        <v>0</v>
      </c>
      <c r="M101" s="17">
        <f t="shared" si="173"/>
        <v>0</v>
      </c>
      <c r="N101" s="85">
        <f t="shared" ref="N101:Q101" si="208">IF(AC101="",N421,AC101)</f>
        <v>0</v>
      </c>
      <c r="O101" s="85">
        <f t="shared" si="208"/>
        <v>0</v>
      </c>
      <c r="P101" s="85">
        <f t="shared" si="208"/>
        <v>0</v>
      </c>
      <c r="Q101" s="85">
        <f t="shared" si="208"/>
        <v>0</v>
      </c>
      <c r="R101" s="22">
        <f t="shared" si="175"/>
        <v>0</v>
      </c>
      <c r="S101" s="23">
        <f t="shared" ref="S101:U101" si="209">IF(AH101="",S421,AH101)</f>
        <v>0</v>
      </c>
      <c r="T101" s="23">
        <f t="shared" si="209"/>
        <v>0</v>
      </c>
      <c r="U101" s="23">
        <f t="shared" si="209"/>
        <v>0</v>
      </c>
      <c r="W101" s="78" t="str">
        <f t="shared" si="177"/>
        <v>blank</v>
      </c>
      <c r="X101" s="64"/>
      <c r="Y101" s="64"/>
      <c r="Z101" s="64"/>
      <c r="AA101" s="64"/>
      <c r="AB101" s="60"/>
      <c r="AC101" s="64"/>
      <c r="AD101" s="64"/>
      <c r="AE101" s="64"/>
      <c r="AF101" s="64"/>
      <c r="AG101" s="60"/>
      <c r="AH101" s="64"/>
      <c r="AI101" s="64"/>
      <c r="AJ101" s="64"/>
    </row>
    <row r="102" spans="2:36" ht="15.75" hidden="1" outlineLevel="1" thickBot="1" x14ac:dyDescent="0.3">
      <c r="E102" s="8" t="s">
        <v>42</v>
      </c>
      <c r="F102" s="9">
        <f>SUM(F92:F101)</f>
        <v>0</v>
      </c>
      <c r="G102" s="9">
        <f t="shared" ref="G102" si="210">SUM(G92:G101)</f>
        <v>0</v>
      </c>
      <c r="H102" s="9">
        <f t="shared" ref="H102" si="211">SUM(H92:H101)</f>
        <v>0</v>
      </c>
      <c r="I102" s="86">
        <f t="shared" ref="I102" si="212">SUM(I92:I101)</f>
        <v>0</v>
      </c>
      <c r="J102" s="86">
        <f t="shared" ref="J102" si="213">SUM(J92:J101)</f>
        <v>0</v>
      </c>
      <c r="K102" s="86">
        <f t="shared" ref="K102" si="214">SUM(K92:K101)</f>
        <v>0</v>
      </c>
      <c r="L102" s="86">
        <f t="shared" ref="L102" si="215">SUM(L92:L101)</f>
        <v>0</v>
      </c>
      <c r="M102" s="18">
        <f t="shared" ref="M102" si="216">SUM(M92:M101)</f>
        <v>0</v>
      </c>
      <c r="N102" s="86">
        <f t="shared" ref="N102" si="217">SUM(N92:N101)</f>
        <v>0</v>
      </c>
      <c r="O102" s="86">
        <f t="shared" ref="O102" si="218">SUM(O92:O101)</f>
        <v>0</v>
      </c>
      <c r="P102" s="86">
        <f t="shared" ref="P102" si="219">SUM(P92:P101)</f>
        <v>0</v>
      </c>
      <c r="Q102" s="86">
        <f t="shared" ref="Q102" si="220">SUM(Q92:Q101)</f>
        <v>0</v>
      </c>
      <c r="R102" s="19">
        <f t="shared" ref="R102" si="221">SUM(R92:R101)</f>
        <v>0</v>
      </c>
      <c r="S102" s="20">
        <f t="shared" ref="S102" si="222">SUM(S92:S101)</f>
        <v>0</v>
      </c>
      <c r="T102" s="20">
        <f t="shared" ref="T102" si="223">SUM(T92:T101)</f>
        <v>0</v>
      </c>
      <c r="U102" s="20">
        <f t="shared" ref="U102" si="224">SUM(U92:U101)</f>
        <v>0</v>
      </c>
    </row>
    <row r="103" spans="2:36" ht="15.75" hidden="1" outlineLevel="1" thickTop="1" x14ac:dyDescent="0.25">
      <c r="M103" s="3"/>
    </row>
    <row r="104" spans="2:36" hidden="1" outlineLevel="1" x14ac:dyDescent="0.25">
      <c r="M104" s="3"/>
    </row>
    <row r="105" spans="2:36" hidden="1" outlineLevel="1" x14ac:dyDescent="0.25">
      <c r="M105" s="3"/>
    </row>
    <row r="106" spans="2:36" hidden="1" outlineLevel="1" x14ac:dyDescent="0.25">
      <c r="E106" s="4" t="s">
        <v>133</v>
      </c>
      <c r="W106" s="4" t="str">
        <f>E106</f>
        <v>Accounts Receivable (Gross Trade Receivables + Allowance for Doubtful Accounts + Intercompany Recievables)</v>
      </c>
    </row>
    <row r="107" spans="2:36" hidden="1" outlineLevel="1" x14ac:dyDescent="0.25">
      <c r="E107" s="6" t="s">
        <v>25</v>
      </c>
      <c r="W107" s="61" t="s">
        <v>62</v>
      </c>
    </row>
    <row r="108" spans="2:36" hidden="1" outlineLevel="1" x14ac:dyDescent="0.25"/>
    <row r="109" spans="2:36" hidden="1" outlineLevel="1" x14ac:dyDescent="0.25">
      <c r="F109" s="12">
        <f>Inputs!$C$7</f>
        <v>2023</v>
      </c>
      <c r="G109" s="12">
        <f>Inputs!$C$8</f>
        <v>2024</v>
      </c>
      <c r="H109" s="12">
        <f>Inputs!$C$9</f>
        <v>2025</v>
      </c>
      <c r="I109" s="13" t="s">
        <v>1</v>
      </c>
      <c r="J109" s="13" t="s">
        <v>2</v>
      </c>
      <c r="K109" s="13" t="s">
        <v>3</v>
      </c>
      <c r="L109" s="13" t="s">
        <v>4</v>
      </c>
      <c r="M109" s="13">
        <f>Inputs!$C$10</f>
        <v>2026</v>
      </c>
      <c r="N109" s="14" t="s">
        <v>1</v>
      </c>
      <c r="O109" s="14" t="s">
        <v>2</v>
      </c>
      <c r="P109" s="14" t="s">
        <v>3</v>
      </c>
      <c r="Q109" s="14" t="s">
        <v>4</v>
      </c>
      <c r="R109" s="15">
        <f>Inputs!$C$11</f>
        <v>2027</v>
      </c>
      <c r="S109" s="16">
        <f>Inputs!$C$12</f>
        <v>2028</v>
      </c>
      <c r="T109" s="16">
        <f>Inputs!$C$13</f>
        <v>2029</v>
      </c>
      <c r="U109" s="16">
        <f>Inputs!$C$14</f>
        <v>2030</v>
      </c>
      <c r="X109" s="13" t="s">
        <v>1</v>
      </c>
      <c r="Y109" s="13" t="s">
        <v>2</v>
      </c>
      <c r="Z109" s="13" t="s">
        <v>3</v>
      </c>
      <c r="AA109" s="13" t="s">
        <v>4</v>
      </c>
      <c r="AB109" s="13">
        <f>Inputs!$C$10</f>
        <v>2026</v>
      </c>
      <c r="AC109" s="14" t="s">
        <v>1</v>
      </c>
      <c r="AD109" s="14" t="s">
        <v>2</v>
      </c>
      <c r="AE109" s="14" t="s">
        <v>3</v>
      </c>
      <c r="AF109" s="14" t="s">
        <v>4</v>
      </c>
      <c r="AG109" s="15">
        <f>Inputs!$C$11</f>
        <v>2027</v>
      </c>
      <c r="AH109" s="16">
        <f>Inputs!$C$12</f>
        <v>2028</v>
      </c>
      <c r="AI109" s="16">
        <f>Inputs!$C$13</f>
        <v>2029</v>
      </c>
      <c r="AJ109" s="16">
        <f>Inputs!$C$14</f>
        <v>2030</v>
      </c>
    </row>
    <row r="110" spans="2:36" hidden="1" outlineLevel="1" x14ac:dyDescent="0.25">
      <c r="F110" s="71" t="s">
        <v>63</v>
      </c>
      <c r="G110" s="71" t="s">
        <v>63</v>
      </c>
      <c r="H110" s="71" t="s">
        <v>63</v>
      </c>
      <c r="I110" s="71" t="s">
        <v>63</v>
      </c>
      <c r="J110" s="71" t="s">
        <v>63</v>
      </c>
      <c r="K110" s="71" t="s">
        <v>63</v>
      </c>
      <c r="L110" s="71" t="s">
        <v>63</v>
      </c>
      <c r="M110" s="71" t="s">
        <v>63</v>
      </c>
      <c r="N110" s="71" t="s">
        <v>63</v>
      </c>
      <c r="O110" s="71" t="s">
        <v>63</v>
      </c>
      <c r="P110" s="71" t="s">
        <v>63</v>
      </c>
      <c r="Q110" s="71" t="s">
        <v>63</v>
      </c>
      <c r="R110" s="71" t="s">
        <v>63</v>
      </c>
      <c r="S110" s="71" t="s">
        <v>63</v>
      </c>
      <c r="T110" s="71" t="s">
        <v>63</v>
      </c>
      <c r="U110" s="71" t="s">
        <v>63</v>
      </c>
      <c r="X110" s="63" t="s">
        <v>30</v>
      </c>
      <c r="Y110" s="63" t="s">
        <v>30</v>
      </c>
      <c r="Z110" s="63" t="s">
        <v>30</v>
      </c>
      <c r="AA110" s="63" t="s">
        <v>30</v>
      </c>
      <c r="AB110" s="62"/>
      <c r="AC110" s="63" t="s">
        <v>30</v>
      </c>
      <c r="AD110" s="63" t="s">
        <v>30</v>
      </c>
      <c r="AE110" s="63" t="s">
        <v>30</v>
      </c>
      <c r="AF110" s="63" t="s">
        <v>30</v>
      </c>
      <c r="AG110" s="62"/>
      <c r="AH110" s="63" t="s">
        <v>30</v>
      </c>
      <c r="AI110" s="63" t="s">
        <v>30</v>
      </c>
      <c r="AJ110" s="63" t="s">
        <v>30</v>
      </c>
    </row>
    <row r="111" spans="2:36" hidden="1" outlineLevel="1" x14ac:dyDescent="0.25">
      <c r="B111" s="229" t="s">
        <v>195</v>
      </c>
      <c r="C111" s="229"/>
      <c r="E111" s="78" t="s">
        <v>120</v>
      </c>
      <c r="F111" s="21">
        <f>F431</f>
        <v>0</v>
      </c>
      <c r="G111" s="21">
        <f t="shared" ref="G111:H111" si="225">G431</f>
        <v>0</v>
      </c>
      <c r="H111" s="21">
        <f t="shared" si="225"/>
        <v>0</v>
      </c>
      <c r="I111" s="85">
        <f>IF(X111="",I431,X111)</f>
        <v>0</v>
      </c>
      <c r="J111" s="85">
        <f t="shared" ref="J111:J120" si="226">IF(Y111="",J431,Y111)</f>
        <v>0</v>
      </c>
      <c r="K111" s="85">
        <f t="shared" ref="K111:K120" si="227">IF(Z111="",K431,Z111)</f>
        <v>0</v>
      </c>
      <c r="L111" s="85">
        <f t="shared" ref="L111:L120" si="228">IF(AA111="",L431,AA111)</f>
        <v>0</v>
      </c>
      <c r="M111" s="17">
        <f>L111</f>
        <v>0</v>
      </c>
      <c r="N111" s="85">
        <f t="shared" ref="N111:N120" si="229">IF(AC111="",N431,AC111)</f>
        <v>0</v>
      </c>
      <c r="O111" s="85">
        <f t="shared" ref="O111:O120" si="230">IF(AD111="",O431,AD111)</f>
        <v>0</v>
      </c>
      <c r="P111" s="85">
        <f t="shared" ref="P111:P120" si="231">IF(AE111="",P431,AE111)</f>
        <v>0</v>
      </c>
      <c r="Q111" s="85">
        <f t="shared" ref="Q111:Q120" si="232">IF(AF111="",Q431,AF111)</f>
        <v>0</v>
      </c>
      <c r="R111" s="22">
        <f>Q111</f>
        <v>0</v>
      </c>
      <c r="S111" s="23">
        <f t="shared" ref="S111:S120" si="233">IF(AH111="",S431,AH111)</f>
        <v>0</v>
      </c>
      <c r="T111" s="23">
        <f t="shared" ref="T111:T120" si="234">IF(AI111="",T431,AI111)</f>
        <v>0</v>
      </c>
      <c r="U111" s="23">
        <f t="shared" ref="U111:U120" si="235">IF(AJ111="",U431,AJ111)</f>
        <v>0</v>
      </c>
      <c r="W111" s="78" t="str">
        <f t="shared" ref="W111:W120" si="236">E111</f>
        <v>Trade Account Receivable</v>
      </c>
      <c r="X111" s="64"/>
      <c r="Y111" s="64"/>
      <c r="Z111" s="64"/>
      <c r="AA111" s="64"/>
      <c r="AB111" s="60"/>
      <c r="AC111" s="64"/>
      <c r="AD111" s="64"/>
      <c r="AE111" s="64"/>
      <c r="AF111" s="64"/>
      <c r="AG111" s="60"/>
      <c r="AH111" s="64"/>
      <c r="AI111" s="64"/>
      <c r="AJ111" s="64"/>
    </row>
    <row r="112" spans="2:36" hidden="1" outlineLevel="1" x14ac:dyDescent="0.25">
      <c r="B112" s="229" t="s">
        <v>195</v>
      </c>
      <c r="C112" s="229"/>
      <c r="E112" s="78" t="s">
        <v>122</v>
      </c>
      <c r="F112" s="21">
        <f t="shared" ref="F112:H112" si="237">F432</f>
        <v>0</v>
      </c>
      <c r="G112" s="21">
        <f t="shared" si="237"/>
        <v>0</v>
      </c>
      <c r="H112" s="21">
        <f t="shared" si="237"/>
        <v>0</v>
      </c>
      <c r="I112" s="85">
        <f t="shared" ref="I112:I120" si="238">IF(X112="",I432,X112)</f>
        <v>0</v>
      </c>
      <c r="J112" s="85">
        <f t="shared" si="226"/>
        <v>0</v>
      </c>
      <c r="K112" s="85">
        <f t="shared" si="227"/>
        <v>0</v>
      </c>
      <c r="L112" s="85">
        <f t="shared" si="228"/>
        <v>0</v>
      </c>
      <c r="M112" s="17">
        <f t="shared" ref="M112:M120" si="239">L112</f>
        <v>0</v>
      </c>
      <c r="N112" s="85">
        <f t="shared" si="229"/>
        <v>0</v>
      </c>
      <c r="O112" s="85">
        <f t="shared" si="230"/>
        <v>0</v>
      </c>
      <c r="P112" s="85">
        <f t="shared" si="231"/>
        <v>0</v>
      </c>
      <c r="Q112" s="85">
        <f t="shared" si="232"/>
        <v>0</v>
      </c>
      <c r="R112" s="22">
        <f t="shared" ref="R112:R120" si="240">Q112</f>
        <v>0</v>
      </c>
      <c r="S112" s="23">
        <f t="shared" si="233"/>
        <v>0</v>
      </c>
      <c r="T112" s="23">
        <f t="shared" si="234"/>
        <v>0</v>
      </c>
      <c r="U112" s="23">
        <f t="shared" si="235"/>
        <v>0</v>
      </c>
      <c r="W112" s="78" t="str">
        <f t="shared" si="236"/>
        <v>Notes Receivable</v>
      </c>
      <c r="X112" s="64"/>
      <c r="Y112" s="64"/>
      <c r="Z112" s="64"/>
      <c r="AA112" s="64"/>
      <c r="AB112" s="60"/>
      <c r="AC112" s="64"/>
      <c r="AD112" s="64"/>
      <c r="AE112" s="64"/>
      <c r="AF112" s="64"/>
      <c r="AG112" s="60"/>
      <c r="AH112" s="64"/>
      <c r="AI112" s="64"/>
      <c r="AJ112" s="64"/>
    </row>
    <row r="113" spans="2:36" hidden="1" outlineLevel="1" x14ac:dyDescent="0.25">
      <c r="B113" s="229" t="s">
        <v>195</v>
      </c>
      <c r="C113" s="229"/>
      <c r="E113" s="78" t="s">
        <v>123</v>
      </c>
      <c r="F113" s="21">
        <f t="shared" ref="F113:H113" si="241">F433</f>
        <v>0</v>
      </c>
      <c r="G113" s="21">
        <f t="shared" si="241"/>
        <v>0</v>
      </c>
      <c r="H113" s="21">
        <f t="shared" si="241"/>
        <v>0</v>
      </c>
      <c r="I113" s="85">
        <f t="shared" si="238"/>
        <v>0</v>
      </c>
      <c r="J113" s="85">
        <f t="shared" si="226"/>
        <v>0</v>
      </c>
      <c r="K113" s="85">
        <f t="shared" si="227"/>
        <v>0</v>
      </c>
      <c r="L113" s="85">
        <f t="shared" si="228"/>
        <v>0</v>
      </c>
      <c r="M113" s="17">
        <f t="shared" si="239"/>
        <v>0</v>
      </c>
      <c r="N113" s="85">
        <f t="shared" si="229"/>
        <v>0</v>
      </c>
      <c r="O113" s="85">
        <f t="shared" si="230"/>
        <v>0</v>
      </c>
      <c r="P113" s="85">
        <f t="shared" si="231"/>
        <v>0</v>
      </c>
      <c r="Q113" s="85">
        <f t="shared" si="232"/>
        <v>0</v>
      </c>
      <c r="R113" s="22">
        <f t="shared" si="240"/>
        <v>0</v>
      </c>
      <c r="S113" s="23">
        <f t="shared" si="233"/>
        <v>0</v>
      </c>
      <c r="T113" s="23">
        <f t="shared" si="234"/>
        <v>0</v>
      </c>
      <c r="U113" s="23">
        <f t="shared" si="235"/>
        <v>0</v>
      </c>
      <c r="W113" s="78" t="str">
        <f t="shared" si="236"/>
        <v>Sales Lease Receivable</v>
      </c>
      <c r="X113" s="64"/>
      <c r="Y113" s="64"/>
      <c r="Z113" s="64"/>
      <c r="AA113" s="64"/>
      <c r="AB113" s="60"/>
      <c r="AC113" s="64"/>
      <c r="AD113" s="64"/>
      <c r="AE113" s="64"/>
      <c r="AF113" s="64"/>
      <c r="AG113" s="60"/>
      <c r="AH113" s="64"/>
      <c r="AI113" s="64"/>
      <c r="AJ113" s="64"/>
    </row>
    <row r="114" spans="2:36" hidden="1" outlineLevel="1" x14ac:dyDescent="0.25">
      <c r="B114" s="229" t="s">
        <v>195</v>
      </c>
      <c r="C114" s="229"/>
      <c r="E114" s="78" t="s">
        <v>121</v>
      </c>
      <c r="F114" s="21">
        <f t="shared" ref="F114:H114" si="242">F434</f>
        <v>0</v>
      </c>
      <c r="G114" s="21">
        <f t="shared" si="242"/>
        <v>0</v>
      </c>
      <c r="H114" s="21">
        <f t="shared" si="242"/>
        <v>0</v>
      </c>
      <c r="I114" s="85">
        <f t="shared" si="238"/>
        <v>0</v>
      </c>
      <c r="J114" s="85">
        <f t="shared" si="226"/>
        <v>0</v>
      </c>
      <c r="K114" s="85">
        <f t="shared" si="227"/>
        <v>0</v>
      </c>
      <c r="L114" s="85">
        <f t="shared" si="228"/>
        <v>0</v>
      </c>
      <c r="M114" s="17">
        <f t="shared" si="239"/>
        <v>0</v>
      </c>
      <c r="N114" s="85">
        <f t="shared" si="229"/>
        <v>0</v>
      </c>
      <c r="O114" s="85">
        <f t="shared" si="230"/>
        <v>0</v>
      </c>
      <c r="P114" s="85">
        <f t="shared" si="231"/>
        <v>0</v>
      </c>
      <c r="Q114" s="85">
        <f t="shared" si="232"/>
        <v>0</v>
      </c>
      <c r="R114" s="22">
        <f t="shared" si="240"/>
        <v>0</v>
      </c>
      <c r="S114" s="23">
        <f t="shared" si="233"/>
        <v>0</v>
      </c>
      <c r="T114" s="23">
        <f t="shared" si="234"/>
        <v>0</v>
      </c>
      <c r="U114" s="23">
        <f t="shared" si="235"/>
        <v>0</v>
      </c>
      <c r="W114" s="78" t="str">
        <f t="shared" si="236"/>
        <v>Unbilled AR and Other Receivables</v>
      </c>
      <c r="X114" s="64"/>
      <c r="Y114" s="64"/>
      <c r="Z114" s="64"/>
      <c r="AA114" s="64"/>
      <c r="AB114" s="60"/>
      <c r="AC114" s="64"/>
      <c r="AD114" s="64"/>
      <c r="AE114" s="64"/>
      <c r="AF114" s="64"/>
      <c r="AG114" s="60"/>
      <c r="AH114" s="64"/>
      <c r="AI114" s="64"/>
      <c r="AJ114" s="64"/>
    </row>
    <row r="115" spans="2:36" hidden="1" outlineLevel="1" x14ac:dyDescent="0.25">
      <c r="B115" s="229" t="s">
        <v>195</v>
      </c>
      <c r="C115" s="229"/>
      <c r="E115" s="78" t="s">
        <v>41</v>
      </c>
      <c r="F115" s="21">
        <f t="shared" ref="F115:H115" si="243">F435</f>
        <v>0</v>
      </c>
      <c r="G115" s="21">
        <f t="shared" si="243"/>
        <v>0</v>
      </c>
      <c r="H115" s="21">
        <f t="shared" si="243"/>
        <v>0</v>
      </c>
      <c r="I115" s="85">
        <f t="shared" si="238"/>
        <v>0</v>
      </c>
      <c r="J115" s="85">
        <f t="shared" si="226"/>
        <v>0</v>
      </c>
      <c r="K115" s="85">
        <f t="shared" si="227"/>
        <v>0</v>
      </c>
      <c r="L115" s="85">
        <f t="shared" si="228"/>
        <v>0</v>
      </c>
      <c r="M115" s="17">
        <f t="shared" si="239"/>
        <v>0</v>
      </c>
      <c r="N115" s="85">
        <f t="shared" si="229"/>
        <v>0</v>
      </c>
      <c r="O115" s="85">
        <f t="shared" si="230"/>
        <v>0</v>
      </c>
      <c r="P115" s="85">
        <f t="shared" si="231"/>
        <v>0</v>
      </c>
      <c r="Q115" s="85">
        <f t="shared" si="232"/>
        <v>0</v>
      </c>
      <c r="R115" s="22">
        <f t="shared" si="240"/>
        <v>0</v>
      </c>
      <c r="S115" s="23">
        <f t="shared" si="233"/>
        <v>0</v>
      </c>
      <c r="T115" s="23">
        <f t="shared" si="234"/>
        <v>0</v>
      </c>
      <c r="U115" s="23">
        <f t="shared" si="235"/>
        <v>0</v>
      </c>
      <c r="W115" s="78" t="str">
        <f t="shared" si="236"/>
        <v>Allowance for Doubtful Accounts</v>
      </c>
      <c r="X115" s="64"/>
      <c r="Y115" s="64"/>
      <c r="Z115" s="64"/>
      <c r="AA115" s="64"/>
      <c r="AB115" s="60"/>
      <c r="AC115" s="64"/>
      <c r="AD115" s="64"/>
      <c r="AE115" s="64"/>
      <c r="AF115" s="64"/>
      <c r="AG115" s="60"/>
      <c r="AH115" s="64"/>
      <c r="AI115" s="64"/>
      <c r="AJ115" s="64"/>
    </row>
    <row r="116" spans="2:36" hidden="1" outlineLevel="1" x14ac:dyDescent="0.25">
      <c r="B116" s="229" t="s">
        <v>195</v>
      </c>
      <c r="C116" s="229"/>
      <c r="E116" s="78" t="s">
        <v>124</v>
      </c>
      <c r="F116" s="21">
        <f t="shared" ref="F116:H116" si="244">F436</f>
        <v>0</v>
      </c>
      <c r="G116" s="21">
        <f t="shared" si="244"/>
        <v>0</v>
      </c>
      <c r="H116" s="21">
        <f t="shared" si="244"/>
        <v>0</v>
      </c>
      <c r="I116" s="85">
        <f t="shared" si="238"/>
        <v>0</v>
      </c>
      <c r="J116" s="85">
        <f t="shared" si="226"/>
        <v>0</v>
      </c>
      <c r="K116" s="85">
        <f t="shared" si="227"/>
        <v>0</v>
      </c>
      <c r="L116" s="85">
        <f t="shared" si="228"/>
        <v>0</v>
      </c>
      <c r="M116" s="17">
        <f t="shared" si="239"/>
        <v>0</v>
      </c>
      <c r="N116" s="85">
        <f t="shared" si="229"/>
        <v>0</v>
      </c>
      <c r="O116" s="85">
        <f t="shared" si="230"/>
        <v>0</v>
      </c>
      <c r="P116" s="85">
        <f t="shared" si="231"/>
        <v>0</v>
      </c>
      <c r="Q116" s="85">
        <f t="shared" si="232"/>
        <v>0</v>
      </c>
      <c r="R116" s="22">
        <f t="shared" si="240"/>
        <v>0</v>
      </c>
      <c r="S116" s="23">
        <f t="shared" si="233"/>
        <v>0</v>
      </c>
      <c r="T116" s="23">
        <f t="shared" si="234"/>
        <v>0</v>
      </c>
      <c r="U116" s="23">
        <f t="shared" si="235"/>
        <v>0</v>
      </c>
      <c r="W116" s="78" t="str">
        <f t="shared" si="236"/>
        <v>Interco Receivables</v>
      </c>
      <c r="X116" s="64"/>
      <c r="Y116" s="64"/>
      <c r="Z116" s="64"/>
      <c r="AA116" s="64"/>
      <c r="AB116" s="60"/>
      <c r="AC116" s="64"/>
      <c r="AD116" s="64"/>
      <c r="AE116" s="64"/>
      <c r="AF116" s="64"/>
      <c r="AG116" s="60"/>
      <c r="AH116" s="64"/>
      <c r="AI116" s="64"/>
      <c r="AJ116" s="64"/>
    </row>
    <row r="117" spans="2:36" hidden="1" outlineLevel="1" x14ac:dyDescent="0.25">
      <c r="B117" s="229" t="s">
        <v>195</v>
      </c>
      <c r="C117" s="229"/>
      <c r="E117" s="78" t="s">
        <v>77</v>
      </c>
      <c r="F117" s="21">
        <f t="shared" ref="F117:H117" si="245">F437</f>
        <v>0</v>
      </c>
      <c r="G117" s="21">
        <f t="shared" si="245"/>
        <v>0</v>
      </c>
      <c r="H117" s="21">
        <f t="shared" si="245"/>
        <v>0</v>
      </c>
      <c r="I117" s="85">
        <f t="shared" si="238"/>
        <v>0</v>
      </c>
      <c r="J117" s="85">
        <f t="shared" si="226"/>
        <v>0</v>
      </c>
      <c r="K117" s="85">
        <f t="shared" si="227"/>
        <v>0</v>
      </c>
      <c r="L117" s="85">
        <f t="shared" si="228"/>
        <v>0</v>
      </c>
      <c r="M117" s="17">
        <f t="shared" si="239"/>
        <v>0</v>
      </c>
      <c r="N117" s="85">
        <f t="shared" si="229"/>
        <v>0</v>
      </c>
      <c r="O117" s="85">
        <f t="shared" si="230"/>
        <v>0</v>
      </c>
      <c r="P117" s="85">
        <f t="shared" si="231"/>
        <v>0</v>
      </c>
      <c r="Q117" s="85">
        <f t="shared" si="232"/>
        <v>0</v>
      </c>
      <c r="R117" s="22">
        <f t="shared" si="240"/>
        <v>0</v>
      </c>
      <c r="S117" s="23">
        <f t="shared" si="233"/>
        <v>0</v>
      </c>
      <c r="T117" s="23">
        <f t="shared" si="234"/>
        <v>0</v>
      </c>
      <c r="U117" s="23">
        <f t="shared" si="235"/>
        <v>0</v>
      </c>
      <c r="W117" s="78" t="str">
        <f t="shared" si="236"/>
        <v>blank</v>
      </c>
      <c r="X117" s="64"/>
      <c r="Y117" s="64"/>
      <c r="Z117" s="64"/>
      <c r="AA117" s="64"/>
      <c r="AB117" s="60"/>
      <c r="AC117" s="64"/>
      <c r="AD117" s="64"/>
      <c r="AE117" s="64"/>
      <c r="AF117" s="64"/>
      <c r="AG117" s="60"/>
      <c r="AH117" s="64"/>
      <c r="AI117" s="64"/>
      <c r="AJ117" s="64"/>
    </row>
    <row r="118" spans="2:36" hidden="1" outlineLevel="1" x14ac:dyDescent="0.25">
      <c r="B118" s="229" t="s">
        <v>195</v>
      </c>
      <c r="C118" s="229"/>
      <c r="E118" s="78" t="s">
        <v>77</v>
      </c>
      <c r="F118" s="21">
        <f t="shared" ref="F118:H118" si="246">F438</f>
        <v>0</v>
      </c>
      <c r="G118" s="21">
        <f t="shared" si="246"/>
        <v>0</v>
      </c>
      <c r="H118" s="21">
        <f t="shared" si="246"/>
        <v>0</v>
      </c>
      <c r="I118" s="85">
        <f t="shared" si="238"/>
        <v>0</v>
      </c>
      <c r="J118" s="85">
        <f t="shared" si="226"/>
        <v>0</v>
      </c>
      <c r="K118" s="85">
        <f t="shared" si="227"/>
        <v>0</v>
      </c>
      <c r="L118" s="85">
        <f t="shared" si="228"/>
        <v>0</v>
      </c>
      <c r="M118" s="17">
        <f t="shared" si="239"/>
        <v>0</v>
      </c>
      <c r="N118" s="85">
        <f t="shared" si="229"/>
        <v>0</v>
      </c>
      <c r="O118" s="85">
        <f t="shared" si="230"/>
        <v>0</v>
      </c>
      <c r="P118" s="85">
        <f t="shared" si="231"/>
        <v>0</v>
      </c>
      <c r="Q118" s="85">
        <f t="shared" si="232"/>
        <v>0</v>
      </c>
      <c r="R118" s="22">
        <f t="shared" si="240"/>
        <v>0</v>
      </c>
      <c r="S118" s="23">
        <f t="shared" si="233"/>
        <v>0</v>
      </c>
      <c r="T118" s="23">
        <f t="shared" si="234"/>
        <v>0</v>
      </c>
      <c r="U118" s="23">
        <f t="shared" si="235"/>
        <v>0</v>
      </c>
      <c r="W118" s="78" t="str">
        <f t="shared" si="236"/>
        <v>blank</v>
      </c>
      <c r="X118" s="64"/>
      <c r="Y118" s="64"/>
      <c r="Z118" s="64"/>
      <c r="AA118" s="64"/>
      <c r="AB118" s="60"/>
      <c r="AC118" s="64"/>
      <c r="AD118" s="64"/>
      <c r="AE118" s="64"/>
      <c r="AF118" s="64"/>
      <c r="AG118" s="60"/>
      <c r="AH118" s="64"/>
      <c r="AI118" s="64"/>
      <c r="AJ118" s="64"/>
    </row>
    <row r="119" spans="2:36" hidden="1" outlineLevel="1" x14ac:dyDescent="0.25">
      <c r="B119" s="229" t="s">
        <v>195</v>
      </c>
      <c r="C119" s="229"/>
      <c r="E119" s="78" t="s">
        <v>77</v>
      </c>
      <c r="F119" s="21">
        <f t="shared" ref="F119:H119" si="247">F439</f>
        <v>0</v>
      </c>
      <c r="G119" s="21">
        <f t="shared" si="247"/>
        <v>0</v>
      </c>
      <c r="H119" s="21">
        <f t="shared" si="247"/>
        <v>0</v>
      </c>
      <c r="I119" s="85">
        <f t="shared" si="238"/>
        <v>0</v>
      </c>
      <c r="J119" s="85">
        <f t="shared" si="226"/>
        <v>0</v>
      </c>
      <c r="K119" s="85">
        <f t="shared" si="227"/>
        <v>0</v>
      </c>
      <c r="L119" s="85">
        <f t="shared" si="228"/>
        <v>0</v>
      </c>
      <c r="M119" s="17">
        <f t="shared" si="239"/>
        <v>0</v>
      </c>
      <c r="N119" s="85">
        <f t="shared" si="229"/>
        <v>0</v>
      </c>
      <c r="O119" s="85">
        <f t="shared" si="230"/>
        <v>0</v>
      </c>
      <c r="P119" s="85">
        <f t="shared" si="231"/>
        <v>0</v>
      </c>
      <c r="Q119" s="85">
        <f t="shared" si="232"/>
        <v>0</v>
      </c>
      <c r="R119" s="22">
        <f t="shared" si="240"/>
        <v>0</v>
      </c>
      <c r="S119" s="23">
        <f t="shared" si="233"/>
        <v>0</v>
      </c>
      <c r="T119" s="23">
        <f t="shared" si="234"/>
        <v>0</v>
      </c>
      <c r="U119" s="23">
        <f t="shared" si="235"/>
        <v>0</v>
      </c>
      <c r="W119" s="78" t="str">
        <f t="shared" si="236"/>
        <v>blank</v>
      </c>
      <c r="X119" s="64"/>
      <c r="Y119" s="64"/>
      <c r="Z119" s="64"/>
      <c r="AA119" s="64"/>
      <c r="AB119" s="60"/>
      <c r="AC119" s="64"/>
      <c r="AD119" s="64"/>
      <c r="AE119" s="64"/>
      <c r="AF119" s="64"/>
      <c r="AG119" s="60"/>
      <c r="AH119" s="64"/>
      <c r="AI119" s="64"/>
      <c r="AJ119" s="64"/>
    </row>
    <row r="120" spans="2:36" hidden="1" outlineLevel="1" x14ac:dyDescent="0.25">
      <c r="B120" s="229" t="s">
        <v>195</v>
      </c>
      <c r="C120" s="229"/>
      <c r="E120" s="78" t="s">
        <v>77</v>
      </c>
      <c r="F120" s="21">
        <f t="shared" ref="F120:H120" si="248">F440</f>
        <v>0</v>
      </c>
      <c r="G120" s="21">
        <f t="shared" si="248"/>
        <v>0</v>
      </c>
      <c r="H120" s="21">
        <f t="shared" si="248"/>
        <v>0</v>
      </c>
      <c r="I120" s="85">
        <f t="shared" si="238"/>
        <v>0</v>
      </c>
      <c r="J120" s="85">
        <f t="shared" si="226"/>
        <v>0</v>
      </c>
      <c r="K120" s="85">
        <f t="shared" si="227"/>
        <v>0</v>
      </c>
      <c r="L120" s="85">
        <f t="shared" si="228"/>
        <v>0</v>
      </c>
      <c r="M120" s="17">
        <f t="shared" si="239"/>
        <v>0</v>
      </c>
      <c r="N120" s="85">
        <f t="shared" si="229"/>
        <v>0</v>
      </c>
      <c r="O120" s="85">
        <f t="shared" si="230"/>
        <v>0</v>
      </c>
      <c r="P120" s="85">
        <f t="shared" si="231"/>
        <v>0</v>
      </c>
      <c r="Q120" s="85">
        <f t="shared" si="232"/>
        <v>0</v>
      </c>
      <c r="R120" s="22">
        <f t="shared" si="240"/>
        <v>0</v>
      </c>
      <c r="S120" s="23">
        <f t="shared" si="233"/>
        <v>0</v>
      </c>
      <c r="T120" s="23">
        <f t="shared" si="234"/>
        <v>0</v>
      </c>
      <c r="U120" s="23">
        <f t="shared" si="235"/>
        <v>0</v>
      </c>
      <c r="W120" s="78" t="str">
        <f t="shared" si="236"/>
        <v>blank</v>
      </c>
      <c r="X120" s="64"/>
      <c r="Y120" s="64"/>
      <c r="Z120" s="64"/>
      <c r="AA120" s="64"/>
      <c r="AB120" s="60"/>
      <c r="AC120" s="64"/>
      <c r="AD120" s="64"/>
      <c r="AE120" s="64"/>
      <c r="AF120" s="64"/>
      <c r="AG120" s="60"/>
      <c r="AH120" s="64"/>
      <c r="AI120" s="64"/>
      <c r="AJ120" s="64"/>
    </row>
    <row r="121" spans="2:36" ht="15.75" hidden="1" outlineLevel="1" thickBot="1" x14ac:dyDescent="0.3">
      <c r="E121" s="8" t="s">
        <v>125</v>
      </c>
      <c r="F121" s="9">
        <f>SUM(F111:F120)</f>
        <v>0</v>
      </c>
      <c r="G121" s="9">
        <f t="shared" ref="G121" si="249">SUM(G111:G120)</f>
        <v>0</v>
      </c>
      <c r="H121" s="9">
        <f t="shared" ref="H121" si="250">SUM(H111:H120)</f>
        <v>0</v>
      </c>
      <c r="I121" s="86">
        <f t="shared" ref="I121" si="251">SUM(I111:I120)</f>
        <v>0</v>
      </c>
      <c r="J121" s="86">
        <f t="shared" ref="J121" si="252">SUM(J111:J120)</f>
        <v>0</v>
      </c>
      <c r="K121" s="86">
        <f t="shared" ref="K121" si="253">SUM(K111:K120)</f>
        <v>0</v>
      </c>
      <c r="L121" s="86">
        <f t="shared" ref="L121" si="254">SUM(L111:L120)</f>
        <v>0</v>
      </c>
      <c r="M121" s="18">
        <f t="shared" ref="M121" si="255">SUM(M111:M120)</f>
        <v>0</v>
      </c>
      <c r="N121" s="86">
        <f t="shared" ref="N121" si="256">SUM(N111:N120)</f>
        <v>0</v>
      </c>
      <c r="O121" s="86">
        <f t="shared" ref="O121" si="257">SUM(O111:O120)</f>
        <v>0</v>
      </c>
      <c r="P121" s="86">
        <f t="shared" ref="P121" si="258">SUM(P111:P120)</f>
        <v>0</v>
      </c>
      <c r="Q121" s="86">
        <f t="shared" ref="Q121" si="259">SUM(Q111:Q120)</f>
        <v>0</v>
      </c>
      <c r="R121" s="19">
        <f t="shared" ref="R121" si="260">SUM(R111:R120)</f>
        <v>0</v>
      </c>
      <c r="S121" s="20">
        <f t="shared" ref="S121" si="261">SUM(S111:S120)</f>
        <v>0</v>
      </c>
      <c r="T121" s="20">
        <f t="shared" ref="T121" si="262">SUM(T111:T120)</f>
        <v>0</v>
      </c>
      <c r="U121" s="20">
        <f t="shared" ref="U121" si="263">SUM(U111:U120)</f>
        <v>0</v>
      </c>
    </row>
    <row r="122" spans="2:36" ht="15.75" hidden="1" outlineLevel="1" thickTop="1" x14ac:dyDescent="0.25"/>
    <row r="123" spans="2:36" hidden="1" outlineLevel="1" x14ac:dyDescent="0.25"/>
    <row r="124" spans="2:36" hidden="1" outlineLevel="1" x14ac:dyDescent="0.25"/>
    <row r="125" spans="2:36" hidden="1" outlineLevel="1" x14ac:dyDescent="0.25">
      <c r="E125" s="4" t="s">
        <v>128</v>
      </c>
      <c r="W125" s="4" t="str">
        <f>E125</f>
        <v>Accounts Payable (Trade Accts Payable + Current Notes Payable + Intercompany Payables)</v>
      </c>
    </row>
    <row r="126" spans="2:36" hidden="1" outlineLevel="1" x14ac:dyDescent="0.25">
      <c r="E126" s="6" t="s">
        <v>25</v>
      </c>
      <c r="W126" s="61" t="s">
        <v>62</v>
      </c>
    </row>
    <row r="127" spans="2:36" hidden="1" outlineLevel="1" x14ac:dyDescent="0.25"/>
    <row r="128" spans="2:36" hidden="1" outlineLevel="1" x14ac:dyDescent="0.25">
      <c r="F128" s="12">
        <f>Inputs!$C$7</f>
        <v>2023</v>
      </c>
      <c r="G128" s="12">
        <f>Inputs!$C$8</f>
        <v>2024</v>
      </c>
      <c r="H128" s="12">
        <f>Inputs!$C$9</f>
        <v>2025</v>
      </c>
      <c r="I128" s="13" t="s">
        <v>1</v>
      </c>
      <c r="J128" s="13" t="s">
        <v>2</v>
      </c>
      <c r="K128" s="13" t="s">
        <v>3</v>
      </c>
      <c r="L128" s="13" t="s">
        <v>4</v>
      </c>
      <c r="M128" s="13">
        <f>Inputs!$C$10</f>
        <v>2026</v>
      </c>
      <c r="N128" s="14" t="s">
        <v>1</v>
      </c>
      <c r="O128" s="14" t="s">
        <v>2</v>
      </c>
      <c r="P128" s="14" t="s">
        <v>3</v>
      </c>
      <c r="Q128" s="14" t="s">
        <v>4</v>
      </c>
      <c r="R128" s="15">
        <f>Inputs!$C$11</f>
        <v>2027</v>
      </c>
      <c r="S128" s="16">
        <f>Inputs!$C$12</f>
        <v>2028</v>
      </c>
      <c r="T128" s="16">
        <f>Inputs!$C$13</f>
        <v>2029</v>
      </c>
      <c r="U128" s="16">
        <f>Inputs!$C$14</f>
        <v>2030</v>
      </c>
      <c r="X128" s="13" t="s">
        <v>1</v>
      </c>
      <c r="Y128" s="13" t="s">
        <v>2</v>
      </c>
      <c r="Z128" s="13" t="s">
        <v>3</v>
      </c>
      <c r="AA128" s="13" t="s">
        <v>4</v>
      </c>
      <c r="AB128" s="13">
        <f>Inputs!$C$10</f>
        <v>2026</v>
      </c>
      <c r="AC128" s="14" t="s">
        <v>1</v>
      </c>
      <c r="AD128" s="14" t="s">
        <v>2</v>
      </c>
      <c r="AE128" s="14" t="s">
        <v>3</v>
      </c>
      <c r="AF128" s="14" t="s">
        <v>4</v>
      </c>
      <c r="AG128" s="15">
        <f>Inputs!$C$11</f>
        <v>2027</v>
      </c>
      <c r="AH128" s="16">
        <f>Inputs!$C$12</f>
        <v>2028</v>
      </c>
      <c r="AI128" s="16">
        <f>Inputs!$C$13</f>
        <v>2029</v>
      </c>
      <c r="AJ128" s="16">
        <f>Inputs!$C$14</f>
        <v>2030</v>
      </c>
    </row>
    <row r="129" spans="2:36" hidden="1" outlineLevel="1" x14ac:dyDescent="0.25">
      <c r="F129" s="71" t="s">
        <v>63</v>
      </c>
      <c r="G129" s="71" t="s">
        <v>63</v>
      </c>
      <c r="H129" s="71" t="s">
        <v>63</v>
      </c>
      <c r="I129" s="71" t="s">
        <v>63</v>
      </c>
      <c r="J129" s="71" t="s">
        <v>63</v>
      </c>
      <c r="K129" s="71" t="s">
        <v>63</v>
      </c>
      <c r="L129" s="71" t="s">
        <v>63</v>
      </c>
      <c r="M129" s="71" t="s">
        <v>63</v>
      </c>
      <c r="N129" s="71" t="s">
        <v>63</v>
      </c>
      <c r="O129" s="71" t="s">
        <v>63</v>
      </c>
      <c r="P129" s="71" t="s">
        <v>63</v>
      </c>
      <c r="Q129" s="71" t="s">
        <v>63</v>
      </c>
      <c r="R129" s="71" t="s">
        <v>63</v>
      </c>
      <c r="S129" s="71" t="s">
        <v>63</v>
      </c>
      <c r="T129" s="71" t="s">
        <v>63</v>
      </c>
      <c r="U129" s="71" t="s">
        <v>63</v>
      </c>
      <c r="X129" s="63" t="s">
        <v>30</v>
      </c>
      <c r="Y129" s="63" t="s">
        <v>30</v>
      </c>
      <c r="Z129" s="63" t="s">
        <v>30</v>
      </c>
      <c r="AA129" s="63" t="s">
        <v>30</v>
      </c>
      <c r="AB129" s="62"/>
      <c r="AC129" s="63" t="s">
        <v>30</v>
      </c>
      <c r="AD129" s="63" t="s">
        <v>30</v>
      </c>
      <c r="AE129" s="63" t="s">
        <v>30</v>
      </c>
      <c r="AF129" s="63" t="s">
        <v>30</v>
      </c>
      <c r="AG129" s="62"/>
      <c r="AH129" s="63" t="s">
        <v>30</v>
      </c>
      <c r="AI129" s="63" t="s">
        <v>30</v>
      </c>
      <c r="AJ129" s="63" t="s">
        <v>30</v>
      </c>
    </row>
    <row r="130" spans="2:36" hidden="1" outlineLevel="1" x14ac:dyDescent="0.25">
      <c r="B130" s="229" t="s">
        <v>195</v>
      </c>
      <c r="E130" s="78" t="s">
        <v>43</v>
      </c>
      <c r="F130" s="21">
        <f>F450</f>
        <v>0</v>
      </c>
      <c r="G130" s="21">
        <f t="shared" ref="G130:H130" si="264">G450</f>
        <v>0</v>
      </c>
      <c r="H130" s="21">
        <f t="shared" si="264"/>
        <v>0</v>
      </c>
      <c r="I130" s="85">
        <f>IF(X130="",I450,X130)</f>
        <v>0</v>
      </c>
      <c r="J130" s="85">
        <f t="shared" ref="J130:J139" si="265">IF(Y130="",J450,Y130)</f>
        <v>0</v>
      </c>
      <c r="K130" s="85">
        <f t="shared" ref="K130:K139" si="266">IF(Z130="",K450,Z130)</f>
        <v>0</v>
      </c>
      <c r="L130" s="85">
        <f t="shared" ref="L130:L139" si="267">IF(AA130="",L450,AA130)</f>
        <v>0</v>
      </c>
      <c r="M130" s="17">
        <f>L130</f>
        <v>0</v>
      </c>
      <c r="N130" s="85">
        <f t="shared" ref="N130:N139" si="268">IF(AC130="",N450,AC130)</f>
        <v>0</v>
      </c>
      <c r="O130" s="85">
        <f t="shared" ref="O130:O139" si="269">IF(AD130="",O450,AD130)</f>
        <v>0</v>
      </c>
      <c r="P130" s="85">
        <f t="shared" ref="P130:P139" si="270">IF(AE130="",P450,AE130)</f>
        <v>0</v>
      </c>
      <c r="Q130" s="85">
        <f t="shared" ref="Q130:Q139" si="271">IF(AF130="",Q450,AF130)</f>
        <v>0</v>
      </c>
      <c r="R130" s="22">
        <f>Q130</f>
        <v>0</v>
      </c>
      <c r="S130" s="23">
        <f t="shared" ref="S130:S139" si="272">IF(AH130="",S450,AH130)</f>
        <v>0</v>
      </c>
      <c r="T130" s="23">
        <f t="shared" ref="T130:T139" si="273">IF(AI130="",T450,AI130)</f>
        <v>0</v>
      </c>
      <c r="U130" s="23">
        <f t="shared" ref="U130:U139" si="274">IF(AJ130="",U450,AJ130)</f>
        <v>0</v>
      </c>
      <c r="W130" s="78" t="str">
        <f t="shared" ref="W130:W132" si="275">E130</f>
        <v>Trade Accounts Payable</v>
      </c>
      <c r="X130" s="64"/>
      <c r="Y130" s="64"/>
      <c r="Z130" s="64"/>
      <c r="AA130" s="64"/>
      <c r="AB130" s="60"/>
      <c r="AC130" s="64"/>
      <c r="AD130" s="64"/>
      <c r="AE130" s="64"/>
      <c r="AF130" s="64"/>
      <c r="AG130" s="60"/>
      <c r="AH130" s="64"/>
      <c r="AI130" s="64"/>
      <c r="AJ130" s="64"/>
    </row>
    <row r="131" spans="2:36" hidden="1" outlineLevel="1" x14ac:dyDescent="0.25">
      <c r="B131" s="229" t="s">
        <v>195</v>
      </c>
      <c r="E131" s="78" t="s">
        <v>126</v>
      </c>
      <c r="F131" s="21">
        <f t="shared" ref="F131:H131" si="276">F451</f>
        <v>0</v>
      </c>
      <c r="G131" s="21">
        <f t="shared" si="276"/>
        <v>0</v>
      </c>
      <c r="H131" s="21">
        <f t="shared" si="276"/>
        <v>0</v>
      </c>
      <c r="I131" s="85">
        <f t="shared" ref="I131:I139" si="277">IF(X131="",I451,X131)</f>
        <v>0</v>
      </c>
      <c r="J131" s="85">
        <f t="shared" si="265"/>
        <v>0</v>
      </c>
      <c r="K131" s="85">
        <f t="shared" si="266"/>
        <v>0</v>
      </c>
      <c r="L131" s="85">
        <f t="shared" si="267"/>
        <v>0</v>
      </c>
      <c r="M131" s="17">
        <f t="shared" ref="M131:M139" si="278">L131</f>
        <v>0</v>
      </c>
      <c r="N131" s="85">
        <f t="shared" si="268"/>
        <v>0</v>
      </c>
      <c r="O131" s="85">
        <f t="shared" si="269"/>
        <v>0</v>
      </c>
      <c r="P131" s="85">
        <f t="shared" si="270"/>
        <v>0</v>
      </c>
      <c r="Q131" s="85">
        <f t="shared" si="271"/>
        <v>0</v>
      </c>
      <c r="R131" s="22">
        <f t="shared" ref="R131:R139" si="279">Q131</f>
        <v>0</v>
      </c>
      <c r="S131" s="23">
        <f t="shared" si="272"/>
        <v>0</v>
      </c>
      <c r="T131" s="23">
        <f t="shared" si="273"/>
        <v>0</v>
      </c>
      <c r="U131" s="23">
        <f t="shared" si="274"/>
        <v>0</v>
      </c>
      <c r="W131" s="78" t="str">
        <f t="shared" si="275"/>
        <v>Trade Payables Subledger</v>
      </c>
      <c r="X131" s="64"/>
      <c r="Y131" s="64"/>
      <c r="Z131" s="64"/>
      <c r="AA131" s="64"/>
      <c r="AB131" s="60"/>
      <c r="AC131" s="64"/>
      <c r="AD131" s="64"/>
      <c r="AE131" s="64"/>
      <c r="AF131" s="64"/>
      <c r="AG131" s="60"/>
      <c r="AH131" s="64"/>
      <c r="AI131" s="64"/>
      <c r="AJ131" s="64"/>
    </row>
    <row r="132" spans="2:36" hidden="1" outlineLevel="1" x14ac:dyDescent="0.25">
      <c r="B132" s="229" t="s">
        <v>195</v>
      </c>
      <c r="E132" s="78" t="s">
        <v>127</v>
      </c>
      <c r="F132" s="21">
        <f t="shared" ref="F132:H132" si="280">F452</f>
        <v>0</v>
      </c>
      <c r="G132" s="21">
        <f t="shared" si="280"/>
        <v>0</v>
      </c>
      <c r="H132" s="21">
        <f t="shared" si="280"/>
        <v>0</v>
      </c>
      <c r="I132" s="85">
        <f t="shared" si="277"/>
        <v>0</v>
      </c>
      <c r="J132" s="85">
        <f t="shared" si="265"/>
        <v>0</v>
      </c>
      <c r="K132" s="85">
        <f t="shared" si="266"/>
        <v>0</v>
      </c>
      <c r="L132" s="85">
        <f t="shared" si="267"/>
        <v>0</v>
      </c>
      <c r="M132" s="17">
        <f t="shared" si="278"/>
        <v>0</v>
      </c>
      <c r="N132" s="85">
        <f t="shared" si="268"/>
        <v>0</v>
      </c>
      <c r="O132" s="85">
        <f t="shared" si="269"/>
        <v>0</v>
      </c>
      <c r="P132" s="85">
        <f t="shared" si="270"/>
        <v>0</v>
      </c>
      <c r="Q132" s="85">
        <f t="shared" si="271"/>
        <v>0</v>
      </c>
      <c r="R132" s="22">
        <f t="shared" si="279"/>
        <v>0</v>
      </c>
      <c r="S132" s="23">
        <f t="shared" si="272"/>
        <v>0</v>
      </c>
      <c r="T132" s="23">
        <f t="shared" si="273"/>
        <v>0</v>
      </c>
      <c r="U132" s="23">
        <f t="shared" si="274"/>
        <v>0</v>
      </c>
      <c r="W132" s="78" t="str">
        <f t="shared" si="275"/>
        <v>Trade Payables GRNI</v>
      </c>
      <c r="X132" s="64"/>
      <c r="Y132" s="64"/>
      <c r="Z132" s="64"/>
      <c r="AA132" s="64"/>
      <c r="AB132" s="60"/>
      <c r="AC132" s="64"/>
      <c r="AD132" s="64"/>
      <c r="AE132" s="64"/>
      <c r="AF132" s="64"/>
      <c r="AG132" s="60"/>
      <c r="AH132" s="64"/>
      <c r="AI132" s="64"/>
      <c r="AJ132" s="64"/>
    </row>
    <row r="133" spans="2:36" hidden="1" outlineLevel="1" x14ac:dyDescent="0.25">
      <c r="B133" s="229" t="s">
        <v>195</v>
      </c>
      <c r="E133" s="78" t="s">
        <v>44</v>
      </c>
      <c r="F133" s="21">
        <f t="shared" ref="F133:H133" si="281">F453</f>
        <v>0</v>
      </c>
      <c r="G133" s="21">
        <f t="shared" si="281"/>
        <v>0</v>
      </c>
      <c r="H133" s="21">
        <f t="shared" si="281"/>
        <v>0</v>
      </c>
      <c r="I133" s="85">
        <f t="shared" si="277"/>
        <v>0</v>
      </c>
      <c r="J133" s="85">
        <f t="shared" si="265"/>
        <v>0</v>
      </c>
      <c r="K133" s="85">
        <f t="shared" si="266"/>
        <v>0</v>
      </c>
      <c r="L133" s="85">
        <f t="shared" si="267"/>
        <v>0</v>
      </c>
      <c r="M133" s="17">
        <f t="shared" si="278"/>
        <v>0</v>
      </c>
      <c r="N133" s="85">
        <f t="shared" si="268"/>
        <v>0</v>
      </c>
      <c r="O133" s="85">
        <f t="shared" si="269"/>
        <v>0</v>
      </c>
      <c r="P133" s="85">
        <f t="shared" si="270"/>
        <v>0</v>
      </c>
      <c r="Q133" s="85">
        <f t="shared" si="271"/>
        <v>0</v>
      </c>
      <c r="R133" s="22">
        <f t="shared" si="279"/>
        <v>0</v>
      </c>
      <c r="S133" s="23">
        <f t="shared" si="272"/>
        <v>0</v>
      </c>
      <c r="T133" s="23">
        <f t="shared" si="273"/>
        <v>0</v>
      </c>
      <c r="U133" s="23">
        <f t="shared" si="274"/>
        <v>0</v>
      </c>
      <c r="W133" s="78" t="str">
        <f>E133</f>
        <v>Intercompany Payables</v>
      </c>
      <c r="X133" s="64"/>
      <c r="Y133" s="64"/>
      <c r="Z133" s="64"/>
      <c r="AA133" s="64"/>
      <c r="AB133" s="60"/>
      <c r="AC133" s="64"/>
      <c r="AD133" s="64"/>
      <c r="AE133" s="64"/>
      <c r="AF133" s="64"/>
      <c r="AG133" s="60"/>
      <c r="AH133" s="64"/>
      <c r="AI133" s="64"/>
      <c r="AJ133" s="64"/>
    </row>
    <row r="134" spans="2:36" hidden="1" outlineLevel="1" x14ac:dyDescent="0.25">
      <c r="B134" s="229" t="s">
        <v>195</v>
      </c>
      <c r="E134" s="78" t="s">
        <v>77</v>
      </c>
      <c r="F134" s="21">
        <f t="shared" ref="F134:H134" si="282">F454</f>
        <v>0</v>
      </c>
      <c r="G134" s="21">
        <f t="shared" si="282"/>
        <v>0</v>
      </c>
      <c r="H134" s="21">
        <f t="shared" si="282"/>
        <v>0</v>
      </c>
      <c r="I134" s="85">
        <f t="shared" si="277"/>
        <v>0</v>
      </c>
      <c r="J134" s="85">
        <f t="shared" si="265"/>
        <v>0</v>
      </c>
      <c r="K134" s="85">
        <f t="shared" si="266"/>
        <v>0</v>
      </c>
      <c r="L134" s="85">
        <f t="shared" si="267"/>
        <v>0</v>
      </c>
      <c r="M134" s="17">
        <f t="shared" si="278"/>
        <v>0</v>
      </c>
      <c r="N134" s="85">
        <f t="shared" si="268"/>
        <v>0</v>
      </c>
      <c r="O134" s="85">
        <f t="shared" si="269"/>
        <v>0</v>
      </c>
      <c r="P134" s="85">
        <f t="shared" si="270"/>
        <v>0</v>
      </c>
      <c r="Q134" s="85">
        <f t="shared" si="271"/>
        <v>0</v>
      </c>
      <c r="R134" s="22">
        <f t="shared" si="279"/>
        <v>0</v>
      </c>
      <c r="S134" s="23">
        <f t="shared" si="272"/>
        <v>0</v>
      </c>
      <c r="T134" s="23">
        <f t="shared" si="273"/>
        <v>0</v>
      </c>
      <c r="U134" s="23">
        <f t="shared" si="274"/>
        <v>0</v>
      </c>
      <c r="W134" s="78" t="str">
        <f t="shared" ref="W134:W139" si="283">E134</f>
        <v>blank</v>
      </c>
      <c r="X134" s="64"/>
      <c r="Y134" s="64"/>
      <c r="Z134" s="64"/>
      <c r="AA134" s="64"/>
      <c r="AB134" s="60"/>
      <c r="AC134" s="64"/>
      <c r="AD134" s="64"/>
      <c r="AE134" s="64"/>
      <c r="AF134" s="64"/>
      <c r="AG134" s="60"/>
      <c r="AH134" s="64"/>
      <c r="AI134" s="64"/>
      <c r="AJ134" s="64"/>
    </row>
    <row r="135" spans="2:36" hidden="1" outlineLevel="1" x14ac:dyDescent="0.25">
      <c r="B135" s="229" t="s">
        <v>195</v>
      </c>
      <c r="E135" s="78" t="s">
        <v>77</v>
      </c>
      <c r="F135" s="21">
        <f t="shared" ref="F135:H135" si="284">F455</f>
        <v>0</v>
      </c>
      <c r="G135" s="21">
        <f t="shared" si="284"/>
        <v>0</v>
      </c>
      <c r="H135" s="21">
        <f t="shared" si="284"/>
        <v>0</v>
      </c>
      <c r="I135" s="85">
        <f t="shared" si="277"/>
        <v>0</v>
      </c>
      <c r="J135" s="85">
        <f t="shared" si="265"/>
        <v>0</v>
      </c>
      <c r="K135" s="85">
        <f t="shared" si="266"/>
        <v>0</v>
      </c>
      <c r="L135" s="85">
        <f t="shared" si="267"/>
        <v>0</v>
      </c>
      <c r="M135" s="17">
        <f t="shared" si="278"/>
        <v>0</v>
      </c>
      <c r="N135" s="85">
        <f t="shared" si="268"/>
        <v>0</v>
      </c>
      <c r="O135" s="85">
        <f t="shared" si="269"/>
        <v>0</v>
      </c>
      <c r="P135" s="85">
        <f t="shared" si="270"/>
        <v>0</v>
      </c>
      <c r="Q135" s="85">
        <f t="shared" si="271"/>
        <v>0</v>
      </c>
      <c r="R135" s="22">
        <f t="shared" si="279"/>
        <v>0</v>
      </c>
      <c r="S135" s="23">
        <f t="shared" si="272"/>
        <v>0</v>
      </c>
      <c r="T135" s="23">
        <f t="shared" si="273"/>
        <v>0</v>
      </c>
      <c r="U135" s="23">
        <f t="shared" si="274"/>
        <v>0</v>
      </c>
      <c r="W135" s="78" t="str">
        <f t="shared" si="283"/>
        <v>blank</v>
      </c>
      <c r="X135" s="64"/>
      <c r="Y135" s="64"/>
      <c r="Z135" s="64"/>
      <c r="AA135" s="64"/>
      <c r="AB135" s="60"/>
      <c r="AC135" s="64"/>
      <c r="AD135" s="64"/>
      <c r="AE135" s="64"/>
      <c r="AF135" s="64"/>
      <c r="AG135" s="60"/>
      <c r="AH135" s="64"/>
      <c r="AI135" s="64"/>
      <c r="AJ135" s="64"/>
    </row>
    <row r="136" spans="2:36" hidden="1" outlineLevel="1" x14ac:dyDescent="0.25">
      <c r="B136" s="229" t="s">
        <v>195</v>
      </c>
      <c r="E136" s="78" t="s">
        <v>77</v>
      </c>
      <c r="F136" s="21">
        <f t="shared" ref="F136:H136" si="285">F456</f>
        <v>0</v>
      </c>
      <c r="G136" s="21">
        <f t="shared" si="285"/>
        <v>0</v>
      </c>
      <c r="H136" s="21">
        <f t="shared" si="285"/>
        <v>0</v>
      </c>
      <c r="I136" s="85">
        <f t="shared" si="277"/>
        <v>0</v>
      </c>
      <c r="J136" s="85">
        <f t="shared" si="265"/>
        <v>0</v>
      </c>
      <c r="K136" s="85">
        <f t="shared" si="266"/>
        <v>0</v>
      </c>
      <c r="L136" s="85">
        <f t="shared" si="267"/>
        <v>0</v>
      </c>
      <c r="M136" s="17">
        <f t="shared" si="278"/>
        <v>0</v>
      </c>
      <c r="N136" s="85">
        <f t="shared" si="268"/>
        <v>0</v>
      </c>
      <c r="O136" s="85">
        <f t="shared" si="269"/>
        <v>0</v>
      </c>
      <c r="P136" s="85">
        <f t="shared" si="270"/>
        <v>0</v>
      </c>
      <c r="Q136" s="85">
        <f t="shared" si="271"/>
        <v>0</v>
      </c>
      <c r="R136" s="22">
        <f t="shared" si="279"/>
        <v>0</v>
      </c>
      <c r="S136" s="23">
        <f t="shared" si="272"/>
        <v>0</v>
      </c>
      <c r="T136" s="23">
        <f t="shared" si="273"/>
        <v>0</v>
      </c>
      <c r="U136" s="23">
        <f t="shared" si="274"/>
        <v>0</v>
      </c>
      <c r="W136" s="78" t="str">
        <f t="shared" si="283"/>
        <v>blank</v>
      </c>
      <c r="X136" s="64"/>
      <c r="Y136" s="64"/>
      <c r="Z136" s="64"/>
      <c r="AA136" s="64"/>
      <c r="AB136" s="60"/>
      <c r="AC136" s="64"/>
      <c r="AD136" s="64"/>
      <c r="AE136" s="64"/>
      <c r="AF136" s="64"/>
      <c r="AG136" s="60"/>
      <c r="AH136" s="64"/>
      <c r="AI136" s="64"/>
      <c r="AJ136" s="64"/>
    </row>
    <row r="137" spans="2:36" hidden="1" outlineLevel="1" x14ac:dyDescent="0.25">
      <c r="B137" s="229" t="s">
        <v>195</v>
      </c>
      <c r="E137" s="78" t="s">
        <v>77</v>
      </c>
      <c r="F137" s="21">
        <f t="shared" ref="F137:H137" si="286">F457</f>
        <v>0</v>
      </c>
      <c r="G137" s="21">
        <f t="shared" si="286"/>
        <v>0</v>
      </c>
      <c r="H137" s="21">
        <f t="shared" si="286"/>
        <v>0</v>
      </c>
      <c r="I137" s="85">
        <f t="shared" si="277"/>
        <v>0</v>
      </c>
      <c r="J137" s="85">
        <f t="shared" si="265"/>
        <v>0</v>
      </c>
      <c r="K137" s="85">
        <f t="shared" si="266"/>
        <v>0</v>
      </c>
      <c r="L137" s="85">
        <f t="shared" si="267"/>
        <v>0</v>
      </c>
      <c r="M137" s="17">
        <f t="shared" si="278"/>
        <v>0</v>
      </c>
      <c r="N137" s="85">
        <f t="shared" si="268"/>
        <v>0</v>
      </c>
      <c r="O137" s="85">
        <f t="shared" si="269"/>
        <v>0</v>
      </c>
      <c r="P137" s="85">
        <f t="shared" si="270"/>
        <v>0</v>
      </c>
      <c r="Q137" s="85">
        <f t="shared" si="271"/>
        <v>0</v>
      </c>
      <c r="R137" s="22">
        <f t="shared" si="279"/>
        <v>0</v>
      </c>
      <c r="S137" s="23">
        <f t="shared" si="272"/>
        <v>0</v>
      </c>
      <c r="T137" s="23">
        <f t="shared" si="273"/>
        <v>0</v>
      </c>
      <c r="U137" s="23">
        <f t="shared" si="274"/>
        <v>0</v>
      </c>
      <c r="W137" s="78" t="str">
        <f t="shared" si="283"/>
        <v>blank</v>
      </c>
      <c r="X137" s="64"/>
      <c r="Y137" s="64"/>
      <c r="Z137" s="64"/>
      <c r="AA137" s="64"/>
      <c r="AB137" s="60"/>
      <c r="AC137" s="64"/>
      <c r="AD137" s="64"/>
      <c r="AE137" s="64"/>
      <c r="AF137" s="64"/>
      <c r="AG137" s="60"/>
      <c r="AH137" s="64"/>
      <c r="AI137" s="64"/>
      <c r="AJ137" s="64"/>
    </row>
    <row r="138" spans="2:36" hidden="1" outlineLevel="1" x14ac:dyDescent="0.25">
      <c r="B138" s="229" t="s">
        <v>195</v>
      </c>
      <c r="E138" s="78" t="s">
        <v>77</v>
      </c>
      <c r="F138" s="21">
        <f t="shared" ref="F138:H138" si="287">F458</f>
        <v>0</v>
      </c>
      <c r="G138" s="21">
        <f t="shared" si="287"/>
        <v>0</v>
      </c>
      <c r="H138" s="21">
        <f t="shared" si="287"/>
        <v>0</v>
      </c>
      <c r="I138" s="85">
        <f t="shared" si="277"/>
        <v>0</v>
      </c>
      <c r="J138" s="85">
        <f t="shared" si="265"/>
        <v>0</v>
      </c>
      <c r="K138" s="85">
        <f t="shared" si="266"/>
        <v>0</v>
      </c>
      <c r="L138" s="85">
        <f t="shared" si="267"/>
        <v>0</v>
      </c>
      <c r="M138" s="17">
        <f t="shared" si="278"/>
        <v>0</v>
      </c>
      <c r="N138" s="85">
        <f t="shared" si="268"/>
        <v>0</v>
      </c>
      <c r="O138" s="85">
        <f t="shared" si="269"/>
        <v>0</v>
      </c>
      <c r="P138" s="85">
        <f t="shared" si="270"/>
        <v>0</v>
      </c>
      <c r="Q138" s="85">
        <f t="shared" si="271"/>
        <v>0</v>
      </c>
      <c r="R138" s="22">
        <f t="shared" si="279"/>
        <v>0</v>
      </c>
      <c r="S138" s="23">
        <f t="shared" si="272"/>
        <v>0</v>
      </c>
      <c r="T138" s="23">
        <f t="shared" si="273"/>
        <v>0</v>
      </c>
      <c r="U138" s="23">
        <f t="shared" si="274"/>
        <v>0</v>
      </c>
      <c r="W138" s="78" t="str">
        <f t="shared" si="283"/>
        <v>blank</v>
      </c>
      <c r="X138" s="64"/>
      <c r="Y138" s="64"/>
      <c r="Z138" s="64"/>
      <c r="AA138" s="64"/>
      <c r="AB138" s="60"/>
      <c r="AC138" s="64"/>
      <c r="AD138" s="64"/>
      <c r="AE138" s="64"/>
      <c r="AF138" s="64"/>
      <c r="AG138" s="60"/>
      <c r="AH138" s="64"/>
      <c r="AI138" s="64"/>
      <c r="AJ138" s="64"/>
    </row>
    <row r="139" spans="2:36" hidden="1" outlineLevel="1" x14ac:dyDescent="0.25">
      <c r="B139" s="229" t="s">
        <v>195</v>
      </c>
      <c r="E139" s="78" t="s">
        <v>77</v>
      </c>
      <c r="F139" s="21">
        <f t="shared" ref="F139:H139" si="288">F459</f>
        <v>0</v>
      </c>
      <c r="G139" s="21">
        <f t="shared" si="288"/>
        <v>0</v>
      </c>
      <c r="H139" s="21">
        <f t="shared" si="288"/>
        <v>0</v>
      </c>
      <c r="I139" s="85">
        <f t="shared" si="277"/>
        <v>0</v>
      </c>
      <c r="J139" s="85">
        <f t="shared" si="265"/>
        <v>0</v>
      </c>
      <c r="K139" s="85">
        <f t="shared" si="266"/>
        <v>0</v>
      </c>
      <c r="L139" s="85">
        <f t="shared" si="267"/>
        <v>0</v>
      </c>
      <c r="M139" s="17">
        <f t="shared" si="278"/>
        <v>0</v>
      </c>
      <c r="N139" s="85">
        <f t="shared" si="268"/>
        <v>0</v>
      </c>
      <c r="O139" s="85">
        <f t="shared" si="269"/>
        <v>0</v>
      </c>
      <c r="P139" s="85">
        <f t="shared" si="270"/>
        <v>0</v>
      </c>
      <c r="Q139" s="85">
        <f t="shared" si="271"/>
        <v>0</v>
      </c>
      <c r="R139" s="22">
        <f t="shared" si="279"/>
        <v>0</v>
      </c>
      <c r="S139" s="23">
        <f t="shared" si="272"/>
        <v>0</v>
      </c>
      <c r="T139" s="23">
        <f t="shared" si="273"/>
        <v>0</v>
      </c>
      <c r="U139" s="23">
        <f t="shared" si="274"/>
        <v>0</v>
      </c>
      <c r="W139" s="78" t="str">
        <f t="shared" si="283"/>
        <v>blank</v>
      </c>
      <c r="X139" s="64"/>
      <c r="Y139" s="64"/>
      <c r="Z139" s="64"/>
      <c r="AA139" s="64"/>
      <c r="AB139" s="60"/>
      <c r="AC139" s="64"/>
      <c r="AD139" s="64"/>
      <c r="AE139" s="64"/>
      <c r="AF139" s="64"/>
      <c r="AG139" s="60"/>
      <c r="AH139" s="64"/>
      <c r="AI139" s="64"/>
      <c r="AJ139" s="64"/>
    </row>
    <row r="140" spans="2:36" ht="15.75" hidden="1" outlineLevel="1" thickBot="1" x14ac:dyDescent="0.3">
      <c r="E140" s="8" t="s">
        <v>131</v>
      </c>
      <c r="F140" s="9">
        <f>SUM(F130:F139)</f>
        <v>0</v>
      </c>
      <c r="G140" s="9">
        <f t="shared" ref="G140" si="289">SUM(G130:G139)</f>
        <v>0</v>
      </c>
      <c r="H140" s="9">
        <f t="shared" ref="H140" si="290">SUM(H130:H139)</f>
        <v>0</v>
      </c>
      <c r="I140" s="86">
        <f t="shared" ref="I140" si="291">SUM(I130:I139)</f>
        <v>0</v>
      </c>
      <c r="J140" s="86">
        <f t="shared" ref="J140" si="292">SUM(J130:J139)</f>
        <v>0</v>
      </c>
      <c r="K140" s="86">
        <f t="shared" ref="K140" si="293">SUM(K130:K139)</f>
        <v>0</v>
      </c>
      <c r="L140" s="86">
        <f t="shared" ref="L140" si="294">SUM(L130:L139)</f>
        <v>0</v>
      </c>
      <c r="M140" s="18">
        <f t="shared" ref="M140" si="295">SUM(M130:M139)</f>
        <v>0</v>
      </c>
      <c r="N140" s="86">
        <f t="shared" ref="N140" si="296">SUM(N130:N139)</f>
        <v>0</v>
      </c>
      <c r="O140" s="86">
        <f t="shared" ref="O140" si="297">SUM(O130:O139)</f>
        <v>0</v>
      </c>
      <c r="P140" s="86">
        <f t="shared" ref="P140" si="298">SUM(P130:P139)</f>
        <v>0</v>
      </c>
      <c r="Q140" s="86">
        <f t="shared" ref="Q140" si="299">SUM(Q130:Q139)</f>
        <v>0</v>
      </c>
      <c r="R140" s="19">
        <f t="shared" ref="R140" si="300">SUM(R130:R139)</f>
        <v>0</v>
      </c>
      <c r="S140" s="20">
        <f t="shared" ref="S140" si="301">SUM(S130:S139)</f>
        <v>0</v>
      </c>
      <c r="T140" s="20">
        <f t="shared" ref="T140" si="302">SUM(T130:T139)</f>
        <v>0</v>
      </c>
      <c r="U140" s="20">
        <f t="shared" ref="U140" si="303">SUM(U130:U139)</f>
        <v>0</v>
      </c>
    </row>
    <row r="141" spans="2:36" ht="15.75" hidden="1" outlineLevel="1" thickTop="1" x14ac:dyDescent="0.25"/>
    <row r="142" spans="2:36" hidden="1" outlineLevel="1" x14ac:dyDescent="0.25"/>
    <row r="143" spans="2:36" hidden="1" outlineLevel="1" x14ac:dyDescent="0.25"/>
    <row r="144" spans="2:36" hidden="1" outlineLevel="1" x14ac:dyDescent="0.25">
      <c r="E144" s="4" t="s">
        <v>109</v>
      </c>
      <c r="W144" s="4" t="str">
        <f>E144</f>
        <v>Short Term Deferred Revenue</v>
      </c>
    </row>
    <row r="145" spans="2:36" hidden="1" outlineLevel="1" x14ac:dyDescent="0.25">
      <c r="E145" s="6" t="s">
        <v>25</v>
      </c>
      <c r="W145" s="61" t="s">
        <v>62</v>
      </c>
    </row>
    <row r="146" spans="2:36" hidden="1" outlineLevel="1" x14ac:dyDescent="0.25"/>
    <row r="147" spans="2:36" hidden="1" outlineLevel="1" x14ac:dyDescent="0.25">
      <c r="F147" s="12">
        <f>Inputs!$C$7</f>
        <v>2023</v>
      </c>
      <c r="G147" s="12">
        <f>Inputs!$C$8</f>
        <v>2024</v>
      </c>
      <c r="H147" s="12">
        <f>Inputs!$C$9</f>
        <v>2025</v>
      </c>
      <c r="I147" s="13" t="s">
        <v>1</v>
      </c>
      <c r="J147" s="13" t="s">
        <v>2</v>
      </c>
      <c r="K147" s="13" t="s">
        <v>3</v>
      </c>
      <c r="L147" s="13" t="s">
        <v>4</v>
      </c>
      <c r="M147" s="13">
        <f>Inputs!$C$10</f>
        <v>2026</v>
      </c>
      <c r="N147" s="14" t="s">
        <v>1</v>
      </c>
      <c r="O147" s="14" t="s">
        <v>2</v>
      </c>
      <c r="P147" s="14" t="s">
        <v>3</v>
      </c>
      <c r="Q147" s="14" t="s">
        <v>4</v>
      </c>
      <c r="R147" s="15">
        <f>Inputs!$C$11</f>
        <v>2027</v>
      </c>
      <c r="S147" s="16">
        <f>Inputs!$C$12</f>
        <v>2028</v>
      </c>
      <c r="T147" s="16">
        <f>Inputs!$C$13</f>
        <v>2029</v>
      </c>
      <c r="U147" s="16">
        <f>Inputs!$C$14</f>
        <v>2030</v>
      </c>
      <c r="X147" s="13" t="s">
        <v>1</v>
      </c>
      <c r="Y147" s="13" t="s">
        <v>2</v>
      </c>
      <c r="Z147" s="13" t="s">
        <v>3</v>
      </c>
      <c r="AA147" s="13" t="s">
        <v>4</v>
      </c>
      <c r="AB147" s="13">
        <f>Inputs!$C$10</f>
        <v>2026</v>
      </c>
      <c r="AC147" s="14" t="s">
        <v>1</v>
      </c>
      <c r="AD147" s="14" t="s">
        <v>2</v>
      </c>
      <c r="AE147" s="14" t="s">
        <v>3</v>
      </c>
      <c r="AF147" s="14" t="s">
        <v>4</v>
      </c>
      <c r="AG147" s="15">
        <f>Inputs!$C$11</f>
        <v>2027</v>
      </c>
      <c r="AH147" s="16">
        <f>Inputs!$C$12</f>
        <v>2028</v>
      </c>
      <c r="AI147" s="16">
        <f>Inputs!$C$13</f>
        <v>2029</v>
      </c>
      <c r="AJ147" s="16">
        <f>Inputs!$C$14</f>
        <v>2030</v>
      </c>
    </row>
    <row r="148" spans="2:36" hidden="1" outlineLevel="1" x14ac:dyDescent="0.25">
      <c r="F148" s="71" t="s">
        <v>63</v>
      </c>
      <c r="G148" s="71" t="s">
        <v>63</v>
      </c>
      <c r="H148" s="71" t="s">
        <v>63</v>
      </c>
      <c r="I148" s="71" t="s">
        <v>63</v>
      </c>
      <c r="J148" s="71" t="s">
        <v>63</v>
      </c>
      <c r="K148" s="71" t="s">
        <v>63</v>
      </c>
      <c r="L148" s="71" t="s">
        <v>63</v>
      </c>
      <c r="M148" s="71" t="s">
        <v>63</v>
      </c>
      <c r="N148" s="71" t="s">
        <v>63</v>
      </c>
      <c r="O148" s="71" t="s">
        <v>63</v>
      </c>
      <c r="P148" s="71" t="s">
        <v>63</v>
      </c>
      <c r="Q148" s="71" t="s">
        <v>63</v>
      </c>
      <c r="R148" s="71" t="s">
        <v>63</v>
      </c>
      <c r="S148" s="71" t="s">
        <v>63</v>
      </c>
      <c r="T148" s="71" t="s">
        <v>63</v>
      </c>
      <c r="U148" s="71" t="s">
        <v>63</v>
      </c>
      <c r="X148" s="63" t="s">
        <v>30</v>
      </c>
      <c r="Y148" s="63" t="s">
        <v>30</v>
      </c>
      <c r="Z148" s="63" t="s">
        <v>30</v>
      </c>
      <c r="AA148" s="63" t="s">
        <v>30</v>
      </c>
      <c r="AB148" s="62"/>
      <c r="AC148" s="63" t="s">
        <v>30</v>
      </c>
      <c r="AD148" s="63" t="s">
        <v>30</v>
      </c>
      <c r="AE148" s="63" t="s">
        <v>30</v>
      </c>
      <c r="AF148" s="63" t="s">
        <v>30</v>
      </c>
      <c r="AG148" s="62"/>
      <c r="AH148" s="63" t="s">
        <v>30</v>
      </c>
      <c r="AI148" s="63" t="s">
        <v>30</v>
      </c>
      <c r="AJ148" s="63" t="s">
        <v>30</v>
      </c>
    </row>
    <row r="149" spans="2:36" hidden="1" outlineLevel="1" x14ac:dyDescent="0.25">
      <c r="B149" s="229" t="s">
        <v>195</v>
      </c>
      <c r="E149" s="78" t="s">
        <v>129</v>
      </c>
      <c r="F149" s="21">
        <f>F469</f>
        <v>0</v>
      </c>
      <c r="G149" s="21">
        <f t="shared" ref="G149:H149" si="304">G469</f>
        <v>0</v>
      </c>
      <c r="H149" s="21">
        <f t="shared" si="304"/>
        <v>0</v>
      </c>
      <c r="I149" s="85">
        <f>IF(X149="",I469,X149)</f>
        <v>0</v>
      </c>
      <c r="J149" s="85">
        <f t="shared" ref="J149:J158" si="305">IF(Y149="",J469,Y149)</f>
        <v>0</v>
      </c>
      <c r="K149" s="85">
        <f t="shared" ref="K149:K158" si="306">IF(Z149="",K469,Z149)</f>
        <v>0</v>
      </c>
      <c r="L149" s="85">
        <f t="shared" ref="L149:L158" si="307">IF(AA149="",L469,AA149)</f>
        <v>0</v>
      </c>
      <c r="M149" s="17">
        <f>L149</f>
        <v>0</v>
      </c>
      <c r="N149" s="85">
        <f t="shared" ref="N149:N158" si="308">IF(AC149="",N469,AC149)</f>
        <v>0</v>
      </c>
      <c r="O149" s="85">
        <f t="shared" ref="O149:O158" si="309">IF(AD149="",O469,AD149)</f>
        <v>0</v>
      </c>
      <c r="P149" s="85">
        <f t="shared" ref="P149:P158" si="310">IF(AE149="",P469,AE149)</f>
        <v>0</v>
      </c>
      <c r="Q149" s="85">
        <f t="shared" ref="Q149:Q158" si="311">IF(AF149="",Q469,AF149)</f>
        <v>0</v>
      </c>
      <c r="R149" s="22">
        <f>Q149</f>
        <v>0</v>
      </c>
      <c r="S149" s="23">
        <f t="shared" ref="S149:S158" si="312">IF(AH149="",S469,AH149)</f>
        <v>0</v>
      </c>
      <c r="T149" s="23">
        <f t="shared" ref="T149:T158" si="313">IF(AI149="",T469,AI149)</f>
        <v>0</v>
      </c>
      <c r="U149" s="23">
        <f t="shared" ref="U149:U158" si="314">IF(AJ149="",U469,AJ149)</f>
        <v>0</v>
      </c>
      <c r="W149" s="78" t="str">
        <f>E149</f>
        <v>Unearned Revenue and Customer Deposits</v>
      </c>
      <c r="X149" s="64"/>
      <c r="Y149" s="64"/>
      <c r="Z149" s="64"/>
      <c r="AA149" s="64"/>
      <c r="AB149" s="60"/>
      <c r="AC149" s="64"/>
      <c r="AD149" s="64"/>
      <c r="AE149" s="64"/>
      <c r="AF149" s="64"/>
      <c r="AG149" s="60"/>
      <c r="AH149" s="64"/>
      <c r="AI149" s="64"/>
      <c r="AJ149" s="64"/>
    </row>
    <row r="150" spans="2:36" hidden="1" outlineLevel="1" x14ac:dyDescent="0.25">
      <c r="B150" s="229" t="s">
        <v>195</v>
      </c>
      <c r="E150" s="78" t="s">
        <v>77</v>
      </c>
      <c r="F150" s="21">
        <f t="shared" ref="F150:H150" si="315">F470</f>
        <v>0</v>
      </c>
      <c r="G150" s="21">
        <f t="shared" si="315"/>
        <v>0</v>
      </c>
      <c r="H150" s="21">
        <f t="shared" si="315"/>
        <v>0</v>
      </c>
      <c r="I150" s="85">
        <f t="shared" ref="I150:I158" si="316">IF(X150="",I470,X150)</f>
        <v>0</v>
      </c>
      <c r="J150" s="85">
        <f t="shared" si="305"/>
        <v>0</v>
      </c>
      <c r="K150" s="85">
        <f t="shared" si="306"/>
        <v>0</v>
      </c>
      <c r="L150" s="85">
        <f t="shared" si="307"/>
        <v>0</v>
      </c>
      <c r="M150" s="17">
        <f t="shared" ref="M150:M158" si="317">L150</f>
        <v>0</v>
      </c>
      <c r="N150" s="85">
        <f t="shared" si="308"/>
        <v>0</v>
      </c>
      <c r="O150" s="85">
        <f t="shared" si="309"/>
        <v>0</v>
      </c>
      <c r="P150" s="85">
        <f t="shared" si="310"/>
        <v>0</v>
      </c>
      <c r="Q150" s="85">
        <f t="shared" si="311"/>
        <v>0</v>
      </c>
      <c r="R150" s="22">
        <f t="shared" ref="R150:R158" si="318">Q150</f>
        <v>0</v>
      </c>
      <c r="S150" s="23">
        <f t="shared" si="312"/>
        <v>0</v>
      </c>
      <c r="T150" s="23">
        <f t="shared" si="313"/>
        <v>0</v>
      </c>
      <c r="U150" s="23">
        <f t="shared" si="314"/>
        <v>0</v>
      </c>
      <c r="W150" s="78" t="str">
        <f t="shared" ref="W150:W158" si="319">E150</f>
        <v>blank</v>
      </c>
      <c r="X150" s="64"/>
      <c r="Y150" s="64"/>
      <c r="Z150" s="64"/>
      <c r="AA150" s="64"/>
      <c r="AB150" s="60"/>
      <c r="AC150" s="64"/>
      <c r="AD150" s="64"/>
      <c r="AE150" s="64"/>
      <c r="AF150" s="64"/>
      <c r="AG150" s="60"/>
      <c r="AH150" s="64"/>
      <c r="AI150" s="64"/>
      <c r="AJ150" s="64"/>
    </row>
    <row r="151" spans="2:36" hidden="1" outlineLevel="1" x14ac:dyDescent="0.25">
      <c r="B151" s="229" t="s">
        <v>195</v>
      </c>
      <c r="E151" s="78" t="s">
        <v>77</v>
      </c>
      <c r="F151" s="21">
        <f t="shared" ref="F151:H151" si="320">F471</f>
        <v>0</v>
      </c>
      <c r="G151" s="21">
        <f t="shared" si="320"/>
        <v>0</v>
      </c>
      <c r="H151" s="21">
        <f t="shared" si="320"/>
        <v>0</v>
      </c>
      <c r="I151" s="85">
        <f t="shared" si="316"/>
        <v>0</v>
      </c>
      <c r="J151" s="85">
        <f t="shared" si="305"/>
        <v>0</v>
      </c>
      <c r="K151" s="85">
        <f t="shared" si="306"/>
        <v>0</v>
      </c>
      <c r="L151" s="85">
        <f t="shared" si="307"/>
        <v>0</v>
      </c>
      <c r="M151" s="17">
        <f t="shared" si="317"/>
        <v>0</v>
      </c>
      <c r="N151" s="85">
        <f t="shared" si="308"/>
        <v>0</v>
      </c>
      <c r="O151" s="85">
        <f t="shared" si="309"/>
        <v>0</v>
      </c>
      <c r="P151" s="85">
        <f t="shared" si="310"/>
        <v>0</v>
      </c>
      <c r="Q151" s="85">
        <f t="shared" si="311"/>
        <v>0</v>
      </c>
      <c r="R151" s="22">
        <f t="shared" si="318"/>
        <v>0</v>
      </c>
      <c r="S151" s="23">
        <f t="shared" si="312"/>
        <v>0</v>
      </c>
      <c r="T151" s="23">
        <f t="shared" si="313"/>
        <v>0</v>
      </c>
      <c r="U151" s="23">
        <f t="shared" si="314"/>
        <v>0</v>
      </c>
      <c r="W151" s="78" t="str">
        <f t="shared" si="319"/>
        <v>blank</v>
      </c>
      <c r="X151" s="64"/>
      <c r="Y151" s="64"/>
      <c r="Z151" s="64"/>
      <c r="AA151" s="64"/>
      <c r="AB151" s="60"/>
      <c r="AC151" s="64"/>
      <c r="AD151" s="64"/>
      <c r="AE151" s="64"/>
      <c r="AF151" s="64"/>
      <c r="AG151" s="60"/>
      <c r="AH151" s="64"/>
      <c r="AI151" s="64"/>
      <c r="AJ151" s="64"/>
    </row>
    <row r="152" spans="2:36" hidden="1" outlineLevel="1" x14ac:dyDescent="0.25">
      <c r="B152" s="229" t="s">
        <v>195</v>
      </c>
      <c r="E152" s="78" t="s">
        <v>77</v>
      </c>
      <c r="F152" s="21">
        <f t="shared" ref="F152:H152" si="321">F472</f>
        <v>0</v>
      </c>
      <c r="G152" s="21">
        <f t="shared" si="321"/>
        <v>0</v>
      </c>
      <c r="H152" s="21">
        <f t="shared" si="321"/>
        <v>0</v>
      </c>
      <c r="I152" s="85">
        <f t="shared" si="316"/>
        <v>0</v>
      </c>
      <c r="J152" s="85">
        <f t="shared" si="305"/>
        <v>0</v>
      </c>
      <c r="K152" s="85">
        <f t="shared" si="306"/>
        <v>0</v>
      </c>
      <c r="L152" s="85">
        <f t="shared" si="307"/>
        <v>0</v>
      </c>
      <c r="M152" s="17">
        <f t="shared" si="317"/>
        <v>0</v>
      </c>
      <c r="N152" s="85">
        <f t="shared" si="308"/>
        <v>0</v>
      </c>
      <c r="O152" s="85">
        <f t="shared" si="309"/>
        <v>0</v>
      </c>
      <c r="P152" s="85">
        <f t="shared" si="310"/>
        <v>0</v>
      </c>
      <c r="Q152" s="85">
        <f t="shared" si="311"/>
        <v>0</v>
      </c>
      <c r="R152" s="22">
        <f t="shared" si="318"/>
        <v>0</v>
      </c>
      <c r="S152" s="23">
        <f t="shared" si="312"/>
        <v>0</v>
      </c>
      <c r="T152" s="23">
        <f t="shared" si="313"/>
        <v>0</v>
      </c>
      <c r="U152" s="23">
        <f t="shared" si="314"/>
        <v>0</v>
      </c>
      <c r="W152" s="78" t="str">
        <f t="shared" si="319"/>
        <v>blank</v>
      </c>
      <c r="X152" s="64"/>
      <c r="Y152" s="64"/>
      <c r="Z152" s="64"/>
      <c r="AA152" s="64"/>
      <c r="AB152" s="60"/>
      <c r="AC152" s="64"/>
      <c r="AD152" s="64"/>
      <c r="AE152" s="64"/>
      <c r="AF152" s="64"/>
      <c r="AG152" s="60"/>
      <c r="AH152" s="64"/>
      <c r="AI152" s="64"/>
      <c r="AJ152" s="64"/>
    </row>
    <row r="153" spans="2:36" hidden="1" outlineLevel="1" x14ac:dyDescent="0.25">
      <c r="B153" s="229" t="s">
        <v>195</v>
      </c>
      <c r="E153" s="78" t="s">
        <v>77</v>
      </c>
      <c r="F153" s="21">
        <f t="shared" ref="F153:H153" si="322">F473</f>
        <v>0</v>
      </c>
      <c r="G153" s="21">
        <f t="shared" si="322"/>
        <v>0</v>
      </c>
      <c r="H153" s="21">
        <f t="shared" si="322"/>
        <v>0</v>
      </c>
      <c r="I153" s="85">
        <f t="shared" si="316"/>
        <v>0</v>
      </c>
      <c r="J153" s="85">
        <f t="shared" si="305"/>
        <v>0</v>
      </c>
      <c r="K153" s="85">
        <f t="shared" si="306"/>
        <v>0</v>
      </c>
      <c r="L153" s="85">
        <f t="shared" si="307"/>
        <v>0</v>
      </c>
      <c r="M153" s="17">
        <f t="shared" si="317"/>
        <v>0</v>
      </c>
      <c r="N153" s="85">
        <f t="shared" si="308"/>
        <v>0</v>
      </c>
      <c r="O153" s="85">
        <f t="shared" si="309"/>
        <v>0</v>
      </c>
      <c r="P153" s="85">
        <f t="shared" si="310"/>
        <v>0</v>
      </c>
      <c r="Q153" s="85">
        <f t="shared" si="311"/>
        <v>0</v>
      </c>
      <c r="R153" s="22">
        <f t="shared" si="318"/>
        <v>0</v>
      </c>
      <c r="S153" s="23">
        <f t="shared" si="312"/>
        <v>0</v>
      </c>
      <c r="T153" s="23">
        <f t="shared" si="313"/>
        <v>0</v>
      </c>
      <c r="U153" s="23">
        <f t="shared" si="314"/>
        <v>0</v>
      </c>
      <c r="W153" s="78" t="str">
        <f t="shared" si="319"/>
        <v>blank</v>
      </c>
      <c r="X153" s="64"/>
      <c r="Y153" s="64"/>
      <c r="Z153" s="64"/>
      <c r="AA153" s="64"/>
      <c r="AB153" s="60"/>
      <c r="AC153" s="64"/>
      <c r="AD153" s="64"/>
      <c r="AE153" s="64"/>
      <c r="AF153" s="64"/>
      <c r="AG153" s="60"/>
      <c r="AH153" s="64"/>
      <c r="AI153" s="64"/>
      <c r="AJ153" s="64"/>
    </row>
    <row r="154" spans="2:36" hidden="1" outlineLevel="1" x14ac:dyDescent="0.25">
      <c r="B154" s="229" t="s">
        <v>195</v>
      </c>
      <c r="E154" s="78" t="s">
        <v>77</v>
      </c>
      <c r="F154" s="21">
        <f t="shared" ref="F154:H154" si="323">F474</f>
        <v>0</v>
      </c>
      <c r="G154" s="21">
        <f t="shared" si="323"/>
        <v>0</v>
      </c>
      <c r="H154" s="21">
        <f t="shared" si="323"/>
        <v>0</v>
      </c>
      <c r="I154" s="85">
        <f t="shared" si="316"/>
        <v>0</v>
      </c>
      <c r="J154" s="85">
        <f t="shared" si="305"/>
        <v>0</v>
      </c>
      <c r="K154" s="85">
        <f t="shared" si="306"/>
        <v>0</v>
      </c>
      <c r="L154" s="85">
        <f t="shared" si="307"/>
        <v>0</v>
      </c>
      <c r="M154" s="17">
        <f t="shared" si="317"/>
        <v>0</v>
      </c>
      <c r="N154" s="85">
        <f t="shared" si="308"/>
        <v>0</v>
      </c>
      <c r="O154" s="85">
        <f t="shared" si="309"/>
        <v>0</v>
      </c>
      <c r="P154" s="85">
        <f t="shared" si="310"/>
        <v>0</v>
      </c>
      <c r="Q154" s="85">
        <f t="shared" si="311"/>
        <v>0</v>
      </c>
      <c r="R154" s="22">
        <f t="shared" si="318"/>
        <v>0</v>
      </c>
      <c r="S154" s="23">
        <f t="shared" si="312"/>
        <v>0</v>
      </c>
      <c r="T154" s="23">
        <f t="shared" si="313"/>
        <v>0</v>
      </c>
      <c r="U154" s="23">
        <f t="shared" si="314"/>
        <v>0</v>
      </c>
      <c r="W154" s="78" t="str">
        <f t="shared" si="319"/>
        <v>blank</v>
      </c>
      <c r="X154" s="64"/>
      <c r="Y154" s="64"/>
      <c r="Z154" s="64"/>
      <c r="AA154" s="64"/>
      <c r="AB154" s="60"/>
      <c r="AC154" s="64"/>
      <c r="AD154" s="64"/>
      <c r="AE154" s="64"/>
      <c r="AF154" s="64"/>
      <c r="AG154" s="60"/>
      <c r="AH154" s="64"/>
      <c r="AI154" s="64"/>
      <c r="AJ154" s="64"/>
    </row>
    <row r="155" spans="2:36" hidden="1" outlineLevel="1" x14ac:dyDescent="0.25">
      <c r="B155" s="229" t="s">
        <v>195</v>
      </c>
      <c r="E155" s="78" t="s">
        <v>77</v>
      </c>
      <c r="F155" s="21">
        <f t="shared" ref="F155:H155" si="324">F475</f>
        <v>0</v>
      </c>
      <c r="G155" s="21">
        <f t="shared" si="324"/>
        <v>0</v>
      </c>
      <c r="H155" s="21">
        <f t="shared" si="324"/>
        <v>0</v>
      </c>
      <c r="I155" s="85">
        <f t="shared" si="316"/>
        <v>0</v>
      </c>
      <c r="J155" s="85">
        <f t="shared" si="305"/>
        <v>0</v>
      </c>
      <c r="K155" s="85">
        <f t="shared" si="306"/>
        <v>0</v>
      </c>
      <c r="L155" s="85">
        <f t="shared" si="307"/>
        <v>0</v>
      </c>
      <c r="M155" s="17">
        <f t="shared" si="317"/>
        <v>0</v>
      </c>
      <c r="N155" s="85">
        <f t="shared" si="308"/>
        <v>0</v>
      </c>
      <c r="O155" s="85">
        <f t="shared" si="309"/>
        <v>0</v>
      </c>
      <c r="P155" s="85">
        <f t="shared" si="310"/>
        <v>0</v>
      </c>
      <c r="Q155" s="85">
        <f t="shared" si="311"/>
        <v>0</v>
      </c>
      <c r="R155" s="22">
        <f t="shared" si="318"/>
        <v>0</v>
      </c>
      <c r="S155" s="23">
        <f t="shared" si="312"/>
        <v>0</v>
      </c>
      <c r="T155" s="23">
        <f t="shared" si="313"/>
        <v>0</v>
      </c>
      <c r="U155" s="23">
        <f t="shared" si="314"/>
        <v>0</v>
      </c>
      <c r="W155" s="78" t="str">
        <f t="shared" si="319"/>
        <v>blank</v>
      </c>
      <c r="X155" s="64"/>
      <c r="Y155" s="64"/>
      <c r="Z155" s="64"/>
      <c r="AA155" s="64"/>
      <c r="AB155" s="60"/>
      <c r="AC155" s="64"/>
      <c r="AD155" s="64"/>
      <c r="AE155" s="64"/>
      <c r="AF155" s="64"/>
      <c r="AG155" s="60"/>
      <c r="AH155" s="64"/>
      <c r="AI155" s="64"/>
      <c r="AJ155" s="64"/>
    </row>
    <row r="156" spans="2:36" hidden="1" outlineLevel="1" x14ac:dyDescent="0.25">
      <c r="B156" s="229" t="s">
        <v>195</v>
      </c>
      <c r="E156" s="78" t="s">
        <v>77</v>
      </c>
      <c r="F156" s="21">
        <f t="shared" ref="F156:H156" si="325">F476</f>
        <v>0</v>
      </c>
      <c r="G156" s="21">
        <f t="shared" si="325"/>
        <v>0</v>
      </c>
      <c r="H156" s="21">
        <f t="shared" si="325"/>
        <v>0</v>
      </c>
      <c r="I156" s="85">
        <f t="shared" si="316"/>
        <v>0</v>
      </c>
      <c r="J156" s="85">
        <f t="shared" si="305"/>
        <v>0</v>
      </c>
      <c r="K156" s="85">
        <f t="shared" si="306"/>
        <v>0</v>
      </c>
      <c r="L156" s="85">
        <f t="shared" si="307"/>
        <v>0</v>
      </c>
      <c r="M156" s="17">
        <f t="shared" si="317"/>
        <v>0</v>
      </c>
      <c r="N156" s="85">
        <f t="shared" si="308"/>
        <v>0</v>
      </c>
      <c r="O156" s="85">
        <f t="shared" si="309"/>
        <v>0</v>
      </c>
      <c r="P156" s="85">
        <f t="shared" si="310"/>
        <v>0</v>
      </c>
      <c r="Q156" s="85">
        <f t="shared" si="311"/>
        <v>0</v>
      </c>
      <c r="R156" s="22">
        <f t="shared" si="318"/>
        <v>0</v>
      </c>
      <c r="S156" s="23">
        <f t="shared" si="312"/>
        <v>0</v>
      </c>
      <c r="T156" s="23">
        <f t="shared" si="313"/>
        <v>0</v>
      </c>
      <c r="U156" s="23">
        <f t="shared" si="314"/>
        <v>0</v>
      </c>
      <c r="W156" s="78" t="str">
        <f t="shared" si="319"/>
        <v>blank</v>
      </c>
      <c r="X156" s="64"/>
      <c r="Y156" s="64"/>
      <c r="Z156" s="64"/>
      <c r="AA156" s="64"/>
      <c r="AB156" s="60"/>
      <c r="AC156" s="64"/>
      <c r="AD156" s="64"/>
      <c r="AE156" s="64"/>
      <c r="AF156" s="64"/>
      <c r="AG156" s="60"/>
      <c r="AH156" s="64"/>
      <c r="AI156" s="64"/>
      <c r="AJ156" s="64"/>
    </row>
    <row r="157" spans="2:36" hidden="1" outlineLevel="1" x14ac:dyDescent="0.25">
      <c r="B157" s="229" t="s">
        <v>195</v>
      </c>
      <c r="E157" s="78" t="s">
        <v>77</v>
      </c>
      <c r="F157" s="21">
        <f t="shared" ref="F157:H157" si="326">F477</f>
        <v>0</v>
      </c>
      <c r="G157" s="21">
        <f t="shared" si="326"/>
        <v>0</v>
      </c>
      <c r="H157" s="21">
        <f t="shared" si="326"/>
        <v>0</v>
      </c>
      <c r="I157" s="85">
        <f t="shared" si="316"/>
        <v>0</v>
      </c>
      <c r="J157" s="85">
        <f t="shared" si="305"/>
        <v>0</v>
      </c>
      <c r="K157" s="85">
        <f t="shared" si="306"/>
        <v>0</v>
      </c>
      <c r="L157" s="85">
        <f t="shared" si="307"/>
        <v>0</v>
      </c>
      <c r="M157" s="17">
        <f t="shared" si="317"/>
        <v>0</v>
      </c>
      <c r="N157" s="85">
        <f t="shared" si="308"/>
        <v>0</v>
      </c>
      <c r="O157" s="85">
        <f t="shared" si="309"/>
        <v>0</v>
      </c>
      <c r="P157" s="85">
        <f t="shared" si="310"/>
        <v>0</v>
      </c>
      <c r="Q157" s="85">
        <f t="shared" si="311"/>
        <v>0</v>
      </c>
      <c r="R157" s="22">
        <f t="shared" si="318"/>
        <v>0</v>
      </c>
      <c r="S157" s="23">
        <f t="shared" si="312"/>
        <v>0</v>
      </c>
      <c r="T157" s="23">
        <f t="shared" si="313"/>
        <v>0</v>
      </c>
      <c r="U157" s="23">
        <f t="shared" si="314"/>
        <v>0</v>
      </c>
      <c r="W157" s="78" t="str">
        <f t="shared" si="319"/>
        <v>blank</v>
      </c>
      <c r="X157" s="64"/>
      <c r="Y157" s="64"/>
      <c r="Z157" s="64"/>
      <c r="AA157" s="64"/>
      <c r="AB157" s="60"/>
      <c r="AC157" s="64"/>
      <c r="AD157" s="64"/>
      <c r="AE157" s="64"/>
      <c r="AF157" s="64"/>
      <c r="AG157" s="60"/>
      <c r="AH157" s="64"/>
      <c r="AI157" s="64"/>
      <c r="AJ157" s="64"/>
    </row>
    <row r="158" spans="2:36" hidden="1" outlineLevel="1" x14ac:dyDescent="0.25">
      <c r="B158" s="229" t="s">
        <v>195</v>
      </c>
      <c r="E158" s="78" t="s">
        <v>77</v>
      </c>
      <c r="F158" s="21">
        <f t="shared" ref="F158:H158" si="327">F478</f>
        <v>0</v>
      </c>
      <c r="G158" s="21">
        <f t="shared" si="327"/>
        <v>0</v>
      </c>
      <c r="H158" s="21">
        <f t="shared" si="327"/>
        <v>0</v>
      </c>
      <c r="I158" s="85">
        <f t="shared" si="316"/>
        <v>0</v>
      </c>
      <c r="J158" s="85">
        <f t="shared" si="305"/>
        <v>0</v>
      </c>
      <c r="K158" s="85">
        <f t="shared" si="306"/>
        <v>0</v>
      </c>
      <c r="L158" s="85">
        <f t="shared" si="307"/>
        <v>0</v>
      </c>
      <c r="M158" s="17">
        <f t="shared" si="317"/>
        <v>0</v>
      </c>
      <c r="N158" s="85">
        <f t="shared" si="308"/>
        <v>0</v>
      </c>
      <c r="O158" s="85">
        <f t="shared" si="309"/>
        <v>0</v>
      </c>
      <c r="P158" s="85">
        <f t="shared" si="310"/>
        <v>0</v>
      </c>
      <c r="Q158" s="85">
        <f t="shared" si="311"/>
        <v>0</v>
      </c>
      <c r="R158" s="22">
        <f t="shared" si="318"/>
        <v>0</v>
      </c>
      <c r="S158" s="23">
        <f t="shared" si="312"/>
        <v>0</v>
      </c>
      <c r="T158" s="23">
        <f t="shared" si="313"/>
        <v>0</v>
      </c>
      <c r="U158" s="23">
        <f t="shared" si="314"/>
        <v>0</v>
      </c>
      <c r="W158" s="78" t="str">
        <f t="shared" si="319"/>
        <v>blank</v>
      </c>
      <c r="X158" s="64"/>
      <c r="Y158" s="64"/>
      <c r="Z158" s="64"/>
      <c r="AA158" s="64"/>
      <c r="AB158" s="60"/>
      <c r="AC158" s="64"/>
      <c r="AD158" s="64"/>
      <c r="AE158" s="64"/>
      <c r="AF158" s="64"/>
      <c r="AG158" s="60"/>
      <c r="AH158" s="64"/>
      <c r="AI158" s="64"/>
      <c r="AJ158" s="64"/>
    </row>
    <row r="159" spans="2:36" ht="15.75" hidden="1" outlineLevel="1" thickBot="1" x14ac:dyDescent="0.3">
      <c r="E159" s="8" t="s">
        <v>130</v>
      </c>
      <c r="F159" s="9">
        <f>SUM(F149:F158)</f>
        <v>0</v>
      </c>
      <c r="G159" s="9">
        <f t="shared" ref="G159" si="328">SUM(G149:G158)</f>
        <v>0</v>
      </c>
      <c r="H159" s="9">
        <f t="shared" ref="H159" si="329">SUM(H149:H158)</f>
        <v>0</v>
      </c>
      <c r="I159" s="86">
        <f t="shared" ref="I159" si="330">SUM(I149:I158)</f>
        <v>0</v>
      </c>
      <c r="J159" s="86">
        <f t="shared" ref="J159" si="331">SUM(J149:J158)</f>
        <v>0</v>
      </c>
      <c r="K159" s="86">
        <f t="shared" ref="K159" si="332">SUM(K149:K158)</f>
        <v>0</v>
      </c>
      <c r="L159" s="86">
        <f t="shared" ref="L159" si="333">SUM(L149:L158)</f>
        <v>0</v>
      </c>
      <c r="M159" s="18">
        <f t="shared" ref="M159" si="334">SUM(M149:M158)</f>
        <v>0</v>
      </c>
      <c r="N159" s="86">
        <f t="shared" ref="N159" si="335">SUM(N149:N158)</f>
        <v>0</v>
      </c>
      <c r="O159" s="86">
        <f t="shared" ref="O159" si="336">SUM(O149:O158)</f>
        <v>0</v>
      </c>
      <c r="P159" s="86">
        <f t="shared" ref="P159" si="337">SUM(P149:P158)</f>
        <v>0</v>
      </c>
      <c r="Q159" s="86">
        <f t="shared" ref="Q159" si="338">SUM(Q149:Q158)</f>
        <v>0</v>
      </c>
      <c r="R159" s="19">
        <f t="shared" ref="R159" si="339">SUM(R149:R158)</f>
        <v>0</v>
      </c>
      <c r="S159" s="20">
        <f t="shared" ref="S159" si="340">SUM(S149:S158)</f>
        <v>0</v>
      </c>
      <c r="T159" s="20">
        <f t="shared" ref="T159" si="341">SUM(T149:T158)</f>
        <v>0</v>
      </c>
      <c r="U159" s="20">
        <f t="shared" ref="U159" si="342">SUM(U149:U158)</f>
        <v>0</v>
      </c>
    </row>
    <row r="160" spans="2:36" ht="15.75" hidden="1" outlineLevel="1" thickTop="1" x14ac:dyDescent="0.25">
      <c r="F160" s="24"/>
      <c r="G160" s="25"/>
      <c r="H160" s="25"/>
      <c r="I160" s="25"/>
      <c r="J160" s="25"/>
      <c r="K160" s="25"/>
      <c r="L160" s="25"/>
      <c r="M160" s="25"/>
      <c r="N160" s="25"/>
      <c r="O160" s="25"/>
      <c r="P160" s="25"/>
      <c r="Q160" s="25"/>
      <c r="R160" s="25"/>
      <c r="S160" s="25"/>
      <c r="T160" s="25"/>
      <c r="U160" s="25"/>
    </row>
    <row r="161" spans="2:36" hidden="1" outlineLevel="1" x14ac:dyDescent="0.25"/>
    <row r="162" spans="2:36" hidden="1" outlineLevel="1" x14ac:dyDescent="0.25"/>
    <row r="163" spans="2:36" ht="18.75" collapsed="1" x14ac:dyDescent="0.3">
      <c r="B163" s="4" t="s">
        <v>34</v>
      </c>
      <c r="C163" s="4" t="s">
        <v>387</v>
      </c>
      <c r="E163" s="53" t="str">
        <f>"Scenario 3: "&amp;Inputs!B24</f>
        <v>Scenario 3: Scenario 3</v>
      </c>
      <c r="F163" s="49"/>
      <c r="G163" s="49"/>
      <c r="H163" s="49"/>
      <c r="I163" s="49"/>
      <c r="J163" s="49"/>
      <c r="K163" s="49"/>
      <c r="L163" s="49"/>
      <c r="M163" s="49"/>
      <c r="N163" s="49"/>
      <c r="O163" s="49"/>
      <c r="P163" s="49"/>
      <c r="Q163" s="49"/>
      <c r="R163" s="49"/>
      <c r="S163" s="49"/>
      <c r="T163" s="49"/>
      <c r="U163" s="49"/>
    </row>
    <row r="164" spans="2:36" hidden="1" outlineLevel="1" x14ac:dyDescent="0.25">
      <c r="E164" s="52" t="str">
        <f>Inputs!C24</f>
        <v>Scenario 3 Description</v>
      </c>
    </row>
    <row r="165" spans="2:36" hidden="1" outlineLevel="1" x14ac:dyDescent="0.25"/>
    <row r="166" spans="2:36" hidden="1" outlineLevel="1" x14ac:dyDescent="0.25"/>
    <row r="167" spans="2:36" hidden="1" outlineLevel="1" x14ac:dyDescent="0.25">
      <c r="E167" s="4" t="s">
        <v>116</v>
      </c>
      <c r="W167" s="4" t="str">
        <f>E167</f>
        <v>Inventory (Gross Inventory + Inventory Reserves)</v>
      </c>
    </row>
    <row r="168" spans="2:36" hidden="1" outlineLevel="1" x14ac:dyDescent="0.25">
      <c r="E168" s="6" t="s">
        <v>25</v>
      </c>
      <c r="W168" s="61" t="s">
        <v>62</v>
      </c>
    </row>
    <row r="169" spans="2:36" hidden="1" outlineLevel="1" x14ac:dyDescent="0.25"/>
    <row r="170" spans="2:36" hidden="1" outlineLevel="1" x14ac:dyDescent="0.25">
      <c r="F170" s="12">
        <f>Inputs!$C$7</f>
        <v>2023</v>
      </c>
      <c r="G170" s="12">
        <f>Inputs!$C$8</f>
        <v>2024</v>
      </c>
      <c r="H170" s="12">
        <f>Inputs!$C$9</f>
        <v>2025</v>
      </c>
      <c r="I170" s="13" t="s">
        <v>1</v>
      </c>
      <c r="J170" s="13" t="s">
        <v>2</v>
      </c>
      <c r="K170" s="13" t="s">
        <v>3</v>
      </c>
      <c r="L170" s="13" t="s">
        <v>4</v>
      </c>
      <c r="M170" s="13">
        <f>Inputs!$C$10</f>
        <v>2026</v>
      </c>
      <c r="N170" s="14" t="s">
        <v>1</v>
      </c>
      <c r="O170" s="14" t="s">
        <v>2</v>
      </c>
      <c r="P170" s="14" t="s">
        <v>3</v>
      </c>
      <c r="Q170" s="14" t="s">
        <v>4</v>
      </c>
      <c r="R170" s="15">
        <f>Inputs!$C$11</f>
        <v>2027</v>
      </c>
      <c r="S170" s="16">
        <f>Inputs!$C$12</f>
        <v>2028</v>
      </c>
      <c r="T170" s="16">
        <f>Inputs!$C$13</f>
        <v>2029</v>
      </c>
      <c r="U170" s="16">
        <f>Inputs!$C$14</f>
        <v>2030</v>
      </c>
      <c r="X170" s="13" t="s">
        <v>1</v>
      </c>
      <c r="Y170" s="13" t="s">
        <v>2</v>
      </c>
      <c r="Z170" s="13" t="s">
        <v>3</v>
      </c>
      <c r="AA170" s="13" t="s">
        <v>4</v>
      </c>
      <c r="AB170" s="13">
        <f>Inputs!$C$10</f>
        <v>2026</v>
      </c>
      <c r="AC170" s="14" t="s">
        <v>1</v>
      </c>
      <c r="AD170" s="14" t="s">
        <v>2</v>
      </c>
      <c r="AE170" s="14" t="s">
        <v>3</v>
      </c>
      <c r="AF170" s="14" t="s">
        <v>4</v>
      </c>
      <c r="AG170" s="15">
        <f>Inputs!$C$11</f>
        <v>2027</v>
      </c>
      <c r="AH170" s="16">
        <f>Inputs!$C$12</f>
        <v>2028</v>
      </c>
      <c r="AI170" s="16">
        <f>Inputs!$C$13</f>
        <v>2029</v>
      </c>
      <c r="AJ170" s="16">
        <f>Inputs!$C$14</f>
        <v>2030</v>
      </c>
    </row>
    <row r="171" spans="2:36" hidden="1" outlineLevel="1" x14ac:dyDescent="0.25">
      <c r="F171" s="71" t="s">
        <v>63</v>
      </c>
      <c r="G171" s="71" t="s">
        <v>63</v>
      </c>
      <c r="H171" s="71" t="s">
        <v>63</v>
      </c>
      <c r="I171" s="71" t="s">
        <v>63</v>
      </c>
      <c r="J171" s="71" t="s">
        <v>63</v>
      </c>
      <c r="K171" s="71" t="s">
        <v>63</v>
      </c>
      <c r="L171" s="71" t="s">
        <v>63</v>
      </c>
      <c r="M171" s="71" t="s">
        <v>63</v>
      </c>
      <c r="N171" s="71" t="s">
        <v>63</v>
      </c>
      <c r="O171" s="71" t="s">
        <v>63</v>
      </c>
      <c r="P171" s="71" t="s">
        <v>63</v>
      </c>
      <c r="Q171" s="71" t="s">
        <v>63</v>
      </c>
      <c r="R171" s="71" t="s">
        <v>63</v>
      </c>
      <c r="S171" s="71" t="s">
        <v>63</v>
      </c>
      <c r="T171" s="71" t="s">
        <v>63</v>
      </c>
      <c r="U171" s="71" t="s">
        <v>63</v>
      </c>
      <c r="X171" s="63" t="s">
        <v>30</v>
      </c>
      <c r="Y171" s="63" t="s">
        <v>30</v>
      </c>
      <c r="Z171" s="63" t="s">
        <v>30</v>
      </c>
      <c r="AA171" s="63" t="s">
        <v>30</v>
      </c>
      <c r="AB171" s="62"/>
      <c r="AC171" s="63" t="s">
        <v>30</v>
      </c>
      <c r="AD171" s="63" t="s">
        <v>30</v>
      </c>
      <c r="AE171" s="63" t="s">
        <v>30</v>
      </c>
      <c r="AF171" s="63" t="s">
        <v>30</v>
      </c>
      <c r="AG171" s="62"/>
      <c r="AH171" s="63" t="s">
        <v>30</v>
      </c>
      <c r="AI171" s="63" t="s">
        <v>30</v>
      </c>
      <c r="AJ171" s="63" t="s">
        <v>30</v>
      </c>
    </row>
    <row r="172" spans="2:36" hidden="1" outlineLevel="1" x14ac:dyDescent="0.25">
      <c r="B172" s="229" t="s">
        <v>195</v>
      </c>
      <c r="C172" s="229"/>
      <c r="E172" s="78" t="s">
        <v>110</v>
      </c>
      <c r="F172" s="21">
        <f>F412</f>
        <v>0</v>
      </c>
      <c r="G172" s="21">
        <f t="shared" ref="G172:H172" si="343">G412</f>
        <v>0</v>
      </c>
      <c r="H172" s="21">
        <f t="shared" si="343"/>
        <v>0</v>
      </c>
      <c r="I172" s="85">
        <f>IF(X172="",I412,X172)</f>
        <v>0</v>
      </c>
      <c r="J172" s="85">
        <f t="shared" ref="J172:L172" si="344">IF(Y172="",J412,Y172)</f>
        <v>0</v>
      </c>
      <c r="K172" s="85">
        <f t="shared" si="344"/>
        <v>0</v>
      </c>
      <c r="L172" s="85">
        <f t="shared" si="344"/>
        <v>0</v>
      </c>
      <c r="M172" s="17">
        <f>L172</f>
        <v>0</v>
      </c>
      <c r="N172" s="85">
        <f t="shared" ref="N172:Q172" si="345">IF(AC172="",N412,AC172)</f>
        <v>0</v>
      </c>
      <c r="O172" s="85">
        <f t="shared" si="345"/>
        <v>0</v>
      </c>
      <c r="P172" s="85">
        <f t="shared" si="345"/>
        <v>0</v>
      </c>
      <c r="Q172" s="85">
        <f t="shared" si="345"/>
        <v>0</v>
      </c>
      <c r="R172" s="22">
        <f>Q172</f>
        <v>0</v>
      </c>
      <c r="S172" s="23">
        <f t="shared" ref="S172:U172" si="346">IF(AH172="",S412,AH172)</f>
        <v>0</v>
      </c>
      <c r="T172" s="23">
        <f t="shared" si="346"/>
        <v>0</v>
      </c>
      <c r="U172" s="23">
        <f t="shared" si="346"/>
        <v>0</v>
      </c>
      <c r="W172" s="78" t="str">
        <f>E172</f>
        <v>Finished Goods</v>
      </c>
      <c r="X172" s="64"/>
      <c r="Y172" s="64"/>
      <c r="Z172" s="64"/>
      <c r="AA172" s="64"/>
      <c r="AB172" s="60"/>
      <c r="AC172" s="64"/>
      <c r="AD172" s="64"/>
      <c r="AE172" s="64"/>
      <c r="AF172" s="64"/>
      <c r="AG172" s="60"/>
      <c r="AH172" s="64"/>
      <c r="AI172" s="64"/>
      <c r="AJ172" s="64"/>
    </row>
    <row r="173" spans="2:36" hidden="1" outlineLevel="1" x14ac:dyDescent="0.25">
      <c r="B173" s="229" t="s">
        <v>195</v>
      </c>
      <c r="E173" s="78" t="s">
        <v>111</v>
      </c>
      <c r="F173" s="21">
        <f t="shared" ref="F173:H173" si="347">F413</f>
        <v>0</v>
      </c>
      <c r="G173" s="21">
        <f t="shared" si="347"/>
        <v>0</v>
      </c>
      <c r="H173" s="21">
        <f t="shared" si="347"/>
        <v>0</v>
      </c>
      <c r="I173" s="85">
        <f t="shared" ref="I173:L173" si="348">IF(X173="",I413,X173)</f>
        <v>0</v>
      </c>
      <c r="J173" s="85">
        <f t="shared" si="348"/>
        <v>0</v>
      </c>
      <c r="K173" s="85">
        <f t="shared" si="348"/>
        <v>0</v>
      </c>
      <c r="L173" s="85">
        <f t="shared" si="348"/>
        <v>0</v>
      </c>
      <c r="M173" s="17">
        <f t="shared" ref="M173:M181" si="349">L173</f>
        <v>0</v>
      </c>
      <c r="N173" s="85">
        <f t="shared" ref="N173:Q173" si="350">IF(AC173="",N413,AC173)</f>
        <v>0</v>
      </c>
      <c r="O173" s="85">
        <f t="shared" si="350"/>
        <v>0</v>
      </c>
      <c r="P173" s="85">
        <f t="shared" si="350"/>
        <v>0</v>
      </c>
      <c r="Q173" s="85">
        <f t="shared" si="350"/>
        <v>0</v>
      </c>
      <c r="R173" s="22">
        <f t="shared" ref="R173:R181" si="351">Q173</f>
        <v>0</v>
      </c>
      <c r="S173" s="23">
        <f t="shared" ref="S173:U173" si="352">IF(AH173="",S413,AH173)</f>
        <v>0</v>
      </c>
      <c r="T173" s="23">
        <f t="shared" si="352"/>
        <v>0</v>
      </c>
      <c r="U173" s="23">
        <f t="shared" si="352"/>
        <v>0</v>
      </c>
      <c r="W173" s="78" t="str">
        <f t="shared" ref="W173:W181" si="353">E173</f>
        <v>Raw Materials</v>
      </c>
      <c r="X173" s="64"/>
      <c r="Y173" s="64"/>
      <c r="Z173" s="64"/>
      <c r="AA173" s="64"/>
      <c r="AB173" s="60"/>
      <c r="AC173" s="64"/>
      <c r="AD173" s="64"/>
      <c r="AE173" s="64"/>
      <c r="AF173" s="64"/>
      <c r="AG173" s="60"/>
      <c r="AH173" s="64"/>
      <c r="AI173" s="64"/>
      <c r="AJ173" s="64"/>
    </row>
    <row r="174" spans="2:36" hidden="1" outlineLevel="1" x14ac:dyDescent="0.25">
      <c r="B174" s="229" t="s">
        <v>195</v>
      </c>
      <c r="E174" s="78" t="s">
        <v>112</v>
      </c>
      <c r="F174" s="21">
        <f t="shared" ref="F174:H174" si="354">F414</f>
        <v>0</v>
      </c>
      <c r="G174" s="21">
        <f t="shared" si="354"/>
        <v>0</v>
      </c>
      <c r="H174" s="21">
        <f t="shared" si="354"/>
        <v>0</v>
      </c>
      <c r="I174" s="85">
        <f t="shared" ref="I174:L174" si="355">IF(X174="",I414,X174)</f>
        <v>0</v>
      </c>
      <c r="J174" s="85">
        <f t="shared" si="355"/>
        <v>0</v>
      </c>
      <c r="K174" s="85">
        <f t="shared" si="355"/>
        <v>0</v>
      </c>
      <c r="L174" s="85">
        <f t="shared" si="355"/>
        <v>0</v>
      </c>
      <c r="M174" s="17">
        <f t="shared" si="349"/>
        <v>0</v>
      </c>
      <c r="N174" s="85">
        <f t="shared" ref="N174:Q174" si="356">IF(AC174="",N414,AC174)</f>
        <v>0</v>
      </c>
      <c r="O174" s="85">
        <f t="shared" si="356"/>
        <v>0</v>
      </c>
      <c r="P174" s="85">
        <f t="shared" si="356"/>
        <v>0</v>
      </c>
      <c r="Q174" s="85">
        <f t="shared" si="356"/>
        <v>0</v>
      </c>
      <c r="R174" s="22">
        <f t="shared" si="351"/>
        <v>0</v>
      </c>
      <c r="S174" s="23">
        <f t="shared" ref="S174:U174" si="357">IF(AH174="",S414,AH174)</f>
        <v>0</v>
      </c>
      <c r="T174" s="23">
        <f t="shared" si="357"/>
        <v>0</v>
      </c>
      <c r="U174" s="23">
        <f t="shared" si="357"/>
        <v>0</v>
      </c>
      <c r="W174" s="78" t="str">
        <f t="shared" si="353"/>
        <v>Capitalized Variances</v>
      </c>
      <c r="X174" s="64"/>
      <c r="Y174" s="64"/>
      <c r="Z174" s="64"/>
      <c r="AA174" s="64"/>
      <c r="AB174" s="60"/>
      <c r="AC174" s="64"/>
      <c r="AD174" s="64"/>
      <c r="AE174" s="64"/>
      <c r="AF174" s="64"/>
      <c r="AG174" s="60"/>
      <c r="AH174" s="64"/>
      <c r="AI174" s="64"/>
      <c r="AJ174" s="64"/>
    </row>
    <row r="175" spans="2:36" hidden="1" outlineLevel="1" x14ac:dyDescent="0.25">
      <c r="B175" s="229" t="s">
        <v>195</v>
      </c>
      <c r="E175" s="78" t="s">
        <v>113</v>
      </c>
      <c r="F175" s="21">
        <f t="shared" ref="F175:H175" si="358">F415</f>
        <v>0</v>
      </c>
      <c r="G175" s="21">
        <f t="shared" si="358"/>
        <v>0</v>
      </c>
      <c r="H175" s="21">
        <f t="shared" si="358"/>
        <v>0</v>
      </c>
      <c r="I175" s="85">
        <f t="shared" ref="I175:L175" si="359">IF(X175="",I415,X175)</f>
        <v>0</v>
      </c>
      <c r="J175" s="85">
        <f t="shared" si="359"/>
        <v>0</v>
      </c>
      <c r="K175" s="85">
        <f t="shared" si="359"/>
        <v>0</v>
      </c>
      <c r="L175" s="85">
        <f t="shared" si="359"/>
        <v>0</v>
      </c>
      <c r="M175" s="17">
        <f t="shared" si="349"/>
        <v>0</v>
      </c>
      <c r="N175" s="85">
        <f t="shared" ref="N175:Q175" si="360">IF(AC175="",N415,AC175)</f>
        <v>0</v>
      </c>
      <c r="O175" s="85">
        <f t="shared" si="360"/>
        <v>0</v>
      </c>
      <c r="P175" s="85">
        <f t="shared" si="360"/>
        <v>0</v>
      </c>
      <c r="Q175" s="85">
        <f t="shared" si="360"/>
        <v>0</v>
      </c>
      <c r="R175" s="22">
        <f t="shared" si="351"/>
        <v>0</v>
      </c>
      <c r="S175" s="23">
        <f t="shared" ref="S175:U175" si="361">IF(AH175="",S415,AH175)</f>
        <v>0</v>
      </c>
      <c r="T175" s="23">
        <f t="shared" si="361"/>
        <v>0</v>
      </c>
      <c r="U175" s="23">
        <f t="shared" si="361"/>
        <v>0</v>
      </c>
      <c r="W175" s="78" t="str">
        <f t="shared" si="353"/>
        <v>Capitalized Overhead</v>
      </c>
      <c r="X175" s="64"/>
      <c r="Y175" s="64"/>
      <c r="Z175" s="64"/>
      <c r="AA175" s="64"/>
      <c r="AB175" s="60"/>
      <c r="AC175" s="64"/>
      <c r="AD175" s="64"/>
      <c r="AE175" s="64"/>
      <c r="AF175" s="64"/>
      <c r="AG175" s="60"/>
      <c r="AH175" s="64"/>
      <c r="AI175" s="64"/>
      <c r="AJ175" s="64"/>
    </row>
    <row r="176" spans="2:36" hidden="1" outlineLevel="1" x14ac:dyDescent="0.25">
      <c r="B176" s="229" t="s">
        <v>195</v>
      </c>
      <c r="E176" s="78" t="s">
        <v>117</v>
      </c>
      <c r="F176" s="21">
        <f t="shared" ref="F176:H176" si="362">F416</f>
        <v>0</v>
      </c>
      <c r="G176" s="21">
        <f t="shared" si="362"/>
        <v>0</v>
      </c>
      <c r="H176" s="21">
        <f t="shared" si="362"/>
        <v>0</v>
      </c>
      <c r="I176" s="85">
        <f t="shared" ref="I176:L176" si="363">IF(X176="",I416,X176)</f>
        <v>0</v>
      </c>
      <c r="J176" s="85">
        <f t="shared" si="363"/>
        <v>0</v>
      </c>
      <c r="K176" s="85">
        <f t="shared" si="363"/>
        <v>0</v>
      </c>
      <c r="L176" s="85">
        <f t="shared" si="363"/>
        <v>0</v>
      </c>
      <c r="M176" s="17">
        <f t="shared" si="349"/>
        <v>0</v>
      </c>
      <c r="N176" s="85">
        <f t="shared" ref="N176:Q176" si="364">IF(AC176="",N416,AC176)</f>
        <v>0</v>
      </c>
      <c r="O176" s="85">
        <f t="shared" si="364"/>
        <v>0</v>
      </c>
      <c r="P176" s="85">
        <f t="shared" si="364"/>
        <v>0</v>
      </c>
      <c r="Q176" s="85">
        <f t="shared" si="364"/>
        <v>0</v>
      </c>
      <c r="R176" s="22">
        <f t="shared" si="351"/>
        <v>0</v>
      </c>
      <c r="S176" s="23">
        <f t="shared" ref="S176:U176" si="365">IF(AH176="",S416,AH176)</f>
        <v>0</v>
      </c>
      <c r="T176" s="23">
        <f t="shared" si="365"/>
        <v>0</v>
      </c>
      <c r="U176" s="23">
        <f t="shared" si="365"/>
        <v>0</v>
      </c>
      <c r="W176" s="78" t="str">
        <f t="shared" si="353"/>
        <v>Work in Progress (WIP)</v>
      </c>
      <c r="X176" s="64"/>
      <c r="Y176" s="64"/>
      <c r="Z176" s="64"/>
      <c r="AA176" s="64"/>
      <c r="AB176" s="60"/>
      <c r="AC176" s="64"/>
      <c r="AD176" s="64"/>
      <c r="AE176" s="64"/>
      <c r="AF176" s="64"/>
      <c r="AG176" s="60"/>
      <c r="AH176" s="64"/>
      <c r="AI176" s="64"/>
      <c r="AJ176" s="64"/>
    </row>
    <row r="177" spans="2:36" hidden="1" outlineLevel="1" x14ac:dyDescent="0.25">
      <c r="B177" s="229" t="s">
        <v>195</v>
      </c>
      <c r="E177" s="78" t="s">
        <v>114</v>
      </c>
      <c r="F177" s="21">
        <f t="shared" ref="F177:H177" si="366">F417</f>
        <v>0</v>
      </c>
      <c r="G177" s="21">
        <f t="shared" si="366"/>
        <v>0</v>
      </c>
      <c r="H177" s="21">
        <f t="shared" si="366"/>
        <v>0</v>
      </c>
      <c r="I177" s="85">
        <f t="shared" ref="I177:L177" si="367">IF(X177="",I417,X177)</f>
        <v>0</v>
      </c>
      <c r="J177" s="85">
        <f t="shared" si="367"/>
        <v>0</v>
      </c>
      <c r="K177" s="85">
        <f t="shared" si="367"/>
        <v>0</v>
      </c>
      <c r="L177" s="85">
        <f t="shared" si="367"/>
        <v>0</v>
      </c>
      <c r="M177" s="17">
        <f t="shared" si="349"/>
        <v>0</v>
      </c>
      <c r="N177" s="85">
        <f t="shared" ref="N177:Q177" si="368">IF(AC177="",N417,AC177)</f>
        <v>0</v>
      </c>
      <c r="O177" s="85">
        <f t="shared" si="368"/>
        <v>0</v>
      </c>
      <c r="P177" s="85">
        <f t="shared" si="368"/>
        <v>0</v>
      </c>
      <c r="Q177" s="85">
        <f t="shared" si="368"/>
        <v>0</v>
      </c>
      <c r="R177" s="22">
        <f t="shared" si="351"/>
        <v>0</v>
      </c>
      <c r="S177" s="23">
        <f t="shared" ref="S177:U177" si="369">IF(AH177="",S417,AH177)</f>
        <v>0</v>
      </c>
      <c r="T177" s="23">
        <f t="shared" si="369"/>
        <v>0</v>
      </c>
      <c r="U177" s="23">
        <f t="shared" si="369"/>
        <v>0</v>
      </c>
      <c r="W177" s="78" t="str">
        <f t="shared" si="353"/>
        <v>E&amp;O Reserves</v>
      </c>
      <c r="X177" s="64"/>
      <c r="Y177" s="64"/>
      <c r="Z177" s="64"/>
      <c r="AA177" s="64"/>
      <c r="AB177" s="60"/>
      <c r="AC177" s="64"/>
      <c r="AD177" s="64"/>
      <c r="AE177" s="64"/>
      <c r="AF177" s="64"/>
      <c r="AG177" s="60"/>
      <c r="AH177" s="64"/>
      <c r="AI177" s="64"/>
      <c r="AJ177" s="64"/>
    </row>
    <row r="178" spans="2:36" hidden="1" outlineLevel="1" x14ac:dyDescent="0.25">
      <c r="B178" s="229" t="s">
        <v>195</v>
      </c>
      <c r="E178" s="78" t="s">
        <v>115</v>
      </c>
      <c r="F178" s="21">
        <f t="shared" ref="F178:H178" si="370">F418</f>
        <v>0</v>
      </c>
      <c r="G178" s="21">
        <f t="shared" si="370"/>
        <v>0</v>
      </c>
      <c r="H178" s="21">
        <f t="shared" si="370"/>
        <v>0</v>
      </c>
      <c r="I178" s="85">
        <f t="shared" ref="I178:L178" si="371">IF(X178="",I418,X178)</f>
        <v>0</v>
      </c>
      <c r="J178" s="85">
        <f t="shared" si="371"/>
        <v>0</v>
      </c>
      <c r="K178" s="85">
        <f t="shared" si="371"/>
        <v>0</v>
      </c>
      <c r="L178" s="85">
        <f t="shared" si="371"/>
        <v>0</v>
      </c>
      <c r="M178" s="17">
        <f t="shared" si="349"/>
        <v>0</v>
      </c>
      <c r="N178" s="85">
        <f t="shared" ref="N178:Q178" si="372">IF(AC178="",N418,AC178)</f>
        <v>0</v>
      </c>
      <c r="O178" s="85">
        <f t="shared" si="372"/>
        <v>0</v>
      </c>
      <c r="P178" s="85">
        <f t="shared" si="372"/>
        <v>0</v>
      </c>
      <c r="Q178" s="85">
        <f t="shared" si="372"/>
        <v>0</v>
      </c>
      <c r="R178" s="22">
        <f t="shared" si="351"/>
        <v>0</v>
      </c>
      <c r="S178" s="23">
        <f t="shared" ref="S178:U178" si="373">IF(AH178="",S418,AH178)</f>
        <v>0</v>
      </c>
      <c r="T178" s="23">
        <f t="shared" si="373"/>
        <v>0</v>
      </c>
      <c r="U178" s="23">
        <f t="shared" si="373"/>
        <v>0</v>
      </c>
      <c r="W178" s="78" t="str">
        <f t="shared" si="353"/>
        <v>Other Inventory Reserves</v>
      </c>
      <c r="X178" s="64"/>
      <c r="Y178" s="64"/>
      <c r="Z178" s="64"/>
      <c r="AA178" s="64"/>
      <c r="AB178" s="60"/>
      <c r="AC178" s="64"/>
      <c r="AD178" s="64"/>
      <c r="AE178" s="64"/>
      <c r="AF178" s="64"/>
      <c r="AG178" s="60"/>
      <c r="AH178" s="64"/>
      <c r="AI178" s="64"/>
      <c r="AJ178" s="64"/>
    </row>
    <row r="179" spans="2:36" hidden="1" outlineLevel="1" x14ac:dyDescent="0.25">
      <c r="B179" s="229" t="s">
        <v>195</v>
      </c>
      <c r="E179" s="78" t="s">
        <v>118</v>
      </c>
      <c r="F179" s="21">
        <f t="shared" ref="F179:H179" si="374">F419</f>
        <v>0</v>
      </c>
      <c r="G179" s="21">
        <f t="shared" si="374"/>
        <v>0</v>
      </c>
      <c r="H179" s="21">
        <f t="shared" si="374"/>
        <v>0</v>
      </c>
      <c r="I179" s="85">
        <f t="shared" ref="I179:L179" si="375">IF(X179="",I419,X179)</f>
        <v>0</v>
      </c>
      <c r="J179" s="85">
        <f t="shared" si="375"/>
        <v>0</v>
      </c>
      <c r="K179" s="85">
        <f t="shared" si="375"/>
        <v>0</v>
      </c>
      <c r="L179" s="85">
        <f t="shared" si="375"/>
        <v>0</v>
      </c>
      <c r="M179" s="17">
        <f t="shared" si="349"/>
        <v>0</v>
      </c>
      <c r="N179" s="85">
        <f t="shared" ref="N179:Q179" si="376">IF(AC179="",N419,AC179)</f>
        <v>0</v>
      </c>
      <c r="O179" s="85">
        <f t="shared" si="376"/>
        <v>0</v>
      </c>
      <c r="P179" s="85">
        <f t="shared" si="376"/>
        <v>0</v>
      </c>
      <c r="Q179" s="85">
        <f t="shared" si="376"/>
        <v>0</v>
      </c>
      <c r="R179" s="22">
        <f t="shared" si="351"/>
        <v>0</v>
      </c>
      <c r="S179" s="23">
        <f t="shared" ref="S179:U179" si="377">IF(AH179="",S419,AH179)</f>
        <v>0</v>
      </c>
      <c r="T179" s="23">
        <f t="shared" si="377"/>
        <v>0</v>
      </c>
      <c r="U179" s="23">
        <f t="shared" si="377"/>
        <v>0</v>
      </c>
      <c r="W179" s="78" t="str">
        <f t="shared" si="353"/>
        <v>Book to Physical Reserve</v>
      </c>
      <c r="X179" s="64"/>
      <c r="Y179" s="64"/>
      <c r="Z179" s="64"/>
      <c r="AA179" s="64"/>
      <c r="AB179" s="60"/>
      <c r="AC179" s="64"/>
      <c r="AD179" s="64"/>
      <c r="AE179" s="64"/>
      <c r="AF179" s="64"/>
      <c r="AG179" s="60"/>
      <c r="AH179" s="64"/>
      <c r="AI179" s="64"/>
      <c r="AJ179" s="64"/>
    </row>
    <row r="180" spans="2:36" hidden="1" outlineLevel="1" x14ac:dyDescent="0.25">
      <c r="B180" s="229" t="s">
        <v>195</v>
      </c>
      <c r="E180" s="78" t="s">
        <v>119</v>
      </c>
      <c r="F180" s="21">
        <f t="shared" ref="F180:H180" si="378">F420</f>
        <v>0</v>
      </c>
      <c r="G180" s="21">
        <f t="shared" si="378"/>
        <v>0</v>
      </c>
      <c r="H180" s="21">
        <f t="shared" si="378"/>
        <v>0</v>
      </c>
      <c r="I180" s="85">
        <f t="shared" ref="I180:L180" si="379">IF(X180="",I420,X180)</f>
        <v>0</v>
      </c>
      <c r="J180" s="85">
        <f t="shared" si="379"/>
        <v>0</v>
      </c>
      <c r="K180" s="85">
        <f t="shared" si="379"/>
        <v>0</v>
      </c>
      <c r="L180" s="85">
        <f t="shared" si="379"/>
        <v>0</v>
      </c>
      <c r="M180" s="17">
        <f t="shared" si="349"/>
        <v>0</v>
      </c>
      <c r="N180" s="85">
        <f t="shared" ref="N180:Q180" si="380">IF(AC180="",N420,AC180)</f>
        <v>0</v>
      </c>
      <c r="O180" s="85">
        <f t="shared" si="380"/>
        <v>0</v>
      </c>
      <c r="P180" s="85">
        <f t="shared" si="380"/>
        <v>0</v>
      </c>
      <c r="Q180" s="85">
        <f t="shared" si="380"/>
        <v>0</v>
      </c>
      <c r="R180" s="22">
        <f t="shared" si="351"/>
        <v>0</v>
      </c>
      <c r="S180" s="23">
        <f t="shared" ref="S180:U180" si="381">IF(AH180="",S420,AH180)</f>
        <v>0</v>
      </c>
      <c r="T180" s="23">
        <f t="shared" si="381"/>
        <v>0</v>
      </c>
      <c r="U180" s="23">
        <f t="shared" si="381"/>
        <v>0</v>
      </c>
      <c r="W180" s="78" t="str">
        <f t="shared" si="353"/>
        <v>LIFO Reserves</v>
      </c>
      <c r="X180" s="64"/>
      <c r="Y180" s="64"/>
      <c r="Z180" s="64"/>
      <c r="AA180" s="64"/>
      <c r="AB180" s="60"/>
      <c r="AC180" s="64"/>
      <c r="AD180" s="64"/>
      <c r="AE180" s="64"/>
      <c r="AF180" s="64"/>
      <c r="AG180" s="60"/>
      <c r="AH180" s="64"/>
      <c r="AI180" s="64"/>
      <c r="AJ180" s="64"/>
    </row>
    <row r="181" spans="2:36" hidden="1" outlineLevel="1" x14ac:dyDescent="0.25">
      <c r="B181" s="229" t="s">
        <v>195</v>
      </c>
      <c r="E181" s="78" t="s">
        <v>77</v>
      </c>
      <c r="F181" s="21">
        <f t="shared" ref="F181:H181" si="382">F421</f>
        <v>0</v>
      </c>
      <c r="G181" s="21">
        <f t="shared" si="382"/>
        <v>0</v>
      </c>
      <c r="H181" s="21">
        <f t="shared" si="382"/>
        <v>0</v>
      </c>
      <c r="I181" s="85">
        <f t="shared" ref="I181:L181" si="383">IF(X181="",I421,X181)</f>
        <v>0</v>
      </c>
      <c r="J181" s="85">
        <f t="shared" si="383"/>
        <v>0</v>
      </c>
      <c r="K181" s="85">
        <f t="shared" si="383"/>
        <v>0</v>
      </c>
      <c r="L181" s="85">
        <f t="shared" si="383"/>
        <v>0</v>
      </c>
      <c r="M181" s="17">
        <f t="shared" si="349"/>
        <v>0</v>
      </c>
      <c r="N181" s="85">
        <f t="shared" ref="N181:Q181" si="384">IF(AC181="",N421,AC181)</f>
        <v>0</v>
      </c>
      <c r="O181" s="85">
        <f t="shared" si="384"/>
        <v>0</v>
      </c>
      <c r="P181" s="85">
        <f t="shared" si="384"/>
        <v>0</v>
      </c>
      <c r="Q181" s="85">
        <f t="shared" si="384"/>
        <v>0</v>
      </c>
      <c r="R181" s="22">
        <f t="shared" si="351"/>
        <v>0</v>
      </c>
      <c r="S181" s="23">
        <f t="shared" ref="S181:U181" si="385">IF(AH181="",S421,AH181)</f>
        <v>0</v>
      </c>
      <c r="T181" s="23">
        <f t="shared" si="385"/>
        <v>0</v>
      </c>
      <c r="U181" s="23">
        <f t="shared" si="385"/>
        <v>0</v>
      </c>
      <c r="W181" s="78" t="str">
        <f t="shared" si="353"/>
        <v>blank</v>
      </c>
      <c r="X181" s="64"/>
      <c r="Y181" s="64"/>
      <c r="Z181" s="64"/>
      <c r="AA181" s="64"/>
      <c r="AB181" s="60"/>
      <c r="AC181" s="64"/>
      <c r="AD181" s="64"/>
      <c r="AE181" s="64"/>
      <c r="AF181" s="64"/>
      <c r="AG181" s="60"/>
      <c r="AH181" s="64"/>
      <c r="AI181" s="64"/>
      <c r="AJ181" s="64"/>
    </row>
    <row r="182" spans="2:36" ht="15.75" hidden="1" outlineLevel="1" thickBot="1" x14ac:dyDescent="0.3">
      <c r="E182" s="8" t="s">
        <v>42</v>
      </c>
      <c r="F182" s="9">
        <f>SUM(F172:F181)</f>
        <v>0</v>
      </c>
      <c r="G182" s="9">
        <f t="shared" ref="G182" si="386">SUM(G172:G181)</f>
        <v>0</v>
      </c>
      <c r="H182" s="9">
        <f t="shared" ref="H182" si="387">SUM(H172:H181)</f>
        <v>0</v>
      </c>
      <c r="I182" s="86">
        <f t="shared" ref="I182" si="388">SUM(I172:I181)</f>
        <v>0</v>
      </c>
      <c r="J182" s="86">
        <f t="shared" ref="J182" si="389">SUM(J172:J181)</f>
        <v>0</v>
      </c>
      <c r="K182" s="86">
        <f t="shared" ref="K182" si="390">SUM(K172:K181)</f>
        <v>0</v>
      </c>
      <c r="L182" s="86">
        <f t="shared" ref="L182" si="391">SUM(L172:L181)</f>
        <v>0</v>
      </c>
      <c r="M182" s="18">
        <f t="shared" ref="M182" si="392">SUM(M172:M181)</f>
        <v>0</v>
      </c>
      <c r="N182" s="86">
        <f t="shared" ref="N182" si="393">SUM(N172:N181)</f>
        <v>0</v>
      </c>
      <c r="O182" s="86">
        <f t="shared" ref="O182" si="394">SUM(O172:O181)</f>
        <v>0</v>
      </c>
      <c r="P182" s="86">
        <f t="shared" ref="P182" si="395">SUM(P172:P181)</f>
        <v>0</v>
      </c>
      <c r="Q182" s="86">
        <f t="shared" ref="Q182" si="396">SUM(Q172:Q181)</f>
        <v>0</v>
      </c>
      <c r="R182" s="19">
        <f t="shared" ref="R182" si="397">SUM(R172:R181)</f>
        <v>0</v>
      </c>
      <c r="S182" s="20">
        <f t="shared" ref="S182" si="398">SUM(S172:S181)</f>
        <v>0</v>
      </c>
      <c r="T182" s="20">
        <f t="shared" ref="T182" si="399">SUM(T172:T181)</f>
        <v>0</v>
      </c>
      <c r="U182" s="20">
        <f t="shared" ref="U182" si="400">SUM(U172:U181)</f>
        <v>0</v>
      </c>
    </row>
    <row r="183" spans="2:36" ht="15.75" hidden="1" outlineLevel="1" thickTop="1" x14ac:dyDescent="0.25">
      <c r="M183" s="3"/>
    </row>
    <row r="184" spans="2:36" hidden="1" outlineLevel="1" x14ac:dyDescent="0.25">
      <c r="M184" s="3"/>
    </row>
    <row r="185" spans="2:36" hidden="1" outlineLevel="1" x14ac:dyDescent="0.25">
      <c r="M185" s="3"/>
    </row>
    <row r="186" spans="2:36" hidden="1" outlineLevel="1" x14ac:dyDescent="0.25">
      <c r="E186" s="4" t="s">
        <v>133</v>
      </c>
      <c r="W186" s="4" t="str">
        <f>E186</f>
        <v>Accounts Receivable (Gross Trade Receivables + Allowance for Doubtful Accounts + Intercompany Recievables)</v>
      </c>
    </row>
    <row r="187" spans="2:36" hidden="1" outlineLevel="1" x14ac:dyDescent="0.25">
      <c r="E187" s="6" t="s">
        <v>25</v>
      </c>
      <c r="W187" s="61" t="s">
        <v>62</v>
      </c>
    </row>
    <row r="188" spans="2:36" hidden="1" outlineLevel="1" x14ac:dyDescent="0.25"/>
    <row r="189" spans="2:36" hidden="1" outlineLevel="1" x14ac:dyDescent="0.25">
      <c r="F189" s="12">
        <f>Inputs!$C$7</f>
        <v>2023</v>
      </c>
      <c r="G189" s="12">
        <f>Inputs!$C$8</f>
        <v>2024</v>
      </c>
      <c r="H189" s="12">
        <f>Inputs!$C$9</f>
        <v>2025</v>
      </c>
      <c r="I189" s="13" t="s">
        <v>1</v>
      </c>
      <c r="J189" s="13" t="s">
        <v>2</v>
      </c>
      <c r="K189" s="13" t="s">
        <v>3</v>
      </c>
      <c r="L189" s="13" t="s">
        <v>4</v>
      </c>
      <c r="M189" s="13">
        <f>Inputs!$C$10</f>
        <v>2026</v>
      </c>
      <c r="N189" s="14" t="s">
        <v>1</v>
      </c>
      <c r="O189" s="14" t="s">
        <v>2</v>
      </c>
      <c r="P189" s="14" t="s">
        <v>3</v>
      </c>
      <c r="Q189" s="14" t="s">
        <v>4</v>
      </c>
      <c r="R189" s="15">
        <f>Inputs!$C$11</f>
        <v>2027</v>
      </c>
      <c r="S189" s="16">
        <f>Inputs!$C$12</f>
        <v>2028</v>
      </c>
      <c r="T189" s="16">
        <f>Inputs!$C$13</f>
        <v>2029</v>
      </c>
      <c r="U189" s="16">
        <f>Inputs!$C$14</f>
        <v>2030</v>
      </c>
      <c r="X189" s="13" t="s">
        <v>1</v>
      </c>
      <c r="Y189" s="13" t="s">
        <v>2</v>
      </c>
      <c r="Z189" s="13" t="s">
        <v>3</v>
      </c>
      <c r="AA189" s="13" t="s">
        <v>4</v>
      </c>
      <c r="AB189" s="13">
        <f>Inputs!$C$10</f>
        <v>2026</v>
      </c>
      <c r="AC189" s="14" t="s">
        <v>1</v>
      </c>
      <c r="AD189" s="14" t="s">
        <v>2</v>
      </c>
      <c r="AE189" s="14" t="s">
        <v>3</v>
      </c>
      <c r="AF189" s="14" t="s">
        <v>4</v>
      </c>
      <c r="AG189" s="15">
        <f>Inputs!$C$11</f>
        <v>2027</v>
      </c>
      <c r="AH189" s="16">
        <f>Inputs!$C$12</f>
        <v>2028</v>
      </c>
      <c r="AI189" s="16">
        <f>Inputs!$C$13</f>
        <v>2029</v>
      </c>
      <c r="AJ189" s="16">
        <f>Inputs!$C$14</f>
        <v>2030</v>
      </c>
    </row>
    <row r="190" spans="2:36" hidden="1" outlineLevel="1" x14ac:dyDescent="0.25">
      <c r="F190" s="71" t="s">
        <v>63</v>
      </c>
      <c r="G190" s="71" t="s">
        <v>63</v>
      </c>
      <c r="H190" s="71" t="s">
        <v>63</v>
      </c>
      <c r="I190" s="71" t="s">
        <v>63</v>
      </c>
      <c r="J190" s="71" t="s">
        <v>63</v>
      </c>
      <c r="K190" s="71" t="s">
        <v>63</v>
      </c>
      <c r="L190" s="71" t="s">
        <v>63</v>
      </c>
      <c r="M190" s="71" t="s">
        <v>63</v>
      </c>
      <c r="N190" s="71" t="s">
        <v>63</v>
      </c>
      <c r="O190" s="71" t="s">
        <v>63</v>
      </c>
      <c r="P190" s="71" t="s">
        <v>63</v>
      </c>
      <c r="Q190" s="71" t="s">
        <v>63</v>
      </c>
      <c r="R190" s="71" t="s">
        <v>63</v>
      </c>
      <c r="S190" s="71" t="s">
        <v>63</v>
      </c>
      <c r="T190" s="71" t="s">
        <v>63</v>
      </c>
      <c r="U190" s="71" t="s">
        <v>63</v>
      </c>
      <c r="X190" s="63" t="s">
        <v>30</v>
      </c>
      <c r="Y190" s="63" t="s">
        <v>30</v>
      </c>
      <c r="Z190" s="63" t="s">
        <v>30</v>
      </c>
      <c r="AA190" s="63" t="s">
        <v>30</v>
      </c>
      <c r="AB190" s="62"/>
      <c r="AC190" s="63" t="s">
        <v>30</v>
      </c>
      <c r="AD190" s="63" t="s">
        <v>30</v>
      </c>
      <c r="AE190" s="63" t="s">
        <v>30</v>
      </c>
      <c r="AF190" s="63" t="s">
        <v>30</v>
      </c>
      <c r="AG190" s="62"/>
      <c r="AH190" s="63" t="s">
        <v>30</v>
      </c>
      <c r="AI190" s="63" t="s">
        <v>30</v>
      </c>
      <c r="AJ190" s="63" t="s">
        <v>30</v>
      </c>
    </row>
    <row r="191" spans="2:36" hidden="1" outlineLevel="1" x14ac:dyDescent="0.25">
      <c r="B191" s="229" t="s">
        <v>195</v>
      </c>
      <c r="C191" s="229"/>
      <c r="E191" s="78" t="s">
        <v>120</v>
      </c>
      <c r="F191" s="21">
        <f>F431</f>
        <v>0</v>
      </c>
      <c r="G191" s="21">
        <f t="shared" ref="G191:H191" si="401">G431</f>
        <v>0</v>
      </c>
      <c r="H191" s="21">
        <f t="shared" si="401"/>
        <v>0</v>
      </c>
      <c r="I191" s="85">
        <f>IF(X191="",I431,X191)</f>
        <v>0</v>
      </c>
      <c r="J191" s="85">
        <f t="shared" ref="J191:J200" si="402">IF(Y191="",J431,Y191)</f>
        <v>0</v>
      </c>
      <c r="K191" s="85">
        <f t="shared" ref="K191:K200" si="403">IF(Z191="",K431,Z191)</f>
        <v>0</v>
      </c>
      <c r="L191" s="85">
        <f t="shared" ref="L191:L200" si="404">IF(AA191="",L431,AA191)</f>
        <v>0</v>
      </c>
      <c r="M191" s="17">
        <f>L191</f>
        <v>0</v>
      </c>
      <c r="N191" s="85">
        <f t="shared" ref="N191:N200" si="405">IF(AC191="",N431,AC191)</f>
        <v>0</v>
      </c>
      <c r="O191" s="85">
        <f t="shared" ref="O191:O200" si="406">IF(AD191="",O431,AD191)</f>
        <v>0</v>
      </c>
      <c r="P191" s="85">
        <f t="shared" ref="P191:P200" si="407">IF(AE191="",P431,AE191)</f>
        <v>0</v>
      </c>
      <c r="Q191" s="85">
        <f t="shared" ref="Q191:Q200" si="408">IF(AF191="",Q431,AF191)</f>
        <v>0</v>
      </c>
      <c r="R191" s="22">
        <f>Q191</f>
        <v>0</v>
      </c>
      <c r="S191" s="23">
        <f t="shared" ref="S191:S200" si="409">IF(AH191="",S431,AH191)</f>
        <v>0</v>
      </c>
      <c r="T191" s="23">
        <f t="shared" ref="T191:T200" si="410">IF(AI191="",T431,AI191)</f>
        <v>0</v>
      </c>
      <c r="U191" s="23">
        <f t="shared" ref="U191:U200" si="411">IF(AJ191="",U431,AJ191)</f>
        <v>0</v>
      </c>
      <c r="W191" s="78" t="str">
        <f t="shared" ref="W191:W200" si="412">E191</f>
        <v>Trade Account Receivable</v>
      </c>
      <c r="X191" s="64"/>
      <c r="Y191" s="64"/>
      <c r="Z191" s="64"/>
      <c r="AA191" s="64"/>
      <c r="AB191" s="60"/>
      <c r="AC191" s="64"/>
      <c r="AD191" s="64"/>
      <c r="AE191" s="64"/>
      <c r="AF191" s="64"/>
      <c r="AG191" s="60"/>
      <c r="AH191" s="64"/>
      <c r="AI191" s="64"/>
      <c r="AJ191" s="64"/>
    </row>
    <row r="192" spans="2:36" hidden="1" outlineLevel="1" x14ac:dyDescent="0.25">
      <c r="B192" s="229" t="s">
        <v>195</v>
      </c>
      <c r="C192" s="229"/>
      <c r="E192" s="78" t="s">
        <v>122</v>
      </c>
      <c r="F192" s="21">
        <f t="shared" ref="F192:H192" si="413">F432</f>
        <v>0</v>
      </c>
      <c r="G192" s="21">
        <f t="shared" si="413"/>
        <v>0</v>
      </c>
      <c r="H192" s="21">
        <f t="shared" si="413"/>
        <v>0</v>
      </c>
      <c r="I192" s="85">
        <f t="shared" ref="I192:I200" si="414">IF(X192="",I432,X192)</f>
        <v>0</v>
      </c>
      <c r="J192" s="85">
        <f t="shared" si="402"/>
        <v>0</v>
      </c>
      <c r="K192" s="85">
        <f t="shared" si="403"/>
        <v>0</v>
      </c>
      <c r="L192" s="85">
        <f t="shared" si="404"/>
        <v>0</v>
      </c>
      <c r="M192" s="17">
        <f t="shared" ref="M192:M200" si="415">L192</f>
        <v>0</v>
      </c>
      <c r="N192" s="85">
        <f t="shared" si="405"/>
        <v>0</v>
      </c>
      <c r="O192" s="85">
        <f t="shared" si="406"/>
        <v>0</v>
      </c>
      <c r="P192" s="85">
        <f t="shared" si="407"/>
        <v>0</v>
      </c>
      <c r="Q192" s="85">
        <f t="shared" si="408"/>
        <v>0</v>
      </c>
      <c r="R192" s="22">
        <f t="shared" ref="R192:R200" si="416">Q192</f>
        <v>0</v>
      </c>
      <c r="S192" s="23">
        <f t="shared" si="409"/>
        <v>0</v>
      </c>
      <c r="T192" s="23">
        <f t="shared" si="410"/>
        <v>0</v>
      </c>
      <c r="U192" s="23">
        <f t="shared" si="411"/>
        <v>0</v>
      </c>
      <c r="W192" s="78" t="str">
        <f t="shared" si="412"/>
        <v>Notes Receivable</v>
      </c>
      <c r="X192" s="64"/>
      <c r="Y192" s="64"/>
      <c r="Z192" s="64"/>
      <c r="AA192" s="64"/>
      <c r="AB192" s="60"/>
      <c r="AC192" s="64"/>
      <c r="AD192" s="64"/>
      <c r="AE192" s="64"/>
      <c r="AF192" s="64"/>
      <c r="AG192" s="60"/>
      <c r="AH192" s="64"/>
      <c r="AI192" s="64"/>
      <c r="AJ192" s="64"/>
    </row>
    <row r="193" spans="2:36" hidden="1" outlineLevel="1" x14ac:dyDescent="0.25">
      <c r="B193" s="229" t="s">
        <v>195</v>
      </c>
      <c r="C193" s="229"/>
      <c r="E193" s="78" t="s">
        <v>123</v>
      </c>
      <c r="F193" s="21">
        <f t="shared" ref="F193:H193" si="417">F433</f>
        <v>0</v>
      </c>
      <c r="G193" s="21">
        <f t="shared" si="417"/>
        <v>0</v>
      </c>
      <c r="H193" s="21">
        <f t="shared" si="417"/>
        <v>0</v>
      </c>
      <c r="I193" s="85">
        <f t="shared" si="414"/>
        <v>0</v>
      </c>
      <c r="J193" s="85">
        <f t="shared" si="402"/>
        <v>0</v>
      </c>
      <c r="K193" s="85">
        <f t="shared" si="403"/>
        <v>0</v>
      </c>
      <c r="L193" s="85">
        <f t="shared" si="404"/>
        <v>0</v>
      </c>
      <c r="M193" s="17">
        <f t="shared" si="415"/>
        <v>0</v>
      </c>
      <c r="N193" s="85">
        <f t="shared" si="405"/>
        <v>0</v>
      </c>
      <c r="O193" s="85">
        <f t="shared" si="406"/>
        <v>0</v>
      </c>
      <c r="P193" s="85">
        <f t="shared" si="407"/>
        <v>0</v>
      </c>
      <c r="Q193" s="85">
        <f t="shared" si="408"/>
        <v>0</v>
      </c>
      <c r="R193" s="22">
        <f t="shared" si="416"/>
        <v>0</v>
      </c>
      <c r="S193" s="23">
        <f t="shared" si="409"/>
        <v>0</v>
      </c>
      <c r="T193" s="23">
        <f t="shared" si="410"/>
        <v>0</v>
      </c>
      <c r="U193" s="23">
        <f t="shared" si="411"/>
        <v>0</v>
      </c>
      <c r="W193" s="78" t="str">
        <f t="shared" si="412"/>
        <v>Sales Lease Receivable</v>
      </c>
      <c r="X193" s="64"/>
      <c r="Y193" s="64"/>
      <c r="Z193" s="64"/>
      <c r="AA193" s="64"/>
      <c r="AB193" s="60"/>
      <c r="AC193" s="64"/>
      <c r="AD193" s="64"/>
      <c r="AE193" s="64"/>
      <c r="AF193" s="64"/>
      <c r="AG193" s="60"/>
      <c r="AH193" s="64"/>
      <c r="AI193" s="64"/>
      <c r="AJ193" s="64"/>
    </row>
    <row r="194" spans="2:36" hidden="1" outlineLevel="1" x14ac:dyDescent="0.25">
      <c r="B194" s="229" t="s">
        <v>195</v>
      </c>
      <c r="C194" s="229"/>
      <c r="E194" s="78" t="s">
        <v>121</v>
      </c>
      <c r="F194" s="21">
        <f t="shared" ref="F194:H194" si="418">F434</f>
        <v>0</v>
      </c>
      <c r="G194" s="21">
        <f t="shared" si="418"/>
        <v>0</v>
      </c>
      <c r="H194" s="21">
        <f t="shared" si="418"/>
        <v>0</v>
      </c>
      <c r="I194" s="85">
        <f t="shared" si="414"/>
        <v>0</v>
      </c>
      <c r="J194" s="85">
        <f t="shared" si="402"/>
        <v>0</v>
      </c>
      <c r="K194" s="85">
        <f t="shared" si="403"/>
        <v>0</v>
      </c>
      <c r="L194" s="85">
        <f t="shared" si="404"/>
        <v>0</v>
      </c>
      <c r="M194" s="17">
        <f t="shared" si="415"/>
        <v>0</v>
      </c>
      <c r="N194" s="85">
        <f t="shared" si="405"/>
        <v>0</v>
      </c>
      <c r="O194" s="85">
        <f t="shared" si="406"/>
        <v>0</v>
      </c>
      <c r="P194" s="85">
        <f t="shared" si="407"/>
        <v>0</v>
      </c>
      <c r="Q194" s="85">
        <f t="shared" si="408"/>
        <v>0</v>
      </c>
      <c r="R194" s="22">
        <f t="shared" si="416"/>
        <v>0</v>
      </c>
      <c r="S194" s="23">
        <f t="shared" si="409"/>
        <v>0</v>
      </c>
      <c r="T194" s="23">
        <f t="shared" si="410"/>
        <v>0</v>
      </c>
      <c r="U194" s="23">
        <f t="shared" si="411"/>
        <v>0</v>
      </c>
      <c r="W194" s="78" t="str">
        <f t="shared" si="412"/>
        <v>Unbilled AR and Other Receivables</v>
      </c>
      <c r="X194" s="64"/>
      <c r="Y194" s="64"/>
      <c r="Z194" s="64"/>
      <c r="AA194" s="64"/>
      <c r="AB194" s="60"/>
      <c r="AC194" s="64"/>
      <c r="AD194" s="64"/>
      <c r="AE194" s="64"/>
      <c r="AF194" s="64"/>
      <c r="AG194" s="60"/>
      <c r="AH194" s="64"/>
      <c r="AI194" s="64"/>
      <c r="AJ194" s="64"/>
    </row>
    <row r="195" spans="2:36" hidden="1" outlineLevel="1" x14ac:dyDescent="0.25">
      <c r="B195" s="229" t="s">
        <v>195</v>
      </c>
      <c r="C195" s="229"/>
      <c r="E195" s="78" t="s">
        <v>41</v>
      </c>
      <c r="F195" s="21">
        <f t="shared" ref="F195:H195" si="419">F435</f>
        <v>0</v>
      </c>
      <c r="G195" s="21">
        <f t="shared" si="419"/>
        <v>0</v>
      </c>
      <c r="H195" s="21">
        <f t="shared" si="419"/>
        <v>0</v>
      </c>
      <c r="I195" s="85">
        <f t="shared" si="414"/>
        <v>0</v>
      </c>
      <c r="J195" s="85">
        <f t="shared" si="402"/>
        <v>0</v>
      </c>
      <c r="K195" s="85">
        <f t="shared" si="403"/>
        <v>0</v>
      </c>
      <c r="L195" s="85">
        <f t="shared" si="404"/>
        <v>0</v>
      </c>
      <c r="M195" s="17">
        <f t="shared" si="415"/>
        <v>0</v>
      </c>
      <c r="N195" s="85">
        <f t="shared" si="405"/>
        <v>0</v>
      </c>
      <c r="O195" s="85">
        <f t="shared" si="406"/>
        <v>0</v>
      </c>
      <c r="P195" s="85">
        <f t="shared" si="407"/>
        <v>0</v>
      </c>
      <c r="Q195" s="85">
        <f t="shared" si="408"/>
        <v>0</v>
      </c>
      <c r="R195" s="22">
        <f t="shared" si="416"/>
        <v>0</v>
      </c>
      <c r="S195" s="23">
        <f t="shared" si="409"/>
        <v>0</v>
      </c>
      <c r="T195" s="23">
        <f t="shared" si="410"/>
        <v>0</v>
      </c>
      <c r="U195" s="23">
        <f t="shared" si="411"/>
        <v>0</v>
      </c>
      <c r="W195" s="78" t="str">
        <f t="shared" si="412"/>
        <v>Allowance for Doubtful Accounts</v>
      </c>
      <c r="X195" s="64"/>
      <c r="Y195" s="64"/>
      <c r="Z195" s="64"/>
      <c r="AA195" s="64"/>
      <c r="AB195" s="60"/>
      <c r="AC195" s="64"/>
      <c r="AD195" s="64"/>
      <c r="AE195" s="64"/>
      <c r="AF195" s="64"/>
      <c r="AG195" s="60"/>
      <c r="AH195" s="64"/>
      <c r="AI195" s="64"/>
      <c r="AJ195" s="64"/>
    </row>
    <row r="196" spans="2:36" hidden="1" outlineLevel="1" x14ac:dyDescent="0.25">
      <c r="B196" s="229" t="s">
        <v>195</v>
      </c>
      <c r="C196" s="229"/>
      <c r="E196" s="78" t="s">
        <v>124</v>
      </c>
      <c r="F196" s="21">
        <f t="shared" ref="F196:H196" si="420">F436</f>
        <v>0</v>
      </c>
      <c r="G196" s="21">
        <f t="shared" si="420"/>
        <v>0</v>
      </c>
      <c r="H196" s="21">
        <f t="shared" si="420"/>
        <v>0</v>
      </c>
      <c r="I196" s="85">
        <f t="shared" si="414"/>
        <v>0</v>
      </c>
      <c r="J196" s="85">
        <f t="shared" si="402"/>
        <v>0</v>
      </c>
      <c r="K196" s="85">
        <f t="shared" si="403"/>
        <v>0</v>
      </c>
      <c r="L196" s="85">
        <f t="shared" si="404"/>
        <v>0</v>
      </c>
      <c r="M196" s="17">
        <f t="shared" si="415"/>
        <v>0</v>
      </c>
      <c r="N196" s="85">
        <f t="shared" si="405"/>
        <v>0</v>
      </c>
      <c r="O196" s="85">
        <f t="shared" si="406"/>
        <v>0</v>
      </c>
      <c r="P196" s="85">
        <f t="shared" si="407"/>
        <v>0</v>
      </c>
      <c r="Q196" s="85">
        <f t="shared" si="408"/>
        <v>0</v>
      </c>
      <c r="R196" s="22">
        <f t="shared" si="416"/>
        <v>0</v>
      </c>
      <c r="S196" s="23">
        <f t="shared" si="409"/>
        <v>0</v>
      </c>
      <c r="T196" s="23">
        <f t="shared" si="410"/>
        <v>0</v>
      </c>
      <c r="U196" s="23">
        <f t="shared" si="411"/>
        <v>0</v>
      </c>
      <c r="W196" s="78" t="str">
        <f t="shared" si="412"/>
        <v>Interco Receivables</v>
      </c>
      <c r="X196" s="64"/>
      <c r="Y196" s="64"/>
      <c r="Z196" s="64"/>
      <c r="AA196" s="64"/>
      <c r="AB196" s="60"/>
      <c r="AC196" s="64"/>
      <c r="AD196" s="64"/>
      <c r="AE196" s="64"/>
      <c r="AF196" s="64"/>
      <c r="AG196" s="60"/>
      <c r="AH196" s="64"/>
      <c r="AI196" s="64"/>
      <c r="AJ196" s="64"/>
    </row>
    <row r="197" spans="2:36" hidden="1" outlineLevel="1" x14ac:dyDescent="0.25">
      <c r="B197" s="229" t="s">
        <v>195</v>
      </c>
      <c r="C197" s="229"/>
      <c r="E197" s="78" t="s">
        <v>77</v>
      </c>
      <c r="F197" s="21">
        <f t="shared" ref="F197:H197" si="421">F437</f>
        <v>0</v>
      </c>
      <c r="G197" s="21">
        <f t="shared" si="421"/>
        <v>0</v>
      </c>
      <c r="H197" s="21">
        <f t="shared" si="421"/>
        <v>0</v>
      </c>
      <c r="I197" s="85">
        <f t="shared" si="414"/>
        <v>0</v>
      </c>
      <c r="J197" s="85">
        <f t="shared" si="402"/>
        <v>0</v>
      </c>
      <c r="K197" s="85">
        <f t="shared" si="403"/>
        <v>0</v>
      </c>
      <c r="L197" s="85">
        <f t="shared" si="404"/>
        <v>0</v>
      </c>
      <c r="M197" s="17">
        <f t="shared" si="415"/>
        <v>0</v>
      </c>
      <c r="N197" s="85">
        <f t="shared" si="405"/>
        <v>0</v>
      </c>
      <c r="O197" s="85">
        <f t="shared" si="406"/>
        <v>0</v>
      </c>
      <c r="P197" s="85">
        <f t="shared" si="407"/>
        <v>0</v>
      </c>
      <c r="Q197" s="85">
        <f t="shared" si="408"/>
        <v>0</v>
      </c>
      <c r="R197" s="22">
        <f t="shared" si="416"/>
        <v>0</v>
      </c>
      <c r="S197" s="23">
        <f t="shared" si="409"/>
        <v>0</v>
      </c>
      <c r="T197" s="23">
        <f t="shared" si="410"/>
        <v>0</v>
      </c>
      <c r="U197" s="23">
        <f t="shared" si="411"/>
        <v>0</v>
      </c>
      <c r="W197" s="78" t="str">
        <f t="shared" si="412"/>
        <v>blank</v>
      </c>
      <c r="X197" s="64"/>
      <c r="Y197" s="64"/>
      <c r="Z197" s="64"/>
      <c r="AA197" s="64"/>
      <c r="AB197" s="60"/>
      <c r="AC197" s="64"/>
      <c r="AD197" s="64"/>
      <c r="AE197" s="64"/>
      <c r="AF197" s="64"/>
      <c r="AG197" s="60"/>
      <c r="AH197" s="64"/>
      <c r="AI197" s="64"/>
      <c r="AJ197" s="64"/>
    </row>
    <row r="198" spans="2:36" hidden="1" outlineLevel="1" x14ac:dyDescent="0.25">
      <c r="B198" s="229" t="s">
        <v>195</v>
      </c>
      <c r="C198" s="229"/>
      <c r="E198" s="78" t="s">
        <v>77</v>
      </c>
      <c r="F198" s="21">
        <f t="shared" ref="F198:H198" si="422">F438</f>
        <v>0</v>
      </c>
      <c r="G198" s="21">
        <f t="shared" si="422"/>
        <v>0</v>
      </c>
      <c r="H198" s="21">
        <f t="shared" si="422"/>
        <v>0</v>
      </c>
      <c r="I198" s="85">
        <f t="shared" si="414"/>
        <v>0</v>
      </c>
      <c r="J198" s="85">
        <f t="shared" si="402"/>
        <v>0</v>
      </c>
      <c r="K198" s="85">
        <f t="shared" si="403"/>
        <v>0</v>
      </c>
      <c r="L198" s="85">
        <f t="shared" si="404"/>
        <v>0</v>
      </c>
      <c r="M198" s="17">
        <f t="shared" si="415"/>
        <v>0</v>
      </c>
      <c r="N198" s="85">
        <f t="shared" si="405"/>
        <v>0</v>
      </c>
      <c r="O198" s="85">
        <f t="shared" si="406"/>
        <v>0</v>
      </c>
      <c r="P198" s="85">
        <f t="shared" si="407"/>
        <v>0</v>
      </c>
      <c r="Q198" s="85">
        <f t="shared" si="408"/>
        <v>0</v>
      </c>
      <c r="R198" s="22">
        <f t="shared" si="416"/>
        <v>0</v>
      </c>
      <c r="S198" s="23">
        <f t="shared" si="409"/>
        <v>0</v>
      </c>
      <c r="T198" s="23">
        <f t="shared" si="410"/>
        <v>0</v>
      </c>
      <c r="U198" s="23">
        <f t="shared" si="411"/>
        <v>0</v>
      </c>
      <c r="W198" s="78" t="str">
        <f t="shared" si="412"/>
        <v>blank</v>
      </c>
      <c r="X198" s="64"/>
      <c r="Y198" s="64"/>
      <c r="Z198" s="64"/>
      <c r="AA198" s="64"/>
      <c r="AB198" s="60"/>
      <c r="AC198" s="64"/>
      <c r="AD198" s="64"/>
      <c r="AE198" s="64"/>
      <c r="AF198" s="64"/>
      <c r="AG198" s="60"/>
      <c r="AH198" s="64"/>
      <c r="AI198" s="64"/>
      <c r="AJ198" s="64"/>
    </row>
    <row r="199" spans="2:36" hidden="1" outlineLevel="1" x14ac:dyDescent="0.25">
      <c r="B199" s="229" t="s">
        <v>195</v>
      </c>
      <c r="C199" s="229"/>
      <c r="E199" s="78" t="s">
        <v>77</v>
      </c>
      <c r="F199" s="21">
        <f t="shared" ref="F199:H199" si="423">F439</f>
        <v>0</v>
      </c>
      <c r="G199" s="21">
        <f t="shared" si="423"/>
        <v>0</v>
      </c>
      <c r="H199" s="21">
        <f t="shared" si="423"/>
        <v>0</v>
      </c>
      <c r="I199" s="85">
        <f t="shared" si="414"/>
        <v>0</v>
      </c>
      <c r="J199" s="85">
        <f t="shared" si="402"/>
        <v>0</v>
      </c>
      <c r="K199" s="85">
        <f t="shared" si="403"/>
        <v>0</v>
      </c>
      <c r="L199" s="85">
        <f t="shared" si="404"/>
        <v>0</v>
      </c>
      <c r="M199" s="17">
        <f t="shared" si="415"/>
        <v>0</v>
      </c>
      <c r="N199" s="85">
        <f t="shared" si="405"/>
        <v>0</v>
      </c>
      <c r="O199" s="85">
        <f t="shared" si="406"/>
        <v>0</v>
      </c>
      <c r="P199" s="85">
        <f t="shared" si="407"/>
        <v>0</v>
      </c>
      <c r="Q199" s="85">
        <f t="shared" si="408"/>
        <v>0</v>
      </c>
      <c r="R199" s="22">
        <f t="shared" si="416"/>
        <v>0</v>
      </c>
      <c r="S199" s="23">
        <f t="shared" si="409"/>
        <v>0</v>
      </c>
      <c r="T199" s="23">
        <f t="shared" si="410"/>
        <v>0</v>
      </c>
      <c r="U199" s="23">
        <f t="shared" si="411"/>
        <v>0</v>
      </c>
      <c r="W199" s="78" t="str">
        <f t="shared" si="412"/>
        <v>blank</v>
      </c>
      <c r="X199" s="64"/>
      <c r="Y199" s="64"/>
      <c r="Z199" s="64"/>
      <c r="AA199" s="64"/>
      <c r="AB199" s="60"/>
      <c r="AC199" s="64"/>
      <c r="AD199" s="64"/>
      <c r="AE199" s="64"/>
      <c r="AF199" s="64"/>
      <c r="AG199" s="60"/>
      <c r="AH199" s="64"/>
      <c r="AI199" s="64"/>
      <c r="AJ199" s="64"/>
    </row>
    <row r="200" spans="2:36" hidden="1" outlineLevel="1" x14ac:dyDescent="0.25">
      <c r="B200" s="229" t="s">
        <v>195</v>
      </c>
      <c r="C200" s="229"/>
      <c r="E200" s="78" t="s">
        <v>77</v>
      </c>
      <c r="F200" s="21">
        <f t="shared" ref="F200:H200" si="424">F440</f>
        <v>0</v>
      </c>
      <c r="G200" s="21">
        <f t="shared" si="424"/>
        <v>0</v>
      </c>
      <c r="H200" s="21">
        <f t="shared" si="424"/>
        <v>0</v>
      </c>
      <c r="I200" s="85">
        <f t="shared" si="414"/>
        <v>0</v>
      </c>
      <c r="J200" s="85">
        <f t="shared" si="402"/>
        <v>0</v>
      </c>
      <c r="K200" s="85">
        <f t="shared" si="403"/>
        <v>0</v>
      </c>
      <c r="L200" s="85">
        <f t="shared" si="404"/>
        <v>0</v>
      </c>
      <c r="M200" s="17">
        <f t="shared" si="415"/>
        <v>0</v>
      </c>
      <c r="N200" s="85">
        <f t="shared" si="405"/>
        <v>0</v>
      </c>
      <c r="O200" s="85">
        <f t="shared" si="406"/>
        <v>0</v>
      </c>
      <c r="P200" s="85">
        <f t="shared" si="407"/>
        <v>0</v>
      </c>
      <c r="Q200" s="85">
        <f t="shared" si="408"/>
        <v>0</v>
      </c>
      <c r="R200" s="22">
        <f t="shared" si="416"/>
        <v>0</v>
      </c>
      <c r="S200" s="23">
        <f t="shared" si="409"/>
        <v>0</v>
      </c>
      <c r="T200" s="23">
        <f t="shared" si="410"/>
        <v>0</v>
      </c>
      <c r="U200" s="23">
        <f t="shared" si="411"/>
        <v>0</v>
      </c>
      <c r="W200" s="78" t="str">
        <f t="shared" si="412"/>
        <v>blank</v>
      </c>
      <c r="X200" s="64"/>
      <c r="Y200" s="64"/>
      <c r="Z200" s="64"/>
      <c r="AA200" s="64"/>
      <c r="AB200" s="60"/>
      <c r="AC200" s="64"/>
      <c r="AD200" s="64"/>
      <c r="AE200" s="64"/>
      <c r="AF200" s="64"/>
      <c r="AG200" s="60"/>
      <c r="AH200" s="64"/>
      <c r="AI200" s="64"/>
      <c r="AJ200" s="64"/>
    </row>
    <row r="201" spans="2:36" ht="15.75" hidden="1" outlineLevel="1" thickBot="1" x14ac:dyDescent="0.3">
      <c r="E201" s="8" t="s">
        <v>125</v>
      </c>
      <c r="F201" s="9">
        <f>SUM(F191:F200)</f>
        <v>0</v>
      </c>
      <c r="G201" s="9">
        <f t="shared" ref="G201" si="425">SUM(G191:G200)</f>
        <v>0</v>
      </c>
      <c r="H201" s="9">
        <f t="shared" ref="H201" si="426">SUM(H191:H200)</f>
        <v>0</v>
      </c>
      <c r="I201" s="86">
        <f t="shared" ref="I201" si="427">SUM(I191:I200)</f>
        <v>0</v>
      </c>
      <c r="J201" s="86">
        <f t="shared" ref="J201" si="428">SUM(J191:J200)</f>
        <v>0</v>
      </c>
      <c r="K201" s="86">
        <f t="shared" ref="K201" si="429">SUM(K191:K200)</f>
        <v>0</v>
      </c>
      <c r="L201" s="86">
        <f t="shared" ref="L201" si="430">SUM(L191:L200)</f>
        <v>0</v>
      </c>
      <c r="M201" s="18">
        <f t="shared" ref="M201" si="431">SUM(M191:M200)</f>
        <v>0</v>
      </c>
      <c r="N201" s="86">
        <f t="shared" ref="N201" si="432">SUM(N191:N200)</f>
        <v>0</v>
      </c>
      <c r="O201" s="86">
        <f t="shared" ref="O201" si="433">SUM(O191:O200)</f>
        <v>0</v>
      </c>
      <c r="P201" s="86">
        <f t="shared" ref="P201" si="434">SUM(P191:P200)</f>
        <v>0</v>
      </c>
      <c r="Q201" s="86">
        <f t="shared" ref="Q201" si="435">SUM(Q191:Q200)</f>
        <v>0</v>
      </c>
      <c r="R201" s="19">
        <f t="shared" ref="R201" si="436">SUM(R191:R200)</f>
        <v>0</v>
      </c>
      <c r="S201" s="20">
        <f t="shared" ref="S201" si="437">SUM(S191:S200)</f>
        <v>0</v>
      </c>
      <c r="T201" s="20">
        <f t="shared" ref="T201" si="438">SUM(T191:T200)</f>
        <v>0</v>
      </c>
      <c r="U201" s="20">
        <f t="shared" ref="U201" si="439">SUM(U191:U200)</f>
        <v>0</v>
      </c>
    </row>
    <row r="202" spans="2:36" ht="15.75" hidden="1" outlineLevel="1" thickTop="1" x14ac:dyDescent="0.25"/>
    <row r="203" spans="2:36" hidden="1" outlineLevel="1" x14ac:dyDescent="0.25"/>
    <row r="204" spans="2:36" hidden="1" outlineLevel="1" x14ac:dyDescent="0.25"/>
    <row r="205" spans="2:36" hidden="1" outlineLevel="1" x14ac:dyDescent="0.25">
      <c r="E205" s="4" t="s">
        <v>128</v>
      </c>
      <c r="W205" s="4" t="str">
        <f>E205</f>
        <v>Accounts Payable (Trade Accts Payable + Current Notes Payable + Intercompany Payables)</v>
      </c>
    </row>
    <row r="206" spans="2:36" hidden="1" outlineLevel="1" x14ac:dyDescent="0.25">
      <c r="E206" s="6" t="s">
        <v>25</v>
      </c>
      <c r="W206" s="61" t="s">
        <v>62</v>
      </c>
    </row>
    <row r="207" spans="2:36" hidden="1" outlineLevel="1" x14ac:dyDescent="0.25"/>
    <row r="208" spans="2:36" hidden="1" outlineLevel="1" x14ac:dyDescent="0.25">
      <c r="F208" s="12">
        <f>Inputs!$C$7</f>
        <v>2023</v>
      </c>
      <c r="G208" s="12">
        <f>Inputs!$C$8</f>
        <v>2024</v>
      </c>
      <c r="H208" s="12">
        <f>Inputs!$C$9</f>
        <v>2025</v>
      </c>
      <c r="I208" s="13" t="s">
        <v>1</v>
      </c>
      <c r="J208" s="13" t="s">
        <v>2</v>
      </c>
      <c r="K208" s="13" t="s">
        <v>3</v>
      </c>
      <c r="L208" s="13" t="s">
        <v>4</v>
      </c>
      <c r="M208" s="13">
        <f>Inputs!$C$10</f>
        <v>2026</v>
      </c>
      <c r="N208" s="14" t="s">
        <v>1</v>
      </c>
      <c r="O208" s="14" t="s">
        <v>2</v>
      </c>
      <c r="P208" s="14" t="s">
        <v>3</v>
      </c>
      <c r="Q208" s="14" t="s">
        <v>4</v>
      </c>
      <c r="R208" s="15">
        <f>Inputs!$C$11</f>
        <v>2027</v>
      </c>
      <c r="S208" s="16">
        <f>Inputs!$C$12</f>
        <v>2028</v>
      </c>
      <c r="T208" s="16">
        <f>Inputs!$C$13</f>
        <v>2029</v>
      </c>
      <c r="U208" s="16">
        <f>Inputs!$C$14</f>
        <v>2030</v>
      </c>
      <c r="X208" s="13" t="s">
        <v>1</v>
      </c>
      <c r="Y208" s="13" t="s">
        <v>2</v>
      </c>
      <c r="Z208" s="13" t="s">
        <v>3</v>
      </c>
      <c r="AA208" s="13" t="s">
        <v>4</v>
      </c>
      <c r="AB208" s="13">
        <f>Inputs!$C$10</f>
        <v>2026</v>
      </c>
      <c r="AC208" s="14" t="s">
        <v>1</v>
      </c>
      <c r="AD208" s="14" t="s">
        <v>2</v>
      </c>
      <c r="AE208" s="14" t="s">
        <v>3</v>
      </c>
      <c r="AF208" s="14" t="s">
        <v>4</v>
      </c>
      <c r="AG208" s="15">
        <f>Inputs!$C$11</f>
        <v>2027</v>
      </c>
      <c r="AH208" s="16">
        <f>Inputs!$C$12</f>
        <v>2028</v>
      </c>
      <c r="AI208" s="16">
        <f>Inputs!$C$13</f>
        <v>2029</v>
      </c>
      <c r="AJ208" s="16">
        <f>Inputs!$C$14</f>
        <v>2030</v>
      </c>
    </row>
    <row r="209" spans="2:36" hidden="1" outlineLevel="1" x14ac:dyDescent="0.25">
      <c r="F209" s="71" t="s">
        <v>63</v>
      </c>
      <c r="G209" s="71" t="s">
        <v>63</v>
      </c>
      <c r="H209" s="71" t="s">
        <v>63</v>
      </c>
      <c r="I209" s="71" t="s">
        <v>63</v>
      </c>
      <c r="J209" s="71" t="s">
        <v>63</v>
      </c>
      <c r="K209" s="71" t="s">
        <v>63</v>
      </c>
      <c r="L209" s="71" t="s">
        <v>63</v>
      </c>
      <c r="M209" s="71" t="s">
        <v>63</v>
      </c>
      <c r="N209" s="71" t="s">
        <v>63</v>
      </c>
      <c r="O209" s="71" t="s">
        <v>63</v>
      </c>
      <c r="P209" s="71" t="s">
        <v>63</v>
      </c>
      <c r="Q209" s="71" t="s">
        <v>63</v>
      </c>
      <c r="R209" s="71" t="s">
        <v>63</v>
      </c>
      <c r="S209" s="71" t="s">
        <v>63</v>
      </c>
      <c r="T209" s="71" t="s">
        <v>63</v>
      </c>
      <c r="U209" s="71" t="s">
        <v>63</v>
      </c>
      <c r="X209" s="63" t="s">
        <v>30</v>
      </c>
      <c r="Y209" s="63" t="s">
        <v>30</v>
      </c>
      <c r="Z209" s="63" t="s">
        <v>30</v>
      </c>
      <c r="AA209" s="63" t="s">
        <v>30</v>
      </c>
      <c r="AB209" s="62"/>
      <c r="AC209" s="63" t="s">
        <v>30</v>
      </c>
      <c r="AD209" s="63" t="s">
        <v>30</v>
      </c>
      <c r="AE209" s="63" t="s">
        <v>30</v>
      </c>
      <c r="AF209" s="63" t="s">
        <v>30</v>
      </c>
      <c r="AG209" s="62"/>
      <c r="AH209" s="63" t="s">
        <v>30</v>
      </c>
      <c r="AI209" s="63" t="s">
        <v>30</v>
      </c>
      <c r="AJ209" s="63" t="s">
        <v>30</v>
      </c>
    </row>
    <row r="210" spans="2:36" hidden="1" outlineLevel="1" x14ac:dyDescent="0.25">
      <c r="B210" s="229" t="s">
        <v>195</v>
      </c>
      <c r="E210" s="78" t="s">
        <v>43</v>
      </c>
      <c r="F210" s="21">
        <f>F450</f>
        <v>0</v>
      </c>
      <c r="G210" s="21">
        <f t="shared" ref="G210:H210" si="440">G450</f>
        <v>0</v>
      </c>
      <c r="H210" s="21">
        <f t="shared" si="440"/>
        <v>0</v>
      </c>
      <c r="I210" s="85">
        <f>IF(X210="",I450,X210)</f>
        <v>0</v>
      </c>
      <c r="J210" s="85">
        <f t="shared" ref="J210:J219" si="441">IF(Y210="",J450,Y210)</f>
        <v>0</v>
      </c>
      <c r="K210" s="85">
        <f t="shared" ref="K210:K219" si="442">IF(Z210="",K450,Z210)</f>
        <v>0</v>
      </c>
      <c r="L210" s="85">
        <f t="shared" ref="L210:L219" si="443">IF(AA210="",L450,AA210)</f>
        <v>0</v>
      </c>
      <c r="M210" s="17">
        <f>L210</f>
        <v>0</v>
      </c>
      <c r="N210" s="85">
        <f t="shared" ref="N210:N219" si="444">IF(AC210="",N450,AC210)</f>
        <v>0</v>
      </c>
      <c r="O210" s="85">
        <f t="shared" ref="O210:O219" si="445">IF(AD210="",O450,AD210)</f>
        <v>0</v>
      </c>
      <c r="P210" s="85">
        <f t="shared" ref="P210:P219" si="446">IF(AE210="",P450,AE210)</f>
        <v>0</v>
      </c>
      <c r="Q210" s="85">
        <f t="shared" ref="Q210:Q219" si="447">IF(AF210="",Q450,AF210)</f>
        <v>0</v>
      </c>
      <c r="R210" s="22">
        <f>Q210</f>
        <v>0</v>
      </c>
      <c r="S210" s="23">
        <f t="shared" ref="S210:S219" si="448">IF(AH210="",S450,AH210)</f>
        <v>0</v>
      </c>
      <c r="T210" s="23">
        <f t="shared" ref="T210:T219" si="449">IF(AI210="",T450,AI210)</f>
        <v>0</v>
      </c>
      <c r="U210" s="23">
        <f t="shared" ref="U210:U219" si="450">IF(AJ210="",U450,AJ210)</f>
        <v>0</v>
      </c>
      <c r="W210" s="78" t="str">
        <f t="shared" ref="W210:W212" si="451">E210</f>
        <v>Trade Accounts Payable</v>
      </c>
      <c r="X210" s="64"/>
      <c r="Y210" s="64"/>
      <c r="Z210" s="64"/>
      <c r="AA210" s="64"/>
      <c r="AB210" s="60"/>
      <c r="AC210" s="64"/>
      <c r="AD210" s="64"/>
      <c r="AE210" s="64"/>
      <c r="AF210" s="64"/>
      <c r="AG210" s="60"/>
      <c r="AH210" s="64"/>
      <c r="AI210" s="64"/>
      <c r="AJ210" s="64"/>
    </row>
    <row r="211" spans="2:36" hidden="1" outlineLevel="1" x14ac:dyDescent="0.25">
      <c r="B211" s="229" t="s">
        <v>195</v>
      </c>
      <c r="E211" s="78" t="s">
        <v>126</v>
      </c>
      <c r="F211" s="21">
        <f t="shared" ref="F211:H211" si="452">F451</f>
        <v>0</v>
      </c>
      <c r="G211" s="21">
        <f t="shared" si="452"/>
        <v>0</v>
      </c>
      <c r="H211" s="21">
        <f t="shared" si="452"/>
        <v>0</v>
      </c>
      <c r="I211" s="85">
        <f t="shared" ref="I211:I219" si="453">IF(X211="",I451,X211)</f>
        <v>0</v>
      </c>
      <c r="J211" s="85">
        <f t="shared" si="441"/>
        <v>0</v>
      </c>
      <c r="K211" s="85">
        <f t="shared" si="442"/>
        <v>0</v>
      </c>
      <c r="L211" s="85">
        <f t="shared" si="443"/>
        <v>0</v>
      </c>
      <c r="M211" s="17">
        <f t="shared" ref="M211:M219" si="454">L211</f>
        <v>0</v>
      </c>
      <c r="N211" s="85">
        <f t="shared" si="444"/>
        <v>0</v>
      </c>
      <c r="O211" s="85">
        <f t="shared" si="445"/>
        <v>0</v>
      </c>
      <c r="P211" s="85">
        <f t="shared" si="446"/>
        <v>0</v>
      </c>
      <c r="Q211" s="85">
        <f t="shared" si="447"/>
        <v>0</v>
      </c>
      <c r="R211" s="22">
        <f t="shared" ref="R211:R219" si="455">Q211</f>
        <v>0</v>
      </c>
      <c r="S211" s="23">
        <f t="shared" si="448"/>
        <v>0</v>
      </c>
      <c r="T211" s="23">
        <f t="shared" si="449"/>
        <v>0</v>
      </c>
      <c r="U211" s="23">
        <f t="shared" si="450"/>
        <v>0</v>
      </c>
      <c r="W211" s="78" t="str">
        <f t="shared" si="451"/>
        <v>Trade Payables Subledger</v>
      </c>
      <c r="X211" s="64"/>
      <c r="Y211" s="64"/>
      <c r="Z211" s="64"/>
      <c r="AA211" s="64"/>
      <c r="AB211" s="60"/>
      <c r="AC211" s="64"/>
      <c r="AD211" s="64"/>
      <c r="AE211" s="64"/>
      <c r="AF211" s="64"/>
      <c r="AG211" s="60"/>
      <c r="AH211" s="64"/>
      <c r="AI211" s="64"/>
      <c r="AJ211" s="64"/>
    </row>
    <row r="212" spans="2:36" hidden="1" outlineLevel="1" x14ac:dyDescent="0.25">
      <c r="B212" s="229" t="s">
        <v>195</v>
      </c>
      <c r="E212" s="78" t="s">
        <v>127</v>
      </c>
      <c r="F212" s="21">
        <f t="shared" ref="F212:H212" si="456">F452</f>
        <v>0</v>
      </c>
      <c r="G212" s="21">
        <f t="shared" si="456"/>
        <v>0</v>
      </c>
      <c r="H212" s="21">
        <f t="shared" si="456"/>
        <v>0</v>
      </c>
      <c r="I212" s="85">
        <f t="shared" si="453"/>
        <v>0</v>
      </c>
      <c r="J212" s="85">
        <f t="shared" si="441"/>
        <v>0</v>
      </c>
      <c r="K212" s="85">
        <f t="shared" si="442"/>
        <v>0</v>
      </c>
      <c r="L212" s="85">
        <f t="shared" si="443"/>
        <v>0</v>
      </c>
      <c r="M212" s="17">
        <f t="shared" si="454"/>
        <v>0</v>
      </c>
      <c r="N212" s="85">
        <f t="shared" si="444"/>
        <v>0</v>
      </c>
      <c r="O212" s="85">
        <f t="shared" si="445"/>
        <v>0</v>
      </c>
      <c r="P212" s="85">
        <f t="shared" si="446"/>
        <v>0</v>
      </c>
      <c r="Q212" s="85">
        <f t="shared" si="447"/>
        <v>0</v>
      </c>
      <c r="R212" s="22">
        <f t="shared" si="455"/>
        <v>0</v>
      </c>
      <c r="S212" s="23">
        <f t="shared" si="448"/>
        <v>0</v>
      </c>
      <c r="T212" s="23">
        <f t="shared" si="449"/>
        <v>0</v>
      </c>
      <c r="U212" s="23">
        <f t="shared" si="450"/>
        <v>0</v>
      </c>
      <c r="W212" s="78" t="str">
        <f t="shared" si="451"/>
        <v>Trade Payables GRNI</v>
      </c>
      <c r="X212" s="64"/>
      <c r="Y212" s="64"/>
      <c r="Z212" s="64"/>
      <c r="AA212" s="64"/>
      <c r="AB212" s="60"/>
      <c r="AC212" s="64"/>
      <c r="AD212" s="64"/>
      <c r="AE212" s="64"/>
      <c r="AF212" s="64"/>
      <c r="AG212" s="60"/>
      <c r="AH212" s="64"/>
      <c r="AI212" s="64"/>
      <c r="AJ212" s="64"/>
    </row>
    <row r="213" spans="2:36" hidden="1" outlineLevel="1" x14ac:dyDescent="0.25">
      <c r="B213" s="229" t="s">
        <v>195</v>
      </c>
      <c r="E213" s="78" t="s">
        <v>44</v>
      </c>
      <c r="F213" s="21">
        <f t="shared" ref="F213:H213" si="457">F453</f>
        <v>0</v>
      </c>
      <c r="G213" s="21">
        <f t="shared" si="457"/>
        <v>0</v>
      </c>
      <c r="H213" s="21">
        <f t="shared" si="457"/>
        <v>0</v>
      </c>
      <c r="I213" s="85">
        <f t="shared" si="453"/>
        <v>0</v>
      </c>
      <c r="J213" s="85">
        <f t="shared" si="441"/>
        <v>0</v>
      </c>
      <c r="K213" s="85">
        <f t="shared" si="442"/>
        <v>0</v>
      </c>
      <c r="L213" s="85">
        <f t="shared" si="443"/>
        <v>0</v>
      </c>
      <c r="M213" s="17">
        <f t="shared" si="454"/>
        <v>0</v>
      </c>
      <c r="N213" s="85">
        <f t="shared" si="444"/>
        <v>0</v>
      </c>
      <c r="O213" s="85">
        <f t="shared" si="445"/>
        <v>0</v>
      </c>
      <c r="P213" s="85">
        <f t="shared" si="446"/>
        <v>0</v>
      </c>
      <c r="Q213" s="85">
        <f t="shared" si="447"/>
        <v>0</v>
      </c>
      <c r="R213" s="22">
        <f t="shared" si="455"/>
        <v>0</v>
      </c>
      <c r="S213" s="23">
        <f t="shared" si="448"/>
        <v>0</v>
      </c>
      <c r="T213" s="23">
        <f t="shared" si="449"/>
        <v>0</v>
      </c>
      <c r="U213" s="23">
        <f t="shared" si="450"/>
        <v>0</v>
      </c>
      <c r="W213" s="78" t="str">
        <f>E213</f>
        <v>Intercompany Payables</v>
      </c>
      <c r="X213" s="64"/>
      <c r="Y213" s="64"/>
      <c r="Z213" s="64"/>
      <c r="AA213" s="64"/>
      <c r="AB213" s="60"/>
      <c r="AC213" s="64"/>
      <c r="AD213" s="64"/>
      <c r="AE213" s="64"/>
      <c r="AF213" s="64"/>
      <c r="AG213" s="60"/>
      <c r="AH213" s="64"/>
      <c r="AI213" s="64"/>
      <c r="AJ213" s="64"/>
    </row>
    <row r="214" spans="2:36" hidden="1" outlineLevel="1" x14ac:dyDescent="0.25">
      <c r="B214" s="229" t="s">
        <v>195</v>
      </c>
      <c r="E214" s="78" t="s">
        <v>77</v>
      </c>
      <c r="F214" s="21">
        <f t="shared" ref="F214:H214" si="458">F454</f>
        <v>0</v>
      </c>
      <c r="G214" s="21">
        <f t="shared" si="458"/>
        <v>0</v>
      </c>
      <c r="H214" s="21">
        <f t="shared" si="458"/>
        <v>0</v>
      </c>
      <c r="I214" s="85">
        <f t="shared" si="453"/>
        <v>0</v>
      </c>
      <c r="J214" s="85">
        <f t="shared" si="441"/>
        <v>0</v>
      </c>
      <c r="K214" s="85">
        <f t="shared" si="442"/>
        <v>0</v>
      </c>
      <c r="L214" s="85">
        <f t="shared" si="443"/>
        <v>0</v>
      </c>
      <c r="M214" s="17">
        <f t="shared" si="454"/>
        <v>0</v>
      </c>
      <c r="N214" s="85">
        <f t="shared" si="444"/>
        <v>0</v>
      </c>
      <c r="O214" s="85">
        <f t="shared" si="445"/>
        <v>0</v>
      </c>
      <c r="P214" s="85">
        <f t="shared" si="446"/>
        <v>0</v>
      </c>
      <c r="Q214" s="85">
        <f t="shared" si="447"/>
        <v>0</v>
      </c>
      <c r="R214" s="22">
        <f t="shared" si="455"/>
        <v>0</v>
      </c>
      <c r="S214" s="23">
        <f t="shared" si="448"/>
        <v>0</v>
      </c>
      <c r="T214" s="23">
        <f t="shared" si="449"/>
        <v>0</v>
      </c>
      <c r="U214" s="23">
        <f t="shared" si="450"/>
        <v>0</v>
      </c>
      <c r="W214" s="78" t="str">
        <f t="shared" ref="W214:W219" si="459">E214</f>
        <v>blank</v>
      </c>
      <c r="X214" s="64"/>
      <c r="Y214" s="64"/>
      <c r="Z214" s="64"/>
      <c r="AA214" s="64"/>
      <c r="AB214" s="60"/>
      <c r="AC214" s="64"/>
      <c r="AD214" s="64"/>
      <c r="AE214" s="64"/>
      <c r="AF214" s="64"/>
      <c r="AG214" s="60"/>
      <c r="AH214" s="64"/>
      <c r="AI214" s="64"/>
      <c r="AJ214" s="64"/>
    </row>
    <row r="215" spans="2:36" hidden="1" outlineLevel="1" x14ac:dyDescent="0.25">
      <c r="B215" s="229" t="s">
        <v>195</v>
      </c>
      <c r="E215" s="78" t="s">
        <v>77</v>
      </c>
      <c r="F215" s="21">
        <f t="shared" ref="F215:H215" si="460">F455</f>
        <v>0</v>
      </c>
      <c r="G215" s="21">
        <f t="shared" si="460"/>
        <v>0</v>
      </c>
      <c r="H215" s="21">
        <f t="shared" si="460"/>
        <v>0</v>
      </c>
      <c r="I215" s="85">
        <f t="shared" si="453"/>
        <v>0</v>
      </c>
      <c r="J215" s="85">
        <f t="shared" si="441"/>
        <v>0</v>
      </c>
      <c r="K215" s="85">
        <f t="shared" si="442"/>
        <v>0</v>
      </c>
      <c r="L215" s="85">
        <f t="shared" si="443"/>
        <v>0</v>
      </c>
      <c r="M215" s="17">
        <f t="shared" si="454"/>
        <v>0</v>
      </c>
      <c r="N215" s="85">
        <f t="shared" si="444"/>
        <v>0</v>
      </c>
      <c r="O215" s="85">
        <f t="shared" si="445"/>
        <v>0</v>
      </c>
      <c r="P215" s="85">
        <f t="shared" si="446"/>
        <v>0</v>
      </c>
      <c r="Q215" s="85">
        <f t="shared" si="447"/>
        <v>0</v>
      </c>
      <c r="R215" s="22">
        <f t="shared" si="455"/>
        <v>0</v>
      </c>
      <c r="S215" s="23">
        <f t="shared" si="448"/>
        <v>0</v>
      </c>
      <c r="T215" s="23">
        <f t="shared" si="449"/>
        <v>0</v>
      </c>
      <c r="U215" s="23">
        <f t="shared" si="450"/>
        <v>0</v>
      </c>
      <c r="W215" s="78" t="str">
        <f t="shared" si="459"/>
        <v>blank</v>
      </c>
      <c r="X215" s="64"/>
      <c r="Y215" s="64"/>
      <c r="Z215" s="64"/>
      <c r="AA215" s="64"/>
      <c r="AB215" s="60"/>
      <c r="AC215" s="64"/>
      <c r="AD215" s="64"/>
      <c r="AE215" s="64"/>
      <c r="AF215" s="64"/>
      <c r="AG215" s="60"/>
      <c r="AH215" s="64"/>
      <c r="AI215" s="64"/>
      <c r="AJ215" s="64"/>
    </row>
    <row r="216" spans="2:36" hidden="1" outlineLevel="1" x14ac:dyDescent="0.25">
      <c r="B216" s="229" t="s">
        <v>195</v>
      </c>
      <c r="E216" s="78" t="s">
        <v>77</v>
      </c>
      <c r="F216" s="21">
        <f t="shared" ref="F216:H216" si="461">F456</f>
        <v>0</v>
      </c>
      <c r="G216" s="21">
        <f t="shared" si="461"/>
        <v>0</v>
      </c>
      <c r="H216" s="21">
        <f t="shared" si="461"/>
        <v>0</v>
      </c>
      <c r="I216" s="85">
        <f t="shared" si="453"/>
        <v>0</v>
      </c>
      <c r="J216" s="85">
        <f t="shared" si="441"/>
        <v>0</v>
      </c>
      <c r="K216" s="85">
        <f t="shared" si="442"/>
        <v>0</v>
      </c>
      <c r="L216" s="85">
        <f t="shared" si="443"/>
        <v>0</v>
      </c>
      <c r="M216" s="17">
        <f t="shared" si="454"/>
        <v>0</v>
      </c>
      <c r="N216" s="85">
        <f t="shared" si="444"/>
        <v>0</v>
      </c>
      <c r="O216" s="85">
        <f t="shared" si="445"/>
        <v>0</v>
      </c>
      <c r="P216" s="85">
        <f t="shared" si="446"/>
        <v>0</v>
      </c>
      <c r="Q216" s="85">
        <f t="shared" si="447"/>
        <v>0</v>
      </c>
      <c r="R216" s="22">
        <f t="shared" si="455"/>
        <v>0</v>
      </c>
      <c r="S216" s="23">
        <f t="shared" si="448"/>
        <v>0</v>
      </c>
      <c r="T216" s="23">
        <f t="shared" si="449"/>
        <v>0</v>
      </c>
      <c r="U216" s="23">
        <f t="shared" si="450"/>
        <v>0</v>
      </c>
      <c r="W216" s="78" t="str">
        <f t="shared" si="459"/>
        <v>blank</v>
      </c>
      <c r="X216" s="64"/>
      <c r="Y216" s="64"/>
      <c r="Z216" s="64"/>
      <c r="AA216" s="64"/>
      <c r="AB216" s="60"/>
      <c r="AC216" s="64"/>
      <c r="AD216" s="64"/>
      <c r="AE216" s="64"/>
      <c r="AF216" s="64"/>
      <c r="AG216" s="60"/>
      <c r="AH216" s="64"/>
      <c r="AI216" s="64"/>
      <c r="AJ216" s="64"/>
    </row>
    <row r="217" spans="2:36" hidden="1" outlineLevel="1" x14ac:dyDescent="0.25">
      <c r="B217" s="229" t="s">
        <v>195</v>
      </c>
      <c r="E217" s="78" t="s">
        <v>77</v>
      </c>
      <c r="F217" s="21">
        <f t="shared" ref="F217:H217" si="462">F457</f>
        <v>0</v>
      </c>
      <c r="G217" s="21">
        <f t="shared" si="462"/>
        <v>0</v>
      </c>
      <c r="H217" s="21">
        <f t="shared" si="462"/>
        <v>0</v>
      </c>
      <c r="I217" s="85">
        <f t="shared" si="453"/>
        <v>0</v>
      </c>
      <c r="J217" s="85">
        <f t="shared" si="441"/>
        <v>0</v>
      </c>
      <c r="K217" s="85">
        <f t="shared" si="442"/>
        <v>0</v>
      </c>
      <c r="L217" s="85">
        <f t="shared" si="443"/>
        <v>0</v>
      </c>
      <c r="M217" s="17">
        <f t="shared" si="454"/>
        <v>0</v>
      </c>
      <c r="N217" s="85">
        <f t="shared" si="444"/>
        <v>0</v>
      </c>
      <c r="O217" s="85">
        <f t="shared" si="445"/>
        <v>0</v>
      </c>
      <c r="P217" s="85">
        <f t="shared" si="446"/>
        <v>0</v>
      </c>
      <c r="Q217" s="85">
        <f t="shared" si="447"/>
        <v>0</v>
      </c>
      <c r="R217" s="22">
        <f t="shared" si="455"/>
        <v>0</v>
      </c>
      <c r="S217" s="23">
        <f t="shared" si="448"/>
        <v>0</v>
      </c>
      <c r="T217" s="23">
        <f t="shared" si="449"/>
        <v>0</v>
      </c>
      <c r="U217" s="23">
        <f t="shared" si="450"/>
        <v>0</v>
      </c>
      <c r="W217" s="78" t="str">
        <f t="shared" si="459"/>
        <v>blank</v>
      </c>
      <c r="X217" s="64"/>
      <c r="Y217" s="64"/>
      <c r="Z217" s="64"/>
      <c r="AA217" s="64"/>
      <c r="AB217" s="60"/>
      <c r="AC217" s="64"/>
      <c r="AD217" s="64"/>
      <c r="AE217" s="64"/>
      <c r="AF217" s="64"/>
      <c r="AG217" s="60"/>
      <c r="AH217" s="64"/>
      <c r="AI217" s="64"/>
      <c r="AJ217" s="64"/>
    </row>
    <row r="218" spans="2:36" hidden="1" outlineLevel="1" x14ac:dyDescent="0.25">
      <c r="B218" s="229" t="s">
        <v>195</v>
      </c>
      <c r="E218" s="78" t="s">
        <v>77</v>
      </c>
      <c r="F218" s="21">
        <f t="shared" ref="F218:H218" si="463">F458</f>
        <v>0</v>
      </c>
      <c r="G218" s="21">
        <f t="shared" si="463"/>
        <v>0</v>
      </c>
      <c r="H218" s="21">
        <f t="shared" si="463"/>
        <v>0</v>
      </c>
      <c r="I218" s="85">
        <f t="shared" si="453"/>
        <v>0</v>
      </c>
      <c r="J218" s="85">
        <f t="shared" si="441"/>
        <v>0</v>
      </c>
      <c r="K218" s="85">
        <f t="shared" si="442"/>
        <v>0</v>
      </c>
      <c r="L218" s="85">
        <f t="shared" si="443"/>
        <v>0</v>
      </c>
      <c r="M218" s="17">
        <f t="shared" si="454"/>
        <v>0</v>
      </c>
      <c r="N218" s="85">
        <f t="shared" si="444"/>
        <v>0</v>
      </c>
      <c r="O218" s="85">
        <f t="shared" si="445"/>
        <v>0</v>
      </c>
      <c r="P218" s="85">
        <f t="shared" si="446"/>
        <v>0</v>
      </c>
      <c r="Q218" s="85">
        <f t="shared" si="447"/>
        <v>0</v>
      </c>
      <c r="R218" s="22">
        <f t="shared" si="455"/>
        <v>0</v>
      </c>
      <c r="S218" s="23">
        <f t="shared" si="448"/>
        <v>0</v>
      </c>
      <c r="T218" s="23">
        <f t="shared" si="449"/>
        <v>0</v>
      </c>
      <c r="U218" s="23">
        <f t="shared" si="450"/>
        <v>0</v>
      </c>
      <c r="W218" s="78" t="str">
        <f t="shared" si="459"/>
        <v>blank</v>
      </c>
      <c r="X218" s="64"/>
      <c r="Y218" s="64"/>
      <c r="Z218" s="64"/>
      <c r="AA218" s="64"/>
      <c r="AB218" s="60"/>
      <c r="AC218" s="64"/>
      <c r="AD218" s="64"/>
      <c r="AE218" s="64"/>
      <c r="AF218" s="64"/>
      <c r="AG218" s="60"/>
      <c r="AH218" s="64"/>
      <c r="AI218" s="64"/>
      <c r="AJ218" s="64"/>
    </row>
    <row r="219" spans="2:36" hidden="1" outlineLevel="1" x14ac:dyDescent="0.25">
      <c r="B219" s="229" t="s">
        <v>195</v>
      </c>
      <c r="E219" s="78" t="s">
        <v>77</v>
      </c>
      <c r="F219" s="21">
        <f t="shared" ref="F219:H219" si="464">F459</f>
        <v>0</v>
      </c>
      <c r="G219" s="21">
        <f t="shared" si="464"/>
        <v>0</v>
      </c>
      <c r="H219" s="21">
        <f t="shared" si="464"/>
        <v>0</v>
      </c>
      <c r="I219" s="85">
        <f t="shared" si="453"/>
        <v>0</v>
      </c>
      <c r="J219" s="85">
        <f t="shared" si="441"/>
        <v>0</v>
      </c>
      <c r="K219" s="85">
        <f t="shared" si="442"/>
        <v>0</v>
      </c>
      <c r="L219" s="85">
        <f t="shared" si="443"/>
        <v>0</v>
      </c>
      <c r="M219" s="17">
        <f t="shared" si="454"/>
        <v>0</v>
      </c>
      <c r="N219" s="85">
        <f t="shared" si="444"/>
        <v>0</v>
      </c>
      <c r="O219" s="85">
        <f t="shared" si="445"/>
        <v>0</v>
      </c>
      <c r="P219" s="85">
        <f t="shared" si="446"/>
        <v>0</v>
      </c>
      <c r="Q219" s="85">
        <f t="shared" si="447"/>
        <v>0</v>
      </c>
      <c r="R219" s="22">
        <f t="shared" si="455"/>
        <v>0</v>
      </c>
      <c r="S219" s="23">
        <f t="shared" si="448"/>
        <v>0</v>
      </c>
      <c r="T219" s="23">
        <f t="shared" si="449"/>
        <v>0</v>
      </c>
      <c r="U219" s="23">
        <f t="shared" si="450"/>
        <v>0</v>
      </c>
      <c r="W219" s="78" t="str">
        <f t="shared" si="459"/>
        <v>blank</v>
      </c>
      <c r="X219" s="64"/>
      <c r="Y219" s="64"/>
      <c r="Z219" s="64"/>
      <c r="AA219" s="64"/>
      <c r="AB219" s="60"/>
      <c r="AC219" s="64"/>
      <c r="AD219" s="64"/>
      <c r="AE219" s="64"/>
      <c r="AF219" s="64"/>
      <c r="AG219" s="60"/>
      <c r="AH219" s="64"/>
      <c r="AI219" s="64"/>
      <c r="AJ219" s="64"/>
    </row>
    <row r="220" spans="2:36" ht="15.75" hidden="1" outlineLevel="1" thickBot="1" x14ac:dyDescent="0.3">
      <c r="E220" s="8" t="s">
        <v>131</v>
      </c>
      <c r="F220" s="9">
        <f>SUM(F210:F219)</f>
        <v>0</v>
      </c>
      <c r="G220" s="9">
        <f t="shared" ref="G220" si="465">SUM(G210:G219)</f>
        <v>0</v>
      </c>
      <c r="H220" s="9">
        <f t="shared" ref="H220" si="466">SUM(H210:H219)</f>
        <v>0</v>
      </c>
      <c r="I220" s="86">
        <f t="shared" ref="I220" si="467">SUM(I210:I219)</f>
        <v>0</v>
      </c>
      <c r="J220" s="86">
        <f t="shared" ref="J220" si="468">SUM(J210:J219)</f>
        <v>0</v>
      </c>
      <c r="K220" s="86">
        <f t="shared" ref="K220" si="469">SUM(K210:K219)</f>
        <v>0</v>
      </c>
      <c r="L220" s="86">
        <f t="shared" ref="L220" si="470">SUM(L210:L219)</f>
        <v>0</v>
      </c>
      <c r="M220" s="18">
        <f t="shared" ref="M220" si="471">SUM(M210:M219)</f>
        <v>0</v>
      </c>
      <c r="N220" s="86">
        <f t="shared" ref="N220" si="472">SUM(N210:N219)</f>
        <v>0</v>
      </c>
      <c r="O220" s="86">
        <f t="shared" ref="O220" si="473">SUM(O210:O219)</f>
        <v>0</v>
      </c>
      <c r="P220" s="86">
        <f t="shared" ref="P220" si="474">SUM(P210:P219)</f>
        <v>0</v>
      </c>
      <c r="Q220" s="86">
        <f t="shared" ref="Q220" si="475">SUM(Q210:Q219)</f>
        <v>0</v>
      </c>
      <c r="R220" s="19">
        <f t="shared" ref="R220" si="476">SUM(R210:R219)</f>
        <v>0</v>
      </c>
      <c r="S220" s="20">
        <f t="shared" ref="S220" si="477">SUM(S210:S219)</f>
        <v>0</v>
      </c>
      <c r="T220" s="20">
        <f t="shared" ref="T220" si="478">SUM(T210:T219)</f>
        <v>0</v>
      </c>
      <c r="U220" s="20">
        <f t="shared" ref="U220" si="479">SUM(U210:U219)</f>
        <v>0</v>
      </c>
    </row>
    <row r="221" spans="2:36" ht="15.75" hidden="1" outlineLevel="1" thickTop="1" x14ac:dyDescent="0.25"/>
    <row r="222" spans="2:36" hidden="1" outlineLevel="1" x14ac:dyDescent="0.25"/>
    <row r="223" spans="2:36" hidden="1" outlineLevel="1" x14ac:dyDescent="0.25"/>
    <row r="224" spans="2:36" hidden="1" outlineLevel="1" x14ac:dyDescent="0.25">
      <c r="E224" s="4" t="s">
        <v>109</v>
      </c>
      <c r="W224" s="4" t="str">
        <f>E224</f>
        <v>Short Term Deferred Revenue</v>
      </c>
    </row>
    <row r="225" spans="2:36" hidden="1" outlineLevel="1" x14ac:dyDescent="0.25">
      <c r="E225" s="6" t="s">
        <v>25</v>
      </c>
      <c r="W225" s="61" t="s">
        <v>62</v>
      </c>
    </row>
    <row r="226" spans="2:36" hidden="1" outlineLevel="1" x14ac:dyDescent="0.25"/>
    <row r="227" spans="2:36" hidden="1" outlineLevel="1" x14ac:dyDescent="0.25">
      <c r="F227" s="12">
        <f>Inputs!$C$7</f>
        <v>2023</v>
      </c>
      <c r="G227" s="12">
        <f>Inputs!$C$8</f>
        <v>2024</v>
      </c>
      <c r="H227" s="12">
        <f>Inputs!$C$9</f>
        <v>2025</v>
      </c>
      <c r="I227" s="13" t="s">
        <v>1</v>
      </c>
      <c r="J227" s="13" t="s">
        <v>2</v>
      </c>
      <c r="K227" s="13" t="s">
        <v>3</v>
      </c>
      <c r="L227" s="13" t="s">
        <v>4</v>
      </c>
      <c r="M227" s="13">
        <f>Inputs!$C$10</f>
        <v>2026</v>
      </c>
      <c r="N227" s="14" t="s">
        <v>1</v>
      </c>
      <c r="O227" s="14" t="s">
        <v>2</v>
      </c>
      <c r="P227" s="14" t="s">
        <v>3</v>
      </c>
      <c r="Q227" s="14" t="s">
        <v>4</v>
      </c>
      <c r="R227" s="15">
        <f>Inputs!$C$11</f>
        <v>2027</v>
      </c>
      <c r="S227" s="16">
        <f>Inputs!$C$12</f>
        <v>2028</v>
      </c>
      <c r="T227" s="16">
        <f>Inputs!$C$13</f>
        <v>2029</v>
      </c>
      <c r="U227" s="16">
        <f>Inputs!$C$14</f>
        <v>2030</v>
      </c>
      <c r="X227" s="13" t="s">
        <v>1</v>
      </c>
      <c r="Y227" s="13" t="s">
        <v>2</v>
      </c>
      <c r="Z227" s="13" t="s">
        <v>3</v>
      </c>
      <c r="AA227" s="13" t="s">
        <v>4</v>
      </c>
      <c r="AB227" s="13">
        <f>Inputs!$C$10</f>
        <v>2026</v>
      </c>
      <c r="AC227" s="14" t="s">
        <v>1</v>
      </c>
      <c r="AD227" s="14" t="s">
        <v>2</v>
      </c>
      <c r="AE227" s="14" t="s">
        <v>3</v>
      </c>
      <c r="AF227" s="14" t="s">
        <v>4</v>
      </c>
      <c r="AG227" s="15">
        <f>Inputs!$C$11</f>
        <v>2027</v>
      </c>
      <c r="AH227" s="16">
        <f>Inputs!$C$12</f>
        <v>2028</v>
      </c>
      <c r="AI227" s="16">
        <f>Inputs!$C$13</f>
        <v>2029</v>
      </c>
      <c r="AJ227" s="16">
        <f>Inputs!$C$14</f>
        <v>2030</v>
      </c>
    </row>
    <row r="228" spans="2:36" hidden="1" outlineLevel="1" x14ac:dyDescent="0.25">
      <c r="F228" s="71" t="s">
        <v>63</v>
      </c>
      <c r="G228" s="71" t="s">
        <v>63</v>
      </c>
      <c r="H228" s="71" t="s">
        <v>63</v>
      </c>
      <c r="I228" s="71" t="s">
        <v>63</v>
      </c>
      <c r="J228" s="71" t="s">
        <v>63</v>
      </c>
      <c r="K228" s="71" t="s">
        <v>63</v>
      </c>
      <c r="L228" s="71" t="s">
        <v>63</v>
      </c>
      <c r="M228" s="71" t="s">
        <v>63</v>
      </c>
      <c r="N228" s="71" t="s">
        <v>63</v>
      </c>
      <c r="O228" s="71" t="s">
        <v>63</v>
      </c>
      <c r="P228" s="71" t="s">
        <v>63</v>
      </c>
      <c r="Q228" s="71" t="s">
        <v>63</v>
      </c>
      <c r="R228" s="71" t="s">
        <v>63</v>
      </c>
      <c r="S228" s="71" t="s">
        <v>63</v>
      </c>
      <c r="T228" s="71" t="s">
        <v>63</v>
      </c>
      <c r="U228" s="71" t="s">
        <v>63</v>
      </c>
      <c r="X228" s="63" t="s">
        <v>30</v>
      </c>
      <c r="Y228" s="63" t="s">
        <v>30</v>
      </c>
      <c r="Z228" s="63" t="s">
        <v>30</v>
      </c>
      <c r="AA228" s="63" t="s">
        <v>30</v>
      </c>
      <c r="AB228" s="62"/>
      <c r="AC228" s="63" t="s">
        <v>30</v>
      </c>
      <c r="AD228" s="63" t="s">
        <v>30</v>
      </c>
      <c r="AE228" s="63" t="s">
        <v>30</v>
      </c>
      <c r="AF228" s="63" t="s">
        <v>30</v>
      </c>
      <c r="AG228" s="62"/>
      <c r="AH228" s="63" t="s">
        <v>30</v>
      </c>
      <c r="AI228" s="63" t="s">
        <v>30</v>
      </c>
      <c r="AJ228" s="63" t="s">
        <v>30</v>
      </c>
    </row>
    <row r="229" spans="2:36" hidden="1" outlineLevel="1" x14ac:dyDescent="0.25">
      <c r="B229" s="229" t="s">
        <v>195</v>
      </c>
      <c r="E229" s="78" t="s">
        <v>129</v>
      </c>
      <c r="F229" s="21">
        <f>F469</f>
        <v>0</v>
      </c>
      <c r="G229" s="21">
        <f t="shared" ref="G229:H229" si="480">G469</f>
        <v>0</v>
      </c>
      <c r="H229" s="21">
        <f t="shared" si="480"/>
        <v>0</v>
      </c>
      <c r="I229" s="85">
        <f>IF(X229="",I469,X229)</f>
        <v>0</v>
      </c>
      <c r="J229" s="85">
        <f t="shared" ref="J229:J238" si="481">IF(Y229="",J469,Y229)</f>
        <v>0</v>
      </c>
      <c r="K229" s="85">
        <f t="shared" ref="K229:K238" si="482">IF(Z229="",K469,Z229)</f>
        <v>0</v>
      </c>
      <c r="L229" s="85">
        <f t="shared" ref="L229:L238" si="483">IF(AA229="",L469,AA229)</f>
        <v>0</v>
      </c>
      <c r="M229" s="17">
        <f>L229</f>
        <v>0</v>
      </c>
      <c r="N229" s="85">
        <f t="shared" ref="N229:N238" si="484">IF(AC229="",N469,AC229)</f>
        <v>0</v>
      </c>
      <c r="O229" s="85">
        <f t="shared" ref="O229:O238" si="485">IF(AD229="",O469,AD229)</f>
        <v>0</v>
      </c>
      <c r="P229" s="85">
        <f t="shared" ref="P229:P238" si="486">IF(AE229="",P469,AE229)</f>
        <v>0</v>
      </c>
      <c r="Q229" s="85">
        <f t="shared" ref="Q229:Q238" si="487">IF(AF229="",Q469,AF229)</f>
        <v>0</v>
      </c>
      <c r="R229" s="22">
        <f>Q229</f>
        <v>0</v>
      </c>
      <c r="S229" s="23">
        <f t="shared" ref="S229:S238" si="488">IF(AH229="",S469,AH229)</f>
        <v>0</v>
      </c>
      <c r="T229" s="23">
        <f t="shared" ref="T229:T238" si="489">IF(AI229="",T469,AI229)</f>
        <v>0</v>
      </c>
      <c r="U229" s="23">
        <f t="shared" ref="U229:U238" si="490">IF(AJ229="",U469,AJ229)</f>
        <v>0</v>
      </c>
      <c r="W229" s="78" t="str">
        <f>E229</f>
        <v>Unearned Revenue and Customer Deposits</v>
      </c>
      <c r="X229" s="64"/>
      <c r="Y229" s="64"/>
      <c r="Z229" s="64"/>
      <c r="AA229" s="64"/>
      <c r="AB229" s="60"/>
      <c r="AC229" s="64"/>
      <c r="AD229" s="64"/>
      <c r="AE229" s="64"/>
      <c r="AF229" s="64"/>
      <c r="AG229" s="60"/>
      <c r="AH229" s="64"/>
      <c r="AI229" s="64"/>
      <c r="AJ229" s="64"/>
    </row>
    <row r="230" spans="2:36" hidden="1" outlineLevel="1" x14ac:dyDescent="0.25">
      <c r="B230" s="229" t="s">
        <v>195</v>
      </c>
      <c r="E230" s="78" t="s">
        <v>77</v>
      </c>
      <c r="F230" s="21">
        <f t="shared" ref="F230:H230" si="491">F470</f>
        <v>0</v>
      </c>
      <c r="G230" s="21">
        <f t="shared" si="491"/>
        <v>0</v>
      </c>
      <c r="H230" s="21">
        <f t="shared" si="491"/>
        <v>0</v>
      </c>
      <c r="I230" s="85">
        <f t="shared" ref="I230:I238" si="492">IF(X230="",I470,X230)</f>
        <v>0</v>
      </c>
      <c r="J230" s="85">
        <f t="shared" si="481"/>
        <v>0</v>
      </c>
      <c r="K230" s="85">
        <f t="shared" si="482"/>
        <v>0</v>
      </c>
      <c r="L230" s="85">
        <f t="shared" si="483"/>
        <v>0</v>
      </c>
      <c r="M230" s="17">
        <f t="shared" ref="M230:M238" si="493">L230</f>
        <v>0</v>
      </c>
      <c r="N230" s="85">
        <f t="shared" si="484"/>
        <v>0</v>
      </c>
      <c r="O230" s="85">
        <f t="shared" si="485"/>
        <v>0</v>
      </c>
      <c r="P230" s="85">
        <f t="shared" si="486"/>
        <v>0</v>
      </c>
      <c r="Q230" s="85">
        <f t="shared" si="487"/>
        <v>0</v>
      </c>
      <c r="R230" s="22">
        <f t="shared" ref="R230:R238" si="494">Q230</f>
        <v>0</v>
      </c>
      <c r="S230" s="23">
        <f t="shared" si="488"/>
        <v>0</v>
      </c>
      <c r="T230" s="23">
        <f t="shared" si="489"/>
        <v>0</v>
      </c>
      <c r="U230" s="23">
        <f t="shared" si="490"/>
        <v>0</v>
      </c>
      <c r="W230" s="78" t="str">
        <f t="shared" ref="W230:W238" si="495">E230</f>
        <v>blank</v>
      </c>
      <c r="X230" s="64"/>
      <c r="Y230" s="64"/>
      <c r="Z230" s="64"/>
      <c r="AA230" s="64"/>
      <c r="AB230" s="60"/>
      <c r="AC230" s="64"/>
      <c r="AD230" s="64"/>
      <c r="AE230" s="64"/>
      <c r="AF230" s="64"/>
      <c r="AG230" s="60"/>
      <c r="AH230" s="64"/>
      <c r="AI230" s="64"/>
      <c r="AJ230" s="64"/>
    </row>
    <row r="231" spans="2:36" hidden="1" outlineLevel="1" x14ac:dyDescent="0.25">
      <c r="B231" s="229" t="s">
        <v>195</v>
      </c>
      <c r="E231" s="78" t="s">
        <v>77</v>
      </c>
      <c r="F231" s="21">
        <f t="shared" ref="F231:H231" si="496">F471</f>
        <v>0</v>
      </c>
      <c r="G231" s="21">
        <f t="shared" si="496"/>
        <v>0</v>
      </c>
      <c r="H231" s="21">
        <f t="shared" si="496"/>
        <v>0</v>
      </c>
      <c r="I231" s="85">
        <f t="shared" si="492"/>
        <v>0</v>
      </c>
      <c r="J231" s="85">
        <f t="shared" si="481"/>
        <v>0</v>
      </c>
      <c r="K231" s="85">
        <f t="shared" si="482"/>
        <v>0</v>
      </c>
      <c r="L231" s="85">
        <f t="shared" si="483"/>
        <v>0</v>
      </c>
      <c r="M231" s="17">
        <f t="shared" si="493"/>
        <v>0</v>
      </c>
      <c r="N231" s="85">
        <f t="shared" si="484"/>
        <v>0</v>
      </c>
      <c r="O231" s="85">
        <f t="shared" si="485"/>
        <v>0</v>
      </c>
      <c r="P231" s="85">
        <f t="shared" si="486"/>
        <v>0</v>
      </c>
      <c r="Q231" s="85">
        <f t="shared" si="487"/>
        <v>0</v>
      </c>
      <c r="R231" s="22">
        <f t="shared" si="494"/>
        <v>0</v>
      </c>
      <c r="S231" s="23">
        <f t="shared" si="488"/>
        <v>0</v>
      </c>
      <c r="T231" s="23">
        <f t="shared" si="489"/>
        <v>0</v>
      </c>
      <c r="U231" s="23">
        <f t="shared" si="490"/>
        <v>0</v>
      </c>
      <c r="W231" s="78" t="str">
        <f t="shared" si="495"/>
        <v>blank</v>
      </c>
      <c r="X231" s="64"/>
      <c r="Y231" s="64"/>
      <c r="Z231" s="64"/>
      <c r="AA231" s="64"/>
      <c r="AB231" s="60"/>
      <c r="AC231" s="64"/>
      <c r="AD231" s="64"/>
      <c r="AE231" s="64"/>
      <c r="AF231" s="64"/>
      <c r="AG231" s="60"/>
      <c r="AH231" s="64"/>
      <c r="AI231" s="64"/>
      <c r="AJ231" s="64"/>
    </row>
    <row r="232" spans="2:36" hidden="1" outlineLevel="1" x14ac:dyDescent="0.25">
      <c r="B232" s="229" t="s">
        <v>195</v>
      </c>
      <c r="E232" s="78" t="s">
        <v>77</v>
      </c>
      <c r="F232" s="21">
        <f t="shared" ref="F232:H232" si="497">F472</f>
        <v>0</v>
      </c>
      <c r="G232" s="21">
        <f t="shared" si="497"/>
        <v>0</v>
      </c>
      <c r="H232" s="21">
        <f t="shared" si="497"/>
        <v>0</v>
      </c>
      <c r="I232" s="85">
        <f t="shared" si="492"/>
        <v>0</v>
      </c>
      <c r="J232" s="85">
        <f t="shared" si="481"/>
        <v>0</v>
      </c>
      <c r="K232" s="85">
        <f t="shared" si="482"/>
        <v>0</v>
      </c>
      <c r="L232" s="85">
        <f t="shared" si="483"/>
        <v>0</v>
      </c>
      <c r="M232" s="17">
        <f t="shared" si="493"/>
        <v>0</v>
      </c>
      <c r="N232" s="85">
        <f t="shared" si="484"/>
        <v>0</v>
      </c>
      <c r="O232" s="85">
        <f t="shared" si="485"/>
        <v>0</v>
      </c>
      <c r="P232" s="85">
        <f t="shared" si="486"/>
        <v>0</v>
      </c>
      <c r="Q232" s="85">
        <f t="shared" si="487"/>
        <v>0</v>
      </c>
      <c r="R232" s="22">
        <f t="shared" si="494"/>
        <v>0</v>
      </c>
      <c r="S232" s="23">
        <f t="shared" si="488"/>
        <v>0</v>
      </c>
      <c r="T232" s="23">
        <f t="shared" si="489"/>
        <v>0</v>
      </c>
      <c r="U232" s="23">
        <f t="shared" si="490"/>
        <v>0</v>
      </c>
      <c r="W232" s="78" t="str">
        <f t="shared" si="495"/>
        <v>blank</v>
      </c>
      <c r="X232" s="64"/>
      <c r="Y232" s="64"/>
      <c r="Z232" s="64"/>
      <c r="AA232" s="64"/>
      <c r="AB232" s="60"/>
      <c r="AC232" s="64"/>
      <c r="AD232" s="64"/>
      <c r="AE232" s="64"/>
      <c r="AF232" s="64"/>
      <c r="AG232" s="60"/>
      <c r="AH232" s="64"/>
      <c r="AI232" s="64"/>
      <c r="AJ232" s="64"/>
    </row>
    <row r="233" spans="2:36" hidden="1" outlineLevel="1" x14ac:dyDescent="0.25">
      <c r="B233" s="229" t="s">
        <v>195</v>
      </c>
      <c r="E233" s="78" t="s">
        <v>77</v>
      </c>
      <c r="F233" s="21">
        <f t="shared" ref="F233:H233" si="498">F473</f>
        <v>0</v>
      </c>
      <c r="G233" s="21">
        <f t="shared" si="498"/>
        <v>0</v>
      </c>
      <c r="H233" s="21">
        <f t="shared" si="498"/>
        <v>0</v>
      </c>
      <c r="I233" s="85">
        <f t="shared" si="492"/>
        <v>0</v>
      </c>
      <c r="J233" s="85">
        <f t="shared" si="481"/>
        <v>0</v>
      </c>
      <c r="K233" s="85">
        <f t="shared" si="482"/>
        <v>0</v>
      </c>
      <c r="L233" s="85">
        <f t="shared" si="483"/>
        <v>0</v>
      </c>
      <c r="M233" s="17">
        <f t="shared" si="493"/>
        <v>0</v>
      </c>
      <c r="N233" s="85">
        <f t="shared" si="484"/>
        <v>0</v>
      </c>
      <c r="O233" s="85">
        <f t="shared" si="485"/>
        <v>0</v>
      </c>
      <c r="P233" s="85">
        <f t="shared" si="486"/>
        <v>0</v>
      </c>
      <c r="Q233" s="85">
        <f t="shared" si="487"/>
        <v>0</v>
      </c>
      <c r="R233" s="22">
        <f t="shared" si="494"/>
        <v>0</v>
      </c>
      <c r="S233" s="23">
        <f t="shared" si="488"/>
        <v>0</v>
      </c>
      <c r="T233" s="23">
        <f t="shared" si="489"/>
        <v>0</v>
      </c>
      <c r="U233" s="23">
        <f t="shared" si="490"/>
        <v>0</v>
      </c>
      <c r="W233" s="78" t="str">
        <f t="shared" si="495"/>
        <v>blank</v>
      </c>
      <c r="X233" s="64"/>
      <c r="Y233" s="64"/>
      <c r="Z233" s="64"/>
      <c r="AA233" s="64"/>
      <c r="AB233" s="60"/>
      <c r="AC233" s="64"/>
      <c r="AD233" s="64"/>
      <c r="AE233" s="64"/>
      <c r="AF233" s="64"/>
      <c r="AG233" s="60"/>
      <c r="AH233" s="64"/>
      <c r="AI233" s="64"/>
      <c r="AJ233" s="64"/>
    </row>
    <row r="234" spans="2:36" hidden="1" outlineLevel="1" x14ac:dyDescent="0.25">
      <c r="B234" s="229" t="s">
        <v>195</v>
      </c>
      <c r="E234" s="78" t="s">
        <v>77</v>
      </c>
      <c r="F234" s="21">
        <f t="shared" ref="F234:H234" si="499">F474</f>
        <v>0</v>
      </c>
      <c r="G234" s="21">
        <f t="shared" si="499"/>
        <v>0</v>
      </c>
      <c r="H234" s="21">
        <f t="shared" si="499"/>
        <v>0</v>
      </c>
      <c r="I234" s="85">
        <f t="shared" si="492"/>
        <v>0</v>
      </c>
      <c r="J234" s="85">
        <f t="shared" si="481"/>
        <v>0</v>
      </c>
      <c r="K234" s="85">
        <f t="shared" si="482"/>
        <v>0</v>
      </c>
      <c r="L234" s="85">
        <f t="shared" si="483"/>
        <v>0</v>
      </c>
      <c r="M234" s="17">
        <f t="shared" si="493"/>
        <v>0</v>
      </c>
      <c r="N234" s="85">
        <f t="shared" si="484"/>
        <v>0</v>
      </c>
      <c r="O234" s="85">
        <f t="shared" si="485"/>
        <v>0</v>
      </c>
      <c r="P234" s="85">
        <f t="shared" si="486"/>
        <v>0</v>
      </c>
      <c r="Q234" s="85">
        <f t="shared" si="487"/>
        <v>0</v>
      </c>
      <c r="R234" s="22">
        <f t="shared" si="494"/>
        <v>0</v>
      </c>
      <c r="S234" s="23">
        <f t="shared" si="488"/>
        <v>0</v>
      </c>
      <c r="T234" s="23">
        <f t="shared" si="489"/>
        <v>0</v>
      </c>
      <c r="U234" s="23">
        <f t="shared" si="490"/>
        <v>0</v>
      </c>
      <c r="W234" s="78" t="str">
        <f t="shared" si="495"/>
        <v>blank</v>
      </c>
      <c r="X234" s="64"/>
      <c r="Y234" s="64"/>
      <c r="Z234" s="64"/>
      <c r="AA234" s="64"/>
      <c r="AB234" s="60"/>
      <c r="AC234" s="64"/>
      <c r="AD234" s="64"/>
      <c r="AE234" s="64"/>
      <c r="AF234" s="64"/>
      <c r="AG234" s="60"/>
      <c r="AH234" s="64"/>
      <c r="AI234" s="64"/>
      <c r="AJ234" s="64"/>
    </row>
    <row r="235" spans="2:36" hidden="1" outlineLevel="1" x14ac:dyDescent="0.25">
      <c r="B235" s="229" t="s">
        <v>195</v>
      </c>
      <c r="E235" s="78" t="s">
        <v>77</v>
      </c>
      <c r="F235" s="21">
        <f t="shared" ref="F235:H235" si="500">F475</f>
        <v>0</v>
      </c>
      <c r="G235" s="21">
        <f t="shared" si="500"/>
        <v>0</v>
      </c>
      <c r="H235" s="21">
        <f t="shared" si="500"/>
        <v>0</v>
      </c>
      <c r="I235" s="85">
        <f t="shared" si="492"/>
        <v>0</v>
      </c>
      <c r="J235" s="85">
        <f t="shared" si="481"/>
        <v>0</v>
      </c>
      <c r="K235" s="85">
        <f t="shared" si="482"/>
        <v>0</v>
      </c>
      <c r="L235" s="85">
        <f t="shared" si="483"/>
        <v>0</v>
      </c>
      <c r="M235" s="17">
        <f t="shared" si="493"/>
        <v>0</v>
      </c>
      <c r="N235" s="85">
        <f t="shared" si="484"/>
        <v>0</v>
      </c>
      <c r="O235" s="85">
        <f t="shared" si="485"/>
        <v>0</v>
      </c>
      <c r="P235" s="85">
        <f t="shared" si="486"/>
        <v>0</v>
      </c>
      <c r="Q235" s="85">
        <f t="shared" si="487"/>
        <v>0</v>
      </c>
      <c r="R235" s="22">
        <f t="shared" si="494"/>
        <v>0</v>
      </c>
      <c r="S235" s="23">
        <f t="shared" si="488"/>
        <v>0</v>
      </c>
      <c r="T235" s="23">
        <f t="shared" si="489"/>
        <v>0</v>
      </c>
      <c r="U235" s="23">
        <f t="shared" si="490"/>
        <v>0</v>
      </c>
      <c r="W235" s="78" t="str">
        <f t="shared" si="495"/>
        <v>blank</v>
      </c>
      <c r="X235" s="64"/>
      <c r="Y235" s="64"/>
      <c r="Z235" s="64"/>
      <c r="AA235" s="64"/>
      <c r="AB235" s="60"/>
      <c r="AC235" s="64"/>
      <c r="AD235" s="64"/>
      <c r="AE235" s="64"/>
      <c r="AF235" s="64"/>
      <c r="AG235" s="60"/>
      <c r="AH235" s="64"/>
      <c r="AI235" s="64"/>
      <c r="AJ235" s="64"/>
    </row>
    <row r="236" spans="2:36" hidden="1" outlineLevel="1" x14ac:dyDescent="0.25">
      <c r="B236" s="229" t="s">
        <v>195</v>
      </c>
      <c r="E236" s="78" t="s">
        <v>77</v>
      </c>
      <c r="F236" s="21">
        <f t="shared" ref="F236:H236" si="501">F476</f>
        <v>0</v>
      </c>
      <c r="G236" s="21">
        <f t="shared" si="501"/>
        <v>0</v>
      </c>
      <c r="H236" s="21">
        <f t="shared" si="501"/>
        <v>0</v>
      </c>
      <c r="I236" s="85">
        <f t="shared" si="492"/>
        <v>0</v>
      </c>
      <c r="J236" s="85">
        <f t="shared" si="481"/>
        <v>0</v>
      </c>
      <c r="K236" s="85">
        <f t="shared" si="482"/>
        <v>0</v>
      </c>
      <c r="L236" s="85">
        <f t="shared" si="483"/>
        <v>0</v>
      </c>
      <c r="M236" s="17">
        <f t="shared" si="493"/>
        <v>0</v>
      </c>
      <c r="N236" s="85">
        <f t="shared" si="484"/>
        <v>0</v>
      </c>
      <c r="O236" s="85">
        <f t="shared" si="485"/>
        <v>0</v>
      </c>
      <c r="P236" s="85">
        <f t="shared" si="486"/>
        <v>0</v>
      </c>
      <c r="Q236" s="85">
        <f t="shared" si="487"/>
        <v>0</v>
      </c>
      <c r="R236" s="22">
        <f t="shared" si="494"/>
        <v>0</v>
      </c>
      <c r="S236" s="23">
        <f t="shared" si="488"/>
        <v>0</v>
      </c>
      <c r="T236" s="23">
        <f t="shared" si="489"/>
        <v>0</v>
      </c>
      <c r="U236" s="23">
        <f t="shared" si="490"/>
        <v>0</v>
      </c>
      <c r="W236" s="78" t="str">
        <f t="shared" si="495"/>
        <v>blank</v>
      </c>
      <c r="X236" s="64"/>
      <c r="Y236" s="64"/>
      <c r="Z236" s="64"/>
      <c r="AA236" s="64"/>
      <c r="AB236" s="60"/>
      <c r="AC236" s="64"/>
      <c r="AD236" s="64"/>
      <c r="AE236" s="64"/>
      <c r="AF236" s="64"/>
      <c r="AG236" s="60"/>
      <c r="AH236" s="64"/>
      <c r="AI236" s="64"/>
      <c r="AJ236" s="64"/>
    </row>
    <row r="237" spans="2:36" hidden="1" outlineLevel="1" x14ac:dyDescent="0.25">
      <c r="B237" s="229" t="s">
        <v>195</v>
      </c>
      <c r="E237" s="78" t="s">
        <v>77</v>
      </c>
      <c r="F237" s="21">
        <f t="shared" ref="F237:H237" si="502">F477</f>
        <v>0</v>
      </c>
      <c r="G237" s="21">
        <f t="shared" si="502"/>
        <v>0</v>
      </c>
      <c r="H237" s="21">
        <f t="shared" si="502"/>
        <v>0</v>
      </c>
      <c r="I237" s="85">
        <f t="shared" si="492"/>
        <v>0</v>
      </c>
      <c r="J237" s="85">
        <f t="shared" si="481"/>
        <v>0</v>
      </c>
      <c r="K237" s="85">
        <f t="shared" si="482"/>
        <v>0</v>
      </c>
      <c r="L237" s="85">
        <f t="shared" si="483"/>
        <v>0</v>
      </c>
      <c r="M237" s="17">
        <f t="shared" si="493"/>
        <v>0</v>
      </c>
      <c r="N237" s="85">
        <f t="shared" si="484"/>
        <v>0</v>
      </c>
      <c r="O237" s="85">
        <f t="shared" si="485"/>
        <v>0</v>
      </c>
      <c r="P237" s="85">
        <f t="shared" si="486"/>
        <v>0</v>
      </c>
      <c r="Q237" s="85">
        <f t="shared" si="487"/>
        <v>0</v>
      </c>
      <c r="R237" s="22">
        <f t="shared" si="494"/>
        <v>0</v>
      </c>
      <c r="S237" s="23">
        <f t="shared" si="488"/>
        <v>0</v>
      </c>
      <c r="T237" s="23">
        <f t="shared" si="489"/>
        <v>0</v>
      </c>
      <c r="U237" s="23">
        <f t="shared" si="490"/>
        <v>0</v>
      </c>
      <c r="W237" s="78" t="str">
        <f t="shared" si="495"/>
        <v>blank</v>
      </c>
      <c r="X237" s="64"/>
      <c r="Y237" s="64"/>
      <c r="Z237" s="64"/>
      <c r="AA237" s="64"/>
      <c r="AB237" s="60"/>
      <c r="AC237" s="64"/>
      <c r="AD237" s="64"/>
      <c r="AE237" s="64"/>
      <c r="AF237" s="64"/>
      <c r="AG237" s="60"/>
      <c r="AH237" s="64"/>
      <c r="AI237" s="64"/>
      <c r="AJ237" s="64"/>
    </row>
    <row r="238" spans="2:36" hidden="1" outlineLevel="1" x14ac:dyDescent="0.25">
      <c r="B238" s="229" t="s">
        <v>195</v>
      </c>
      <c r="E238" s="78" t="s">
        <v>77</v>
      </c>
      <c r="F238" s="21">
        <f t="shared" ref="F238:H238" si="503">F478</f>
        <v>0</v>
      </c>
      <c r="G238" s="21">
        <f t="shared" si="503"/>
        <v>0</v>
      </c>
      <c r="H238" s="21">
        <f t="shared" si="503"/>
        <v>0</v>
      </c>
      <c r="I238" s="85">
        <f t="shared" si="492"/>
        <v>0</v>
      </c>
      <c r="J238" s="85">
        <f t="shared" si="481"/>
        <v>0</v>
      </c>
      <c r="K238" s="85">
        <f t="shared" si="482"/>
        <v>0</v>
      </c>
      <c r="L238" s="85">
        <f t="shared" si="483"/>
        <v>0</v>
      </c>
      <c r="M238" s="17">
        <f t="shared" si="493"/>
        <v>0</v>
      </c>
      <c r="N238" s="85">
        <f t="shared" si="484"/>
        <v>0</v>
      </c>
      <c r="O238" s="85">
        <f t="shared" si="485"/>
        <v>0</v>
      </c>
      <c r="P238" s="85">
        <f t="shared" si="486"/>
        <v>0</v>
      </c>
      <c r="Q238" s="85">
        <f t="shared" si="487"/>
        <v>0</v>
      </c>
      <c r="R238" s="22">
        <f t="shared" si="494"/>
        <v>0</v>
      </c>
      <c r="S238" s="23">
        <f t="shared" si="488"/>
        <v>0</v>
      </c>
      <c r="T238" s="23">
        <f t="shared" si="489"/>
        <v>0</v>
      </c>
      <c r="U238" s="23">
        <f t="shared" si="490"/>
        <v>0</v>
      </c>
      <c r="W238" s="78" t="str">
        <f t="shared" si="495"/>
        <v>blank</v>
      </c>
      <c r="X238" s="64"/>
      <c r="Y238" s="64"/>
      <c r="Z238" s="64"/>
      <c r="AA238" s="64"/>
      <c r="AB238" s="60"/>
      <c r="AC238" s="64"/>
      <c r="AD238" s="64"/>
      <c r="AE238" s="64"/>
      <c r="AF238" s="64"/>
      <c r="AG238" s="60"/>
      <c r="AH238" s="64"/>
      <c r="AI238" s="64"/>
      <c r="AJ238" s="64"/>
    </row>
    <row r="239" spans="2:36" ht="15.75" hidden="1" outlineLevel="1" thickBot="1" x14ac:dyDescent="0.3">
      <c r="E239" s="8" t="s">
        <v>130</v>
      </c>
      <c r="F239" s="9">
        <f>SUM(F229:F238)</f>
        <v>0</v>
      </c>
      <c r="G239" s="9">
        <f t="shared" ref="G239" si="504">SUM(G229:G238)</f>
        <v>0</v>
      </c>
      <c r="H239" s="9">
        <f t="shared" ref="H239" si="505">SUM(H229:H238)</f>
        <v>0</v>
      </c>
      <c r="I239" s="86">
        <f t="shared" ref="I239" si="506">SUM(I229:I238)</f>
        <v>0</v>
      </c>
      <c r="J239" s="86">
        <f t="shared" ref="J239" si="507">SUM(J229:J238)</f>
        <v>0</v>
      </c>
      <c r="K239" s="86">
        <f t="shared" ref="K239" si="508">SUM(K229:K238)</f>
        <v>0</v>
      </c>
      <c r="L239" s="86">
        <f t="shared" ref="L239" si="509">SUM(L229:L238)</f>
        <v>0</v>
      </c>
      <c r="M239" s="18">
        <f t="shared" ref="M239" si="510">SUM(M229:M238)</f>
        <v>0</v>
      </c>
      <c r="N239" s="86">
        <f t="shared" ref="N239" si="511">SUM(N229:N238)</f>
        <v>0</v>
      </c>
      <c r="O239" s="86">
        <f t="shared" ref="O239" si="512">SUM(O229:O238)</f>
        <v>0</v>
      </c>
      <c r="P239" s="86">
        <f t="shared" ref="P239" si="513">SUM(P229:P238)</f>
        <v>0</v>
      </c>
      <c r="Q239" s="86">
        <f t="shared" ref="Q239" si="514">SUM(Q229:Q238)</f>
        <v>0</v>
      </c>
      <c r="R239" s="19">
        <f t="shared" ref="R239" si="515">SUM(R229:R238)</f>
        <v>0</v>
      </c>
      <c r="S239" s="20">
        <f t="shared" ref="S239" si="516">SUM(S229:S238)</f>
        <v>0</v>
      </c>
      <c r="T239" s="20">
        <f t="shared" ref="T239" si="517">SUM(T229:T238)</f>
        <v>0</v>
      </c>
      <c r="U239" s="20">
        <f t="shared" ref="U239" si="518">SUM(U229:U238)</f>
        <v>0</v>
      </c>
    </row>
    <row r="240" spans="2:36" ht="15.75" hidden="1" outlineLevel="1" thickTop="1" x14ac:dyDescent="0.25"/>
    <row r="241" spans="2:36" hidden="1" outlineLevel="1" x14ac:dyDescent="0.25"/>
    <row r="242" spans="2:36" hidden="1" outlineLevel="1" x14ac:dyDescent="0.25"/>
    <row r="243" spans="2:36" ht="18.75" collapsed="1" x14ac:dyDescent="0.3">
      <c r="B243" s="4" t="s">
        <v>34</v>
      </c>
      <c r="C243" s="4" t="s">
        <v>387</v>
      </c>
      <c r="E243" s="53" t="str">
        <f>"Scenario 4: "&amp;Inputs!B25</f>
        <v>Scenario 4: Scenario 4</v>
      </c>
      <c r="F243" s="49"/>
      <c r="G243" s="49"/>
      <c r="H243" s="49"/>
      <c r="I243" s="49"/>
      <c r="J243" s="49"/>
      <c r="K243" s="49"/>
      <c r="L243" s="49"/>
      <c r="M243" s="49"/>
      <c r="N243" s="49"/>
      <c r="O243" s="49"/>
      <c r="P243" s="49"/>
      <c r="Q243" s="49"/>
      <c r="R243" s="49"/>
      <c r="S243" s="49"/>
      <c r="T243" s="49"/>
      <c r="U243" s="49"/>
    </row>
    <row r="244" spans="2:36" hidden="1" outlineLevel="1" x14ac:dyDescent="0.25">
      <c r="E244" s="52" t="str">
        <f>Inputs!C25</f>
        <v>Scenario 4 Description</v>
      </c>
    </row>
    <row r="245" spans="2:36" hidden="1" outlineLevel="1" x14ac:dyDescent="0.25"/>
    <row r="246" spans="2:36" hidden="1" outlineLevel="1" x14ac:dyDescent="0.25"/>
    <row r="247" spans="2:36" hidden="1" outlineLevel="1" x14ac:dyDescent="0.25">
      <c r="E247" s="4" t="s">
        <v>116</v>
      </c>
      <c r="W247" s="4" t="str">
        <f>E247</f>
        <v>Inventory (Gross Inventory + Inventory Reserves)</v>
      </c>
    </row>
    <row r="248" spans="2:36" hidden="1" outlineLevel="1" x14ac:dyDescent="0.25">
      <c r="E248" s="6" t="s">
        <v>25</v>
      </c>
      <c r="W248" s="61" t="s">
        <v>62</v>
      </c>
    </row>
    <row r="249" spans="2:36" hidden="1" outlineLevel="1" x14ac:dyDescent="0.25"/>
    <row r="250" spans="2:36" hidden="1" outlineLevel="1" x14ac:dyDescent="0.25">
      <c r="F250" s="12">
        <f>Inputs!$C$7</f>
        <v>2023</v>
      </c>
      <c r="G250" s="12">
        <f>Inputs!$C$8</f>
        <v>2024</v>
      </c>
      <c r="H250" s="12">
        <f>Inputs!$C$9</f>
        <v>2025</v>
      </c>
      <c r="I250" s="13" t="s">
        <v>1</v>
      </c>
      <c r="J250" s="13" t="s">
        <v>2</v>
      </c>
      <c r="K250" s="13" t="s">
        <v>3</v>
      </c>
      <c r="L250" s="13" t="s">
        <v>4</v>
      </c>
      <c r="M250" s="13">
        <f>Inputs!$C$10</f>
        <v>2026</v>
      </c>
      <c r="N250" s="14" t="s">
        <v>1</v>
      </c>
      <c r="O250" s="14" t="s">
        <v>2</v>
      </c>
      <c r="P250" s="14" t="s">
        <v>3</v>
      </c>
      <c r="Q250" s="14" t="s">
        <v>4</v>
      </c>
      <c r="R250" s="15">
        <f>Inputs!$C$11</f>
        <v>2027</v>
      </c>
      <c r="S250" s="16">
        <f>Inputs!$C$12</f>
        <v>2028</v>
      </c>
      <c r="T250" s="16">
        <f>Inputs!$C$13</f>
        <v>2029</v>
      </c>
      <c r="U250" s="16">
        <f>Inputs!$C$14</f>
        <v>2030</v>
      </c>
      <c r="X250" s="13" t="s">
        <v>1</v>
      </c>
      <c r="Y250" s="13" t="s">
        <v>2</v>
      </c>
      <c r="Z250" s="13" t="s">
        <v>3</v>
      </c>
      <c r="AA250" s="13" t="s">
        <v>4</v>
      </c>
      <c r="AB250" s="13">
        <f>Inputs!$C$10</f>
        <v>2026</v>
      </c>
      <c r="AC250" s="14" t="s">
        <v>1</v>
      </c>
      <c r="AD250" s="14" t="s">
        <v>2</v>
      </c>
      <c r="AE250" s="14" t="s">
        <v>3</v>
      </c>
      <c r="AF250" s="14" t="s">
        <v>4</v>
      </c>
      <c r="AG250" s="15">
        <f>Inputs!$C$11</f>
        <v>2027</v>
      </c>
      <c r="AH250" s="16">
        <f>Inputs!$C$12</f>
        <v>2028</v>
      </c>
      <c r="AI250" s="16">
        <f>Inputs!$C$13</f>
        <v>2029</v>
      </c>
      <c r="AJ250" s="16">
        <f>Inputs!$C$14</f>
        <v>2030</v>
      </c>
    </row>
    <row r="251" spans="2:36" hidden="1" outlineLevel="1" x14ac:dyDescent="0.25">
      <c r="F251" s="71" t="s">
        <v>63</v>
      </c>
      <c r="G251" s="71" t="s">
        <v>63</v>
      </c>
      <c r="H251" s="71" t="s">
        <v>63</v>
      </c>
      <c r="I251" s="71" t="s">
        <v>63</v>
      </c>
      <c r="J251" s="71" t="s">
        <v>63</v>
      </c>
      <c r="K251" s="71" t="s">
        <v>63</v>
      </c>
      <c r="L251" s="71" t="s">
        <v>63</v>
      </c>
      <c r="M251" s="71" t="s">
        <v>63</v>
      </c>
      <c r="N251" s="71" t="s">
        <v>63</v>
      </c>
      <c r="O251" s="71" t="s">
        <v>63</v>
      </c>
      <c r="P251" s="71" t="s">
        <v>63</v>
      </c>
      <c r="Q251" s="71" t="s">
        <v>63</v>
      </c>
      <c r="R251" s="71" t="s">
        <v>63</v>
      </c>
      <c r="S251" s="71" t="s">
        <v>63</v>
      </c>
      <c r="T251" s="71" t="s">
        <v>63</v>
      </c>
      <c r="U251" s="71" t="s">
        <v>63</v>
      </c>
      <c r="X251" s="63" t="s">
        <v>30</v>
      </c>
      <c r="Y251" s="63" t="s">
        <v>30</v>
      </c>
      <c r="Z251" s="63" t="s">
        <v>30</v>
      </c>
      <c r="AA251" s="63" t="s">
        <v>30</v>
      </c>
      <c r="AB251" s="62"/>
      <c r="AC251" s="63" t="s">
        <v>30</v>
      </c>
      <c r="AD251" s="63" t="s">
        <v>30</v>
      </c>
      <c r="AE251" s="63" t="s">
        <v>30</v>
      </c>
      <c r="AF251" s="63" t="s">
        <v>30</v>
      </c>
      <c r="AG251" s="62"/>
      <c r="AH251" s="63" t="s">
        <v>30</v>
      </c>
      <c r="AI251" s="63" t="s">
        <v>30</v>
      </c>
      <c r="AJ251" s="63" t="s">
        <v>30</v>
      </c>
    </row>
    <row r="252" spans="2:36" hidden="1" outlineLevel="1" x14ac:dyDescent="0.25">
      <c r="B252" s="229" t="s">
        <v>195</v>
      </c>
      <c r="C252" s="229"/>
      <c r="E252" s="78" t="s">
        <v>110</v>
      </c>
      <c r="F252" s="21">
        <f>F412</f>
        <v>0</v>
      </c>
      <c r="G252" s="21">
        <f t="shared" ref="G252:H252" si="519">G412</f>
        <v>0</v>
      </c>
      <c r="H252" s="21">
        <f t="shared" si="519"/>
        <v>0</v>
      </c>
      <c r="I252" s="85">
        <f>IF(X252="",I412,X252)</f>
        <v>0</v>
      </c>
      <c r="J252" s="85">
        <f t="shared" ref="J252:L252" si="520">IF(Y252="",J412,Y252)</f>
        <v>0</v>
      </c>
      <c r="K252" s="85">
        <f t="shared" si="520"/>
        <v>0</v>
      </c>
      <c r="L252" s="85">
        <f t="shared" si="520"/>
        <v>0</v>
      </c>
      <c r="M252" s="17">
        <f>L252</f>
        <v>0</v>
      </c>
      <c r="N252" s="85">
        <f t="shared" ref="N252:Q252" si="521">IF(AC252="",N412,AC252)</f>
        <v>0</v>
      </c>
      <c r="O252" s="85">
        <f t="shared" si="521"/>
        <v>0</v>
      </c>
      <c r="P252" s="85">
        <f t="shared" si="521"/>
        <v>0</v>
      </c>
      <c r="Q252" s="85">
        <f t="shared" si="521"/>
        <v>0</v>
      </c>
      <c r="R252" s="22">
        <f>Q252</f>
        <v>0</v>
      </c>
      <c r="S252" s="23">
        <f t="shared" ref="S252:U252" si="522">IF(AH252="",S412,AH252)</f>
        <v>0</v>
      </c>
      <c r="T252" s="23">
        <f t="shared" si="522"/>
        <v>0</v>
      </c>
      <c r="U252" s="23">
        <f t="shared" si="522"/>
        <v>0</v>
      </c>
      <c r="W252" s="78" t="str">
        <f>E252</f>
        <v>Finished Goods</v>
      </c>
      <c r="X252" s="64"/>
      <c r="Y252" s="64"/>
      <c r="Z252" s="64"/>
      <c r="AA252" s="64"/>
      <c r="AB252" s="60"/>
      <c r="AC252" s="64"/>
      <c r="AD252" s="64"/>
      <c r="AE252" s="64"/>
      <c r="AF252" s="64"/>
      <c r="AG252" s="60"/>
      <c r="AH252" s="64"/>
      <c r="AI252" s="64"/>
      <c r="AJ252" s="64"/>
    </row>
    <row r="253" spans="2:36" hidden="1" outlineLevel="1" x14ac:dyDescent="0.25">
      <c r="B253" s="229" t="s">
        <v>195</v>
      </c>
      <c r="E253" s="78" t="s">
        <v>111</v>
      </c>
      <c r="F253" s="21">
        <f t="shared" ref="F253:H253" si="523">F413</f>
        <v>0</v>
      </c>
      <c r="G253" s="21">
        <f t="shared" si="523"/>
        <v>0</v>
      </c>
      <c r="H253" s="21">
        <f t="shared" si="523"/>
        <v>0</v>
      </c>
      <c r="I253" s="85">
        <f t="shared" ref="I253:L253" si="524">IF(X253="",I413,X253)</f>
        <v>0</v>
      </c>
      <c r="J253" s="85">
        <f t="shared" si="524"/>
        <v>0</v>
      </c>
      <c r="K253" s="85">
        <f t="shared" si="524"/>
        <v>0</v>
      </c>
      <c r="L253" s="85">
        <f t="shared" si="524"/>
        <v>0</v>
      </c>
      <c r="M253" s="17">
        <f t="shared" ref="M253:M261" si="525">L253</f>
        <v>0</v>
      </c>
      <c r="N253" s="85">
        <f t="shared" ref="N253:Q253" si="526">IF(AC253="",N413,AC253)</f>
        <v>0</v>
      </c>
      <c r="O253" s="85">
        <f t="shared" si="526"/>
        <v>0</v>
      </c>
      <c r="P253" s="85">
        <f t="shared" si="526"/>
        <v>0</v>
      </c>
      <c r="Q253" s="85">
        <f t="shared" si="526"/>
        <v>0</v>
      </c>
      <c r="R253" s="22">
        <f t="shared" ref="R253:R261" si="527">Q253</f>
        <v>0</v>
      </c>
      <c r="S253" s="23">
        <f t="shared" ref="S253:U253" si="528">IF(AH253="",S413,AH253)</f>
        <v>0</v>
      </c>
      <c r="T253" s="23">
        <f t="shared" si="528"/>
        <v>0</v>
      </c>
      <c r="U253" s="23">
        <f t="shared" si="528"/>
        <v>0</v>
      </c>
      <c r="W253" s="78" t="str">
        <f t="shared" ref="W253:W261" si="529">E253</f>
        <v>Raw Materials</v>
      </c>
      <c r="X253" s="64"/>
      <c r="Y253" s="64"/>
      <c r="Z253" s="64"/>
      <c r="AA253" s="64"/>
      <c r="AB253" s="60"/>
      <c r="AC253" s="64"/>
      <c r="AD253" s="64"/>
      <c r="AE253" s="64"/>
      <c r="AF253" s="64"/>
      <c r="AG253" s="60"/>
      <c r="AH253" s="64"/>
      <c r="AI253" s="64"/>
      <c r="AJ253" s="64"/>
    </row>
    <row r="254" spans="2:36" hidden="1" outlineLevel="1" x14ac:dyDescent="0.25">
      <c r="B254" s="229" t="s">
        <v>195</v>
      </c>
      <c r="E254" s="78" t="s">
        <v>112</v>
      </c>
      <c r="F254" s="21">
        <f t="shared" ref="F254:H254" si="530">F414</f>
        <v>0</v>
      </c>
      <c r="G254" s="21">
        <f t="shared" si="530"/>
        <v>0</v>
      </c>
      <c r="H254" s="21">
        <f t="shared" si="530"/>
        <v>0</v>
      </c>
      <c r="I254" s="85">
        <f t="shared" ref="I254:L254" si="531">IF(X254="",I414,X254)</f>
        <v>0</v>
      </c>
      <c r="J254" s="85">
        <f t="shared" si="531"/>
        <v>0</v>
      </c>
      <c r="K254" s="85">
        <f t="shared" si="531"/>
        <v>0</v>
      </c>
      <c r="L254" s="85">
        <f t="shared" si="531"/>
        <v>0</v>
      </c>
      <c r="M254" s="17">
        <f t="shared" si="525"/>
        <v>0</v>
      </c>
      <c r="N254" s="85">
        <f t="shared" ref="N254:Q254" si="532">IF(AC254="",N414,AC254)</f>
        <v>0</v>
      </c>
      <c r="O254" s="85">
        <f t="shared" si="532"/>
        <v>0</v>
      </c>
      <c r="P254" s="85">
        <f t="shared" si="532"/>
        <v>0</v>
      </c>
      <c r="Q254" s="85">
        <f t="shared" si="532"/>
        <v>0</v>
      </c>
      <c r="R254" s="22">
        <f t="shared" si="527"/>
        <v>0</v>
      </c>
      <c r="S254" s="23">
        <f t="shared" ref="S254:U254" si="533">IF(AH254="",S414,AH254)</f>
        <v>0</v>
      </c>
      <c r="T254" s="23">
        <f t="shared" si="533"/>
        <v>0</v>
      </c>
      <c r="U254" s="23">
        <f t="shared" si="533"/>
        <v>0</v>
      </c>
      <c r="W254" s="78" t="str">
        <f t="shared" si="529"/>
        <v>Capitalized Variances</v>
      </c>
      <c r="X254" s="64"/>
      <c r="Y254" s="64"/>
      <c r="Z254" s="64"/>
      <c r="AA254" s="64"/>
      <c r="AB254" s="60"/>
      <c r="AC254" s="64"/>
      <c r="AD254" s="64"/>
      <c r="AE254" s="64"/>
      <c r="AF254" s="64"/>
      <c r="AG254" s="60"/>
      <c r="AH254" s="64"/>
      <c r="AI254" s="64"/>
      <c r="AJ254" s="64"/>
    </row>
    <row r="255" spans="2:36" hidden="1" outlineLevel="1" x14ac:dyDescent="0.25">
      <c r="B255" s="229" t="s">
        <v>195</v>
      </c>
      <c r="E255" s="78" t="s">
        <v>113</v>
      </c>
      <c r="F255" s="21">
        <f t="shared" ref="F255:H255" si="534">F415</f>
        <v>0</v>
      </c>
      <c r="G255" s="21">
        <f t="shared" si="534"/>
        <v>0</v>
      </c>
      <c r="H255" s="21">
        <f t="shared" si="534"/>
        <v>0</v>
      </c>
      <c r="I255" s="85">
        <f t="shared" ref="I255:L255" si="535">IF(X255="",I415,X255)</f>
        <v>0</v>
      </c>
      <c r="J255" s="85">
        <f t="shared" si="535"/>
        <v>0</v>
      </c>
      <c r="K255" s="85">
        <f t="shared" si="535"/>
        <v>0</v>
      </c>
      <c r="L255" s="85">
        <f t="shared" si="535"/>
        <v>0</v>
      </c>
      <c r="M255" s="17">
        <f t="shared" si="525"/>
        <v>0</v>
      </c>
      <c r="N255" s="85">
        <f t="shared" ref="N255:Q255" si="536">IF(AC255="",N415,AC255)</f>
        <v>0</v>
      </c>
      <c r="O255" s="85">
        <f t="shared" si="536"/>
        <v>0</v>
      </c>
      <c r="P255" s="85">
        <f t="shared" si="536"/>
        <v>0</v>
      </c>
      <c r="Q255" s="85">
        <f t="shared" si="536"/>
        <v>0</v>
      </c>
      <c r="R255" s="22">
        <f t="shared" si="527"/>
        <v>0</v>
      </c>
      <c r="S255" s="23">
        <f t="shared" ref="S255:U255" si="537">IF(AH255="",S415,AH255)</f>
        <v>0</v>
      </c>
      <c r="T255" s="23">
        <f t="shared" si="537"/>
        <v>0</v>
      </c>
      <c r="U255" s="23">
        <f t="shared" si="537"/>
        <v>0</v>
      </c>
      <c r="W255" s="78" t="str">
        <f t="shared" si="529"/>
        <v>Capitalized Overhead</v>
      </c>
      <c r="X255" s="64"/>
      <c r="Y255" s="64"/>
      <c r="Z255" s="64"/>
      <c r="AA255" s="64"/>
      <c r="AB255" s="60"/>
      <c r="AC255" s="64"/>
      <c r="AD255" s="64"/>
      <c r="AE255" s="64"/>
      <c r="AF255" s="64"/>
      <c r="AG255" s="60"/>
      <c r="AH255" s="64"/>
      <c r="AI255" s="64"/>
      <c r="AJ255" s="64"/>
    </row>
    <row r="256" spans="2:36" hidden="1" outlineLevel="1" x14ac:dyDescent="0.25">
      <c r="B256" s="229" t="s">
        <v>195</v>
      </c>
      <c r="E256" s="78" t="s">
        <v>117</v>
      </c>
      <c r="F256" s="21">
        <f t="shared" ref="F256:H256" si="538">F416</f>
        <v>0</v>
      </c>
      <c r="G256" s="21">
        <f t="shared" si="538"/>
        <v>0</v>
      </c>
      <c r="H256" s="21">
        <f t="shared" si="538"/>
        <v>0</v>
      </c>
      <c r="I256" s="85">
        <f t="shared" ref="I256:L256" si="539">IF(X256="",I416,X256)</f>
        <v>0</v>
      </c>
      <c r="J256" s="85">
        <f t="shared" si="539"/>
        <v>0</v>
      </c>
      <c r="K256" s="85">
        <f t="shared" si="539"/>
        <v>0</v>
      </c>
      <c r="L256" s="85">
        <f t="shared" si="539"/>
        <v>0</v>
      </c>
      <c r="M256" s="17">
        <f t="shared" si="525"/>
        <v>0</v>
      </c>
      <c r="N256" s="85">
        <f t="shared" ref="N256:Q256" si="540">IF(AC256="",N416,AC256)</f>
        <v>0</v>
      </c>
      <c r="O256" s="85">
        <f t="shared" si="540"/>
        <v>0</v>
      </c>
      <c r="P256" s="85">
        <f t="shared" si="540"/>
        <v>0</v>
      </c>
      <c r="Q256" s="85">
        <f t="shared" si="540"/>
        <v>0</v>
      </c>
      <c r="R256" s="22">
        <f t="shared" si="527"/>
        <v>0</v>
      </c>
      <c r="S256" s="23">
        <f t="shared" ref="S256:U256" si="541">IF(AH256="",S416,AH256)</f>
        <v>0</v>
      </c>
      <c r="T256" s="23">
        <f t="shared" si="541"/>
        <v>0</v>
      </c>
      <c r="U256" s="23">
        <f t="shared" si="541"/>
        <v>0</v>
      </c>
      <c r="W256" s="78" t="str">
        <f t="shared" si="529"/>
        <v>Work in Progress (WIP)</v>
      </c>
      <c r="X256" s="64"/>
      <c r="Y256" s="64"/>
      <c r="Z256" s="64"/>
      <c r="AA256" s="64"/>
      <c r="AB256" s="60"/>
      <c r="AC256" s="64"/>
      <c r="AD256" s="64"/>
      <c r="AE256" s="64"/>
      <c r="AF256" s="64"/>
      <c r="AG256" s="60"/>
      <c r="AH256" s="64"/>
      <c r="AI256" s="64"/>
      <c r="AJ256" s="64"/>
    </row>
    <row r="257" spans="2:36" hidden="1" outlineLevel="1" x14ac:dyDescent="0.25">
      <c r="B257" s="229" t="s">
        <v>195</v>
      </c>
      <c r="E257" s="78" t="s">
        <v>114</v>
      </c>
      <c r="F257" s="21">
        <f t="shared" ref="F257:H257" si="542">F417</f>
        <v>0</v>
      </c>
      <c r="G257" s="21">
        <f t="shared" si="542"/>
        <v>0</v>
      </c>
      <c r="H257" s="21">
        <f t="shared" si="542"/>
        <v>0</v>
      </c>
      <c r="I257" s="85">
        <f t="shared" ref="I257:L257" si="543">IF(X257="",I417,X257)</f>
        <v>0</v>
      </c>
      <c r="J257" s="85">
        <f t="shared" si="543"/>
        <v>0</v>
      </c>
      <c r="K257" s="85">
        <f t="shared" si="543"/>
        <v>0</v>
      </c>
      <c r="L257" s="85">
        <f t="shared" si="543"/>
        <v>0</v>
      </c>
      <c r="M257" s="17">
        <f t="shared" si="525"/>
        <v>0</v>
      </c>
      <c r="N257" s="85">
        <f t="shared" ref="N257:Q257" si="544">IF(AC257="",N417,AC257)</f>
        <v>0</v>
      </c>
      <c r="O257" s="85">
        <f t="shared" si="544"/>
        <v>0</v>
      </c>
      <c r="P257" s="85">
        <f t="shared" si="544"/>
        <v>0</v>
      </c>
      <c r="Q257" s="85">
        <f t="shared" si="544"/>
        <v>0</v>
      </c>
      <c r="R257" s="22">
        <f t="shared" si="527"/>
        <v>0</v>
      </c>
      <c r="S257" s="23">
        <f t="shared" ref="S257:U257" si="545">IF(AH257="",S417,AH257)</f>
        <v>0</v>
      </c>
      <c r="T257" s="23">
        <f t="shared" si="545"/>
        <v>0</v>
      </c>
      <c r="U257" s="23">
        <f t="shared" si="545"/>
        <v>0</v>
      </c>
      <c r="W257" s="78" t="str">
        <f t="shared" si="529"/>
        <v>E&amp;O Reserves</v>
      </c>
      <c r="X257" s="64"/>
      <c r="Y257" s="64"/>
      <c r="Z257" s="64"/>
      <c r="AA257" s="64"/>
      <c r="AB257" s="60"/>
      <c r="AC257" s="64"/>
      <c r="AD257" s="64"/>
      <c r="AE257" s="64"/>
      <c r="AF257" s="64"/>
      <c r="AG257" s="60"/>
      <c r="AH257" s="64"/>
      <c r="AI257" s="64"/>
      <c r="AJ257" s="64"/>
    </row>
    <row r="258" spans="2:36" hidden="1" outlineLevel="1" x14ac:dyDescent="0.25">
      <c r="B258" s="229" t="s">
        <v>195</v>
      </c>
      <c r="E258" s="78" t="s">
        <v>115</v>
      </c>
      <c r="F258" s="21">
        <f t="shared" ref="F258:H258" si="546">F418</f>
        <v>0</v>
      </c>
      <c r="G258" s="21">
        <f t="shared" si="546"/>
        <v>0</v>
      </c>
      <c r="H258" s="21">
        <f t="shared" si="546"/>
        <v>0</v>
      </c>
      <c r="I258" s="85">
        <f t="shared" ref="I258:L258" si="547">IF(X258="",I418,X258)</f>
        <v>0</v>
      </c>
      <c r="J258" s="85">
        <f t="shared" si="547"/>
        <v>0</v>
      </c>
      <c r="K258" s="85">
        <f t="shared" si="547"/>
        <v>0</v>
      </c>
      <c r="L258" s="85">
        <f t="shared" si="547"/>
        <v>0</v>
      </c>
      <c r="M258" s="17">
        <f t="shared" si="525"/>
        <v>0</v>
      </c>
      <c r="N258" s="85">
        <f t="shared" ref="N258:Q258" si="548">IF(AC258="",N418,AC258)</f>
        <v>0</v>
      </c>
      <c r="O258" s="85">
        <f t="shared" si="548"/>
        <v>0</v>
      </c>
      <c r="P258" s="85">
        <f t="shared" si="548"/>
        <v>0</v>
      </c>
      <c r="Q258" s="85">
        <f t="shared" si="548"/>
        <v>0</v>
      </c>
      <c r="R258" s="22">
        <f t="shared" si="527"/>
        <v>0</v>
      </c>
      <c r="S258" s="23">
        <f t="shared" ref="S258:U258" si="549">IF(AH258="",S418,AH258)</f>
        <v>0</v>
      </c>
      <c r="T258" s="23">
        <f t="shared" si="549"/>
        <v>0</v>
      </c>
      <c r="U258" s="23">
        <f t="shared" si="549"/>
        <v>0</v>
      </c>
      <c r="W258" s="78" t="str">
        <f t="shared" si="529"/>
        <v>Other Inventory Reserves</v>
      </c>
      <c r="X258" s="64"/>
      <c r="Y258" s="64"/>
      <c r="Z258" s="64"/>
      <c r="AA258" s="64"/>
      <c r="AB258" s="60"/>
      <c r="AC258" s="64"/>
      <c r="AD258" s="64"/>
      <c r="AE258" s="64"/>
      <c r="AF258" s="64"/>
      <c r="AG258" s="60"/>
      <c r="AH258" s="64"/>
      <c r="AI258" s="64"/>
      <c r="AJ258" s="64"/>
    </row>
    <row r="259" spans="2:36" hidden="1" outlineLevel="1" x14ac:dyDescent="0.25">
      <c r="B259" s="229" t="s">
        <v>195</v>
      </c>
      <c r="E259" s="78" t="s">
        <v>118</v>
      </c>
      <c r="F259" s="21">
        <f t="shared" ref="F259:H259" si="550">F419</f>
        <v>0</v>
      </c>
      <c r="G259" s="21">
        <f t="shared" si="550"/>
        <v>0</v>
      </c>
      <c r="H259" s="21">
        <f t="shared" si="550"/>
        <v>0</v>
      </c>
      <c r="I259" s="85">
        <f t="shared" ref="I259:L259" si="551">IF(X259="",I419,X259)</f>
        <v>0</v>
      </c>
      <c r="J259" s="85">
        <f t="shared" si="551"/>
        <v>0</v>
      </c>
      <c r="K259" s="85">
        <f t="shared" si="551"/>
        <v>0</v>
      </c>
      <c r="L259" s="85">
        <f t="shared" si="551"/>
        <v>0</v>
      </c>
      <c r="M259" s="17">
        <f t="shared" si="525"/>
        <v>0</v>
      </c>
      <c r="N259" s="85">
        <f t="shared" ref="N259:Q259" si="552">IF(AC259="",N419,AC259)</f>
        <v>0</v>
      </c>
      <c r="O259" s="85">
        <f t="shared" si="552"/>
        <v>0</v>
      </c>
      <c r="P259" s="85">
        <f t="shared" si="552"/>
        <v>0</v>
      </c>
      <c r="Q259" s="85">
        <f t="shared" si="552"/>
        <v>0</v>
      </c>
      <c r="R259" s="22">
        <f t="shared" si="527"/>
        <v>0</v>
      </c>
      <c r="S259" s="23">
        <f t="shared" ref="S259:U259" si="553">IF(AH259="",S419,AH259)</f>
        <v>0</v>
      </c>
      <c r="T259" s="23">
        <f t="shared" si="553"/>
        <v>0</v>
      </c>
      <c r="U259" s="23">
        <f t="shared" si="553"/>
        <v>0</v>
      </c>
      <c r="W259" s="78" t="str">
        <f t="shared" si="529"/>
        <v>Book to Physical Reserve</v>
      </c>
      <c r="X259" s="64"/>
      <c r="Y259" s="64"/>
      <c r="Z259" s="64"/>
      <c r="AA259" s="64"/>
      <c r="AB259" s="60"/>
      <c r="AC259" s="64"/>
      <c r="AD259" s="64"/>
      <c r="AE259" s="64"/>
      <c r="AF259" s="64"/>
      <c r="AG259" s="60"/>
      <c r="AH259" s="64"/>
      <c r="AI259" s="64"/>
      <c r="AJ259" s="64"/>
    </row>
    <row r="260" spans="2:36" hidden="1" outlineLevel="1" x14ac:dyDescent="0.25">
      <c r="B260" s="229" t="s">
        <v>195</v>
      </c>
      <c r="E260" s="78" t="s">
        <v>119</v>
      </c>
      <c r="F260" s="21">
        <f t="shared" ref="F260:H260" si="554">F420</f>
        <v>0</v>
      </c>
      <c r="G260" s="21">
        <f t="shared" si="554"/>
        <v>0</v>
      </c>
      <c r="H260" s="21">
        <f t="shared" si="554"/>
        <v>0</v>
      </c>
      <c r="I260" s="85">
        <f t="shared" ref="I260:L260" si="555">IF(X260="",I420,X260)</f>
        <v>0</v>
      </c>
      <c r="J260" s="85">
        <f t="shared" si="555"/>
        <v>0</v>
      </c>
      <c r="K260" s="85">
        <f t="shared" si="555"/>
        <v>0</v>
      </c>
      <c r="L260" s="85">
        <f t="shared" si="555"/>
        <v>0</v>
      </c>
      <c r="M260" s="17">
        <f t="shared" si="525"/>
        <v>0</v>
      </c>
      <c r="N260" s="85">
        <f t="shared" ref="N260:Q260" si="556">IF(AC260="",N420,AC260)</f>
        <v>0</v>
      </c>
      <c r="O260" s="85">
        <f t="shared" si="556"/>
        <v>0</v>
      </c>
      <c r="P260" s="85">
        <f t="shared" si="556"/>
        <v>0</v>
      </c>
      <c r="Q260" s="85">
        <f t="shared" si="556"/>
        <v>0</v>
      </c>
      <c r="R260" s="22">
        <f t="shared" si="527"/>
        <v>0</v>
      </c>
      <c r="S260" s="23">
        <f t="shared" ref="S260:U260" si="557">IF(AH260="",S420,AH260)</f>
        <v>0</v>
      </c>
      <c r="T260" s="23">
        <f t="shared" si="557"/>
        <v>0</v>
      </c>
      <c r="U260" s="23">
        <f t="shared" si="557"/>
        <v>0</v>
      </c>
      <c r="W260" s="78" t="str">
        <f t="shared" si="529"/>
        <v>LIFO Reserves</v>
      </c>
      <c r="X260" s="64"/>
      <c r="Y260" s="64"/>
      <c r="Z260" s="64"/>
      <c r="AA260" s="64"/>
      <c r="AB260" s="60"/>
      <c r="AC260" s="64"/>
      <c r="AD260" s="64"/>
      <c r="AE260" s="64"/>
      <c r="AF260" s="64"/>
      <c r="AG260" s="60"/>
      <c r="AH260" s="64"/>
      <c r="AI260" s="64"/>
      <c r="AJ260" s="64"/>
    </row>
    <row r="261" spans="2:36" hidden="1" outlineLevel="1" x14ac:dyDescent="0.25">
      <c r="B261" s="229" t="s">
        <v>195</v>
      </c>
      <c r="E261" s="78" t="s">
        <v>77</v>
      </c>
      <c r="F261" s="21">
        <f t="shared" ref="F261:H261" si="558">F421</f>
        <v>0</v>
      </c>
      <c r="G261" s="21">
        <f t="shared" si="558"/>
        <v>0</v>
      </c>
      <c r="H261" s="21">
        <f t="shared" si="558"/>
        <v>0</v>
      </c>
      <c r="I261" s="85">
        <f t="shared" ref="I261:L261" si="559">IF(X261="",I421,X261)</f>
        <v>0</v>
      </c>
      <c r="J261" s="85">
        <f t="shared" si="559"/>
        <v>0</v>
      </c>
      <c r="K261" s="85">
        <f t="shared" si="559"/>
        <v>0</v>
      </c>
      <c r="L261" s="85">
        <f t="shared" si="559"/>
        <v>0</v>
      </c>
      <c r="M261" s="17">
        <f t="shared" si="525"/>
        <v>0</v>
      </c>
      <c r="N261" s="85">
        <f t="shared" ref="N261:Q261" si="560">IF(AC261="",N421,AC261)</f>
        <v>0</v>
      </c>
      <c r="O261" s="85">
        <f t="shared" si="560"/>
        <v>0</v>
      </c>
      <c r="P261" s="85">
        <f t="shared" si="560"/>
        <v>0</v>
      </c>
      <c r="Q261" s="85">
        <f t="shared" si="560"/>
        <v>0</v>
      </c>
      <c r="R261" s="22">
        <f t="shared" si="527"/>
        <v>0</v>
      </c>
      <c r="S261" s="23">
        <f t="shared" ref="S261:U261" si="561">IF(AH261="",S421,AH261)</f>
        <v>0</v>
      </c>
      <c r="T261" s="23">
        <f t="shared" si="561"/>
        <v>0</v>
      </c>
      <c r="U261" s="23">
        <f t="shared" si="561"/>
        <v>0</v>
      </c>
      <c r="W261" s="78" t="str">
        <f t="shared" si="529"/>
        <v>blank</v>
      </c>
      <c r="X261" s="64"/>
      <c r="Y261" s="64"/>
      <c r="Z261" s="64"/>
      <c r="AA261" s="64"/>
      <c r="AB261" s="60"/>
      <c r="AC261" s="64"/>
      <c r="AD261" s="64"/>
      <c r="AE261" s="64"/>
      <c r="AF261" s="64"/>
      <c r="AG261" s="60"/>
      <c r="AH261" s="64"/>
      <c r="AI261" s="64"/>
      <c r="AJ261" s="64"/>
    </row>
    <row r="262" spans="2:36" ht="15.75" hidden="1" outlineLevel="1" thickBot="1" x14ac:dyDescent="0.3">
      <c r="E262" s="8" t="s">
        <v>42</v>
      </c>
      <c r="F262" s="9">
        <f>SUM(F252:F261)</f>
        <v>0</v>
      </c>
      <c r="G262" s="9">
        <f t="shared" ref="G262" si="562">SUM(G252:G261)</f>
        <v>0</v>
      </c>
      <c r="H262" s="9">
        <f t="shared" ref="H262" si="563">SUM(H252:H261)</f>
        <v>0</v>
      </c>
      <c r="I262" s="86">
        <f t="shared" ref="I262" si="564">SUM(I252:I261)</f>
        <v>0</v>
      </c>
      <c r="J262" s="86">
        <f t="shared" ref="J262" si="565">SUM(J252:J261)</f>
        <v>0</v>
      </c>
      <c r="K262" s="86">
        <f t="shared" ref="K262" si="566">SUM(K252:K261)</f>
        <v>0</v>
      </c>
      <c r="L262" s="86">
        <f t="shared" ref="L262" si="567">SUM(L252:L261)</f>
        <v>0</v>
      </c>
      <c r="M262" s="18">
        <f t="shared" ref="M262" si="568">SUM(M252:M261)</f>
        <v>0</v>
      </c>
      <c r="N262" s="86">
        <f t="shared" ref="N262" si="569">SUM(N252:N261)</f>
        <v>0</v>
      </c>
      <c r="O262" s="86">
        <f t="shared" ref="O262" si="570">SUM(O252:O261)</f>
        <v>0</v>
      </c>
      <c r="P262" s="86">
        <f t="shared" ref="P262" si="571">SUM(P252:P261)</f>
        <v>0</v>
      </c>
      <c r="Q262" s="86">
        <f t="shared" ref="Q262" si="572">SUM(Q252:Q261)</f>
        <v>0</v>
      </c>
      <c r="R262" s="19">
        <f t="shared" ref="R262" si="573">SUM(R252:R261)</f>
        <v>0</v>
      </c>
      <c r="S262" s="20">
        <f t="shared" ref="S262" si="574">SUM(S252:S261)</f>
        <v>0</v>
      </c>
      <c r="T262" s="20">
        <f t="shared" ref="T262" si="575">SUM(T252:T261)</f>
        <v>0</v>
      </c>
      <c r="U262" s="20">
        <f t="shared" ref="U262" si="576">SUM(U252:U261)</f>
        <v>0</v>
      </c>
    </row>
    <row r="263" spans="2:36" ht="15.75" hidden="1" outlineLevel="1" thickTop="1" x14ac:dyDescent="0.25">
      <c r="M263" s="3"/>
    </row>
    <row r="264" spans="2:36" hidden="1" outlineLevel="1" x14ac:dyDescent="0.25">
      <c r="M264" s="3"/>
    </row>
    <row r="265" spans="2:36" hidden="1" outlineLevel="1" x14ac:dyDescent="0.25">
      <c r="M265" s="3"/>
    </row>
    <row r="266" spans="2:36" hidden="1" outlineLevel="1" x14ac:dyDescent="0.25">
      <c r="E266" s="4" t="s">
        <v>133</v>
      </c>
      <c r="W266" s="4" t="str">
        <f>E266</f>
        <v>Accounts Receivable (Gross Trade Receivables + Allowance for Doubtful Accounts + Intercompany Recievables)</v>
      </c>
    </row>
    <row r="267" spans="2:36" hidden="1" outlineLevel="1" x14ac:dyDescent="0.25">
      <c r="E267" s="6" t="s">
        <v>25</v>
      </c>
      <c r="W267" s="61" t="s">
        <v>62</v>
      </c>
    </row>
    <row r="268" spans="2:36" hidden="1" outlineLevel="1" x14ac:dyDescent="0.25"/>
    <row r="269" spans="2:36" hidden="1" outlineLevel="1" x14ac:dyDescent="0.25">
      <c r="F269" s="12">
        <f>Inputs!$C$7</f>
        <v>2023</v>
      </c>
      <c r="G269" s="12">
        <f>Inputs!$C$8</f>
        <v>2024</v>
      </c>
      <c r="H269" s="12">
        <f>Inputs!$C$9</f>
        <v>2025</v>
      </c>
      <c r="I269" s="13" t="s">
        <v>1</v>
      </c>
      <c r="J269" s="13" t="s">
        <v>2</v>
      </c>
      <c r="K269" s="13" t="s">
        <v>3</v>
      </c>
      <c r="L269" s="13" t="s">
        <v>4</v>
      </c>
      <c r="M269" s="13">
        <f>Inputs!$C$10</f>
        <v>2026</v>
      </c>
      <c r="N269" s="14" t="s">
        <v>1</v>
      </c>
      <c r="O269" s="14" t="s">
        <v>2</v>
      </c>
      <c r="P269" s="14" t="s">
        <v>3</v>
      </c>
      <c r="Q269" s="14" t="s">
        <v>4</v>
      </c>
      <c r="R269" s="15">
        <f>Inputs!$C$11</f>
        <v>2027</v>
      </c>
      <c r="S269" s="16">
        <f>Inputs!$C$12</f>
        <v>2028</v>
      </c>
      <c r="T269" s="16">
        <f>Inputs!$C$13</f>
        <v>2029</v>
      </c>
      <c r="U269" s="16">
        <f>Inputs!$C$14</f>
        <v>2030</v>
      </c>
      <c r="X269" s="13" t="s">
        <v>1</v>
      </c>
      <c r="Y269" s="13" t="s">
        <v>2</v>
      </c>
      <c r="Z269" s="13" t="s">
        <v>3</v>
      </c>
      <c r="AA269" s="13" t="s">
        <v>4</v>
      </c>
      <c r="AB269" s="13">
        <f>Inputs!$C$10</f>
        <v>2026</v>
      </c>
      <c r="AC269" s="14" t="s">
        <v>1</v>
      </c>
      <c r="AD269" s="14" t="s">
        <v>2</v>
      </c>
      <c r="AE269" s="14" t="s">
        <v>3</v>
      </c>
      <c r="AF269" s="14" t="s">
        <v>4</v>
      </c>
      <c r="AG269" s="15">
        <f>Inputs!$C$11</f>
        <v>2027</v>
      </c>
      <c r="AH269" s="16">
        <f>Inputs!$C$12</f>
        <v>2028</v>
      </c>
      <c r="AI269" s="16">
        <f>Inputs!$C$13</f>
        <v>2029</v>
      </c>
      <c r="AJ269" s="16">
        <f>Inputs!$C$14</f>
        <v>2030</v>
      </c>
    </row>
    <row r="270" spans="2:36" hidden="1" outlineLevel="1" x14ac:dyDescent="0.25">
      <c r="F270" s="71" t="s">
        <v>63</v>
      </c>
      <c r="G270" s="71" t="s">
        <v>63</v>
      </c>
      <c r="H270" s="71" t="s">
        <v>63</v>
      </c>
      <c r="I270" s="71" t="s">
        <v>63</v>
      </c>
      <c r="J270" s="71" t="s">
        <v>63</v>
      </c>
      <c r="K270" s="71" t="s">
        <v>63</v>
      </c>
      <c r="L270" s="71" t="s">
        <v>63</v>
      </c>
      <c r="M270" s="71" t="s">
        <v>63</v>
      </c>
      <c r="N270" s="71" t="s">
        <v>63</v>
      </c>
      <c r="O270" s="71" t="s">
        <v>63</v>
      </c>
      <c r="P270" s="71" t="s">
        <v>63</v>
      </c>
      <c r="Q270" s="71" t="s">
        <v>63</v>
      </c>
      <c r="R270" s="71" t="s">
        <v>63</v>
      </c>
      <c r="S270" s="71" t="s">
        <v>63</v>
      </c>
      <c r="T270" s="71" t="s">
        <v>63</v>
      </c>
      <c r="U270" s="71" t="s">
        <v>63</v>
      </c>
      <c r="X270" s="63" t="s">
        <v>30</v>
      </c>
      <c r="Y270" s="63" t="s">
        <v>30</v>
      </c>
      <c r="Z270" s="63" t="s">
        <v>30</v>
      </c>
      <c r="AA270" s="63" t="s">
        <v>30</v>
      </c>
      <c r="AB270" s="62"/>
      <c r="AC270" s="63" t="s">
        <v>30</v>
      </c>
      <c r="AD270" s="63" t="s">
        <v>30</v>
      </c>
      <c r="AE270" s="63" t="s">
        <v>30</v>
      </c>
      <c r="AF270" s="63" t="s">
        <v>30</v>
      </c>
      <c r="AG270" s="62"/>
      <c r="AH270" s="63" t="s">
        <v>30</v>
      </c>
      <c r="AI270" s="63" t="s">
        <v>30</v>
      </c>
      <c r="AJ270" s="63" t="s">
        <v>30</v>
      </c>
    </row>
    <row r="271" spans="2:36" hidden="1" outlineLevel="1" x14ac:dyDescent="0.25">
      <c r="B271" s="229" t="s">
        <v>195</v>
      </c>
      <c r="C271" s="229"/>
      <c r="E271" s="78" t="s">
        <v>120</v>
      </c>
      <c r="F271" s="21">
        <f>F431</f>
        <v>0</v>
      </c>
      <c r="G271" s="21">
        <f t="shared" ref="G271:H271" si="577">G431</f>
        <v>0</v>
      </c>
      <c r="H271" s="21">
        <f t="shared" si="577"/>
        <v>0</v>
      </c>
      <c r="I271" s="85">
        <f>IF(X271="",I431,X271)</f>
        <v>0</v>
      </c>
      <c r="J271" s="85">
        <f t="shared" ref="J271:J280" si="578">IF(Y271="",J431,Y271)</f>
        <v>0</v>
      </c>
      <c r="K271" s="85">
        <f t="shared" ref="K271:K280" si="579">IF(Z271="",K431,Z271)</f>
        <v>0</v>
      </c>
      <c r="L271" s="85">
        <f t="shared" ref="L271:L280" si="580">IF(AA271="",L431,AA271)</f>
        <v>0</v>
      </c>
      <c r="M271" s="17">
        <f>L271</f>
        <v>0</v>
      </c>
      <c r="N271" s="85">
        <f t="shared" ref="N271:N280" si="581">IF(AC271="",N431,AC271)</f>
        <v>0</v>
      </c>
      <c r="O271" s="85">
        <f t="shared" ref="O271:O280" si="582">IF(AD271="",O431,AD271)</f>
        <v>0</v>
      </c>
      <c r="P271" s="85">
        <f t="shared" ref="P271:P280" si="583">IF(AE271="",P431,AE271)</f>
        <v>0</v>
      </c>
      <c r="Q271" s="85">
        <f t="shared" ref="Q271:Q280" si="584">IF(AF271="",Q431,AF271)</f>
        <v>0</v>
      </c>
      <c r="R271" s="22">
        <f>Q271</f>
        <v>0</v>
      </c>
      <c r="S271" s="23">
        <f t="shared" ref="S271:S280" si="585">IF(AH271="",S431,AH271)</f>
        <v>0</v>
      </c>
      <c r="T271" s="23">
        <f t="shared" ref="T271:T280" si="586">IF(AI271="",T431,AI271)</f>
        <v>0</v>
      </c>
      <c r="U271" s="23">
        <f t="shared" ref="U271:U280" si="587">IF(AJ271="",U431,AJ271)</f>
        <v>0</v>
      </c>
      <c r="W271" s="78" t="str">
        <f t="shared" ref="W271:W280" si="588">E271</f>
        <v>Trade Account Receivable</v>
      </c>
      <c r="X271" s="64"/>
      <c r="Y271" s="64"/>
      <c r="Z271" s="64"/>
      <c r="AA271" s="64"/>
      <c r="AB271" s="60"/>
      <c r="AC271" s="64"/>
      <c r="AD271" s="64"/>
      <c r="AE271" s="64"/>
      <c r="AF271" s="64"/>
      <c r="AG271" s="60"/>
      <c r="AH271" s="64"/>
      <c r="AI271" s="64"/>
      <c r="AJ271" s="64"/>
    </row>
    <row r="272" spans="2:36" hidden="1" outlineLevel="1" x14ac:dyDescent="0.25">
      <c r="B272" s="229" t="s">
        <v>195</v>
      </c>
      <c r="C272" s="229"/>
      <c r="E272" s="78" t="s">
        <v>122</v>
      </c>
      <c r="F272" s="21">
        <f t="shared" ref="F272:H272" si="589">F432</f>
        <v>0</v>
      </c>
      <c r="G272" s="21">
        <f t="shared" si="589"/>
        <v>0</v>
      </c>
      <c r="H272" s="21">
        <f t="shared" si="589"/>
        <v>0</v>
      </c>
      <c r="I272" s="85">
        <f t="shared" ref="I272:I280" si="590">IF(X272="",I432,X272)</f>
        <v>0</v>
      </c>
      <c r="J272" s="85">
        <f t="shared" si="578"/>
        <v>0</v>
      </c>
      <c r="K272" s="85">
        <f t="shared" si="579"/>
        <v>0</v>
      </c>
      <c r="L272" s="85">
        <f t="shared" si="580"/>
        <v>0</v>
      </c>
      <c r="M272" s="17">
        <f t="shared" ref="M272:M280" si="591">L272</f>
        <v>0</v>
      </c>
      <c r="N272" s="85">
        <f t="shared" si="581"/>
        <v>0</v>
      </c>
      <c r="O272" s="85">
        <f t="shared" si="582"/>
        <v>0</v>
      </c>
      <c r="P272" s="85">
        <f t="shared" si="583"/>
        <v>0</v>
      </c>
      <c r="Q272" s="85">
        <f t="shared" si="584"/>
        <v>0</v>
      </c>
      <c r="R272" s="22">
        <f t="shared" ref="R272:R280" si="592">Q272</f>
        <v>0</v>
      </c>
      <c r="S272" s="23">
        <f t="shared" si="585"/>
        <v>0</v>
      </c>
      <c r="T272" s="23">
        <f t="shared" si="586"/>
        <v>0</v>
      </c>
      <c r="U272" s="23">
        <f t="shared" si="587"/>
        <v>0</v>
      </c>
      <c r="W272" s="78" t="str">
        <f t="shared" si="588"/>
        <v>Notes Receivable</v>
      </c>
      <c r="X272" s="64"/>
      <c r="Y272" s="64"/>
      <c r="Z272" s="64"/>
      <c r="AA272" s="64"/>
      <c r="AB272" s="60"/>
      <c r="AC272" s="64"/>
      <c r="AD272" s="64"/>
      <c r="AE272" s="64"/>
      <c r="AF272" s="64"/>
      <c r="AG272" s="60"/>
      <c r="AH272" s="64"/>
      <c r="AI272" s="64"/>
      <c r="AJ272" s="64"/>
    </row>
    <row r="273" spans="2:36" hidden="1" outlineLevel="1" x14ac:dyDescent="0.25">
      <c r="B273" s="229" t="s">
        <v>195</v>
      </c>
      <c r="C273" s="229"/>
      <c r="E273" s="78" t="s">
        <v>123</v>
      </c>
      <c r="F273" s="21">
        <f t="shared" ref="F273:H273" si="593">F433</f>
        <v>0</v>
      </c>
      <c r="G273" s="21">
        <f t="shared" si="593"/>
        <v>0</v>
      </c>
      <c r="H273" s="21">
        <f t="shared" si="593"/>
        <v>0</v>
      </c>
      <c r="I273" s="85">
        <f t="shared" si="590"/>
        <v>0</v>
      </c>
      <c r="J273" s="85">
        <f t="shared" si="578"/>
        <v>0</v>
      </c>
      <c r="K273" s="85">
        <f t="shared" si="579"/>
        <v>0</v>
      </c>
      <c r="L273" s="85">
        <f t="shared" si="580"/>
        <v>0</v>
      </c>
      <c r="M273" s="17">
        <f t="shared" si="591"/>
        <v>0</v>
      </c>
      <c r="N273" s="85">
        <f t="shared" si="581"/>
        <v>0</v>
      </c>
      <c r="O273" s="85">
        <f t="shared" si="582"/>
        <v>0</v>
      </c>
      <c r="P273" s="85">
        <f t="shared" si="583"/>
        <v>0</v>
      </c>
      <c r="Q273" s="85">
        <f t="shared" si="584"/>
        <v>0</v>
      </c>
      <c r="R273" s="22">
        <f t="shared" si="592"/>
        <v>0</v>
      </c>
      <c r="S273" s="23">
        <f t="shared" si="585"/>
        <v>0</v>
      </c>
      <c r="T273" s="23">
        <f t="shared" si="586"/>
        <v>0</v>
      </c>
      <c r="U273" s="23">
        <f t="shared" si="587"/>
        <v>0</v>
      </c>
      <c r="W273" s="78" t="str">
        <f t="shared" si="588"/>
        <v>Sales Lease Receivable</v>
      </c>
      <c r="X273" s="64"/>
      <c r="Y273" s="64"/>
      <c r="Z273" s="64"/>
      <c r="AA273" s="64"/>
      <c r="AB273" s="60"/>
      <c r="AC273" s="64"/>
      <c r="AD273" s="64"/>
      <c r="AE273" s="64"/>
      <c r="AF273" s="64"/>
      <c r="AG273" s="60"/>
      <c r="AH273" s="64"/>
      <c r="AI273" s="64"/>
      <c r="AJ273" s="64"/>
    </row>
    <row r="274" spans="2:36" hidden="1" outlineLevel="1" x14ac:dyDescent="0.25">
      <c r="B274" s="229" t="s">
        <v>195</v>
      </c>
      <c r="C274" s="229"/>
      <c r="E274" s="78" t="s">
        <v>121</v>
      </c>
      <c r="F274" s="21">
        <f t="shared" ref="F274:H274" si="594">F434</f>
        <v>0</v>
      </c>
      <c r="G274" s="21">
        <f t="shared" si="594"/>
        <v>0</v>
      </c>
      <c r="H274" s="21">
        <f t="shared" si="594"/>
        <v>0</v>
      </c>
      <c r="I274" s="85">
        <f t="shared" si="590"/>
        <v>0</v>
      </c>
      <c r="J274" s="85">
        <f t="shared" si="578"/>
        <v>0</v>
      </c>
      <c r="K274" s="85">
        <f t="shared" si="579"/>
        <v>0</v>
      </c>
      <c r="L274" s="85">
        <f t="shared" si="580"/>
        <v>0</v>
      </c>
      <c r="M274" s="17">
        <f t="shared" si="591"/>
        <v>0</v>
      </c>
      <c r="N274" s="85">
        <f t="shared" si="581"/>
        <v>0</v>
      </c>
      <c r="O274" s="85">
        <f t="shared" si="582"/>
        <v>0</v>
      </c>
      <c r="P274" s="85">
        <f t="shared" si="583"/>
        <v>0</v>
      </c>
      <c r="Q274" s="85">
        <f t="shared" si="584"/>
        <v>0</v>
      </c>
      <c r="R274" s="22">
        <f t="shared" si="592"/>
        <v>0</v>
      </c>
      <c r="S274" s="23">
        <f t="shared" si="585"/>
        <v>0</v>
      </c>
      <c r="T274" s="23">
        <f t="shared" si="586"/>
        <v>0</v>
      </c>
      <c r="U274" s="23">
        <f t="shared" si="587"/>
        <v>0</v>
      </c>
      <c r="W274" s="78" t="str">
        <f t="shared" si="588"/>
        <v>Unbilled AR and Other Receivables</v>
      </c>
      <c r="X274" s="64"/>
      <c r="Y274" s="64"/>
      <c r="Z274" s="64"/>
      <c r="AA274" s="64"/>
      <c r="AB274" s="60"/>
      <c r="AC274" s="64"/>
      <c r="AD274" s="64"/>
      <c r="AE274" s="64"/>
      <c r="AF274" s="64"/>
      <c r="AG274" s="60"/>
      <c r="AH274" s="64"/>
      <c r="AI274" s="64"/>
      <c r="AJ274" s="64"/>
    </row>
    <row r="275" spans="2:36" hidden="1" outlineLevel="1" x14ac:dyDescent="0.25">
      <c r="B275" s="229" t="s">
        <v>195</v>
      </c>
      <c r="C275" s="229"/>
      <c r="E275" s="78" t="s">
        <v>41</v>
      </c>
      <c r="F275" s="21">
        <f t="shared" ref="F275:H275" si="595">F435</f>
        <v>0</v>
      </c>
      <c r="G275" s="21">
        <f t="shared" si="595"/>
        <v>0</v>
      </c>
      <c r="H275" s="21">
        <f t="shared" si="595"/>
        <v>0</v>
      </c>
      <c r="I275" s="85">
        <f t="shared" si="590"/>
        <v>0</v>
      </c>
      <c r="J275" s="85">
        <f t="shared" si="578"/>
        <v>0</v>
      </c>
      <c r="K275" s="85">
        <f t="shared" si="579"/>
        <v>0</v>
      </c>
      <c r="L275" s="85">
        <f t="shared" si="580"/>
        <v>0</v>
      </c>
      <c r="M275" s="17">
        <f t="shared" si="591"/>
        <v>0</v>
      </c>
      <c r="N275" s="85">
        <f t="shared" si="581"/>
        <v>0</v>
      </c>
      <c r="O275" s="85">
        <f t="shared" si="582"/>
        <v>0</v>
      </c>
      <c r="P275" s="85">
        <f t="shared" si="583"/>
        <v>0</v>
      </c>
      <c r="Q275" s="85">
        <f t="shared" si="584"/>
        <v>0</v>
      </c>
      <c r="R275" s="22">
        <f t="shared" si="592"/>
        <v>0</v>
      </c>
      <c r="S275" s="23">
        <f t="shared" si="585"/>
        <v>0</v>
      </c>
      <c r="T275" s="23">
        <f t="shared" si="586"/>
        <v>0</v>
      </c>
      <c r="U275" s="23">
        <f t="shared" si="587"/>
        <v>0</v>
      </c>
      <c r="W275" s="78" t="str">
        <f t="shared" si="588"/>
        <v>Allowance for Doubtful Accounts</v>
      </c>
      <c r="X275" s="64"/>
      <c r="Y275" s="64"/>
      <c r="Z275" s="64"/>
      <c r="AA275" s="64"/>
      <c r="AB275" s="60"/>
      <c r="AC275" s="64"/>
      <c r="AD275" s="64"/>
      <c r="AE275" s="64"/>
      <c r="AF275" s="64"/>
      <c r="AG275" s="60"/>
      <c r="AH275" s="64"/>
      <c r="AI275" s="64"/>
      <c r="AJ275" s="64"/>
    </row>
    <row r="276" spans="2:36" hidden="1" outlineLevel="1" x14ac:dyDescent="0.25">
      <c r="B276" s="229" t="s">
        <v>195</v>
      </c>
      <c r="C276" s="229"/>
      <c r="E276" s="78" t="s">
        <v>124</v>
      </c>
      <c r="F276" s="21">
        <f t="shared" ref="F276:H276" si="596">F436</f>
        <v>0</v>
      </c>
      <c r="G276" s="21">
        <f t="shared" si="596"/>
        <v>0</v>
      </c>
      <c r="H276" s="21">
        <f t="shared" si="596"/>
        <v>0</v>
      </c>
      <c r="I276" s="85">
        <f t="shared" si="590"/>
        <v>0</v>
      </c>
      <c r="J276" s="85">
        <f t="shared" si="578"/>
        <v>0</v>
      </c>
      <c r="K276" s="85">
        <f t="shared" si="579"/>
        <v>0</v>
      </c>
      <c r="L276" s="85">
        <f t="shared" si="580"/>
        <v>0</v>
      </c>
      <c r="M276" s="17">
        <f t="shared" si="591"/>
        <v>0</v>
      </c>
      <c r="N276" s="85">
        <f t="shared" si="581"/>
        <v>0</v>
      </c>
      <c r="O276" s="85">
        <f t="shared" si="582"/>
        <v>0</v>
      </c>
      <c r="P276" s="85">
        <f t="shared" si="583"/>
        <v>0</v>
      </c>
      <c r="Q276" s="85">
        <f t="shared" si="584"/>
        <v>0</v>
      </c>
      <c r="R276" s="22">
        <f t="shared" si="592"/>
        <v>0</v>
      </c>
      <c r="S276" s="23">
        <f t="shared" si="585"/>
        <v>0</v>
      </c>
      <c r="T276" s="23">
        <f t="shared" si="586"/>
        <v>0</v>
      </c>
      <c r="U276" s="23">
        <f t="shared" si="587"/>
        <v>0</v>
      </c>
      <c r="W276" s="78" t="str">
        <f t="shared" si="588"/>
        <v>Interco Receivables</v>
      </c>
      <c r="X276" s="64"/>
      <c r="Y276" s="64"/>
      <c r="Z276" s="64"/>
      <c r="AA276" s="64"/>
      <c r="AB276" s="60"/>
      <c r="AC276" s="64"/>
      <c r="AD276" s="64"/>
      <c r="AE276" s="64"/>
      <c r="AF276" s="64"/>
      <c r="AG276" s="60"/>
      <c r="AH276" s="64"/>
      <c r="AI276" s="64"/>
      <c r="AJ276" s="64"/>
    </row>
    <row r="277" spans="2:36" hidden="1" outlineLevel="1" x14ac:dyDescent="0.25">
      <c r="B277" s="229" t="s">
        <v>195</v>
      </c>
      <c r="C277" s="229"/>
      <c r="E277" s="78" t="s">
        <v>77</v>
      </c>
      <c r="F277" s="21">
        <f t="shared" ref="F277:H277" si="597">F437</f>
        <v>0</v>
      </c>
      <c r="G277" s="21">
        <f t="shared" si="597"/>
        <v>0</v>
      </c>
      <c r="H277" s="21">
        <f t="shared" si="597"/>
        <v>0</v>
      </c>
      <c r="I277" s="85">
        <f t="shared" si="590"/>
        <v>0</v>
      </c>
      <c r="J277" s="85">
        <f t="shared" si="578"/>
        <v>0</v>
      </c>
      <c r="K277" s="85">
        <f t="shared" si="579"/>
        <v>0</v>
      </c>
      <c r="L277" s="85">
        <f t="shared" si="580"/>
        <v>0</v>
      </c>
      <c r="M277" s="17">
        <f t="shared" si="591"/>
        <v>0</v>
      </c>
      <c r="N277" s="85">
        <f t="shared" si="581"/>
        <v>0</v>
      </c>
      <c r="O277" s="85">
        <f t="shared" si="582"/>
        <v>0</v>
      </c>
      <c r="P277" s="85">
        <f t="shared" si="583"/>
        <v>0</v>
      </c>
      <c r="Q277" s="85">
        <f t="shared" si="584"/>
        <v>0</v>
      </c>
      <c r="R277" s="22">
        <f t="shared" si="592"/>
        <v>0</v>
      </c>
      <c r="S277" s="23">
        <f t="shared" si="585"/>
        <v>0</v>
      </c>
      <c r="T277" s="23">
        <f t="shared" si="586"/>
        <v>0</v>
      </c>
      <c r="U277" s="23">
        <f t="shared" si="587"/>
        <v>0</v>
      </c>
      <c r="W277" s="78" t="str">
        <f t="shared" si="588"/>
        <v>blank</v>
      </c>
      <c r="X277" s="64"/>
      <c r="Y277" s="64"/>
      <c r="Z277" s="64"/>
      <c r="AA277" s="64"/>
      <c r="AB277" s="60"/>
      <c r="AC277" s="64"/>
      <c r="AD277" s="64"/>
      <c r="AE277" s="64"/>
      <c r="AF277" s="64"/>
      <c r="AG277" s="60"/>
      <c r="AH277" s="64"/>
      <c r="AI277" s="64"/>
      <c r="AJ277" s="64"/>
    </row>
    <row r="278" spans="2:36" hidden="1" outlineLevel="1" x14ac:dyDescent="0.25">
      <c r="B278" s="229" t="s">
        <v>195</v>
      </c>
      <c r="C278" s="229"/>
      <c r="E278" s="78" t="s">
        <v>77</v>
      </c>
      <c r="F278" s="21">
        <f t="shared" ref="F278:H278" si="598">F438</f>
        <v>0</v>
      </c>
      <c r="G278" s="21">
        <f t="shared" si="598"/>
        <v>0</v>
      </c>
      <c r="H278" s="21">
        <f t="shared" si="598"/>
        <v>0</v>
      </c>
      <c r="I278" s="85">
        <f t="shared" si="590"/>
        <v>0</v>
      </c>
      <c r="J278" s="85">
        <f t="shared" si="578"/>
        <v>0</v>
      </c>
      <c r="K278" s="85">
        <f t="shared" si="579"/>
        <v>0</v>
      </c>
      <c r="L278" s="85">
        <f t="shared" si="580"/>
        <v>0</v>
      </c>
      <c r="M278" s="17">
        <f t="shared" si="591"/>
        <v>0</v>
      </c>
      <c r="N278" s="85">
        <f t="shared" si="581"/>
        <v>0</v>
      </c>
      <c r="O278" s="85">
        <f t="shared" si="582"/>
        <v>0</v>
      </c>
      <c r="P278" s="85">
        <f t="shared" si="583"/>
        <v>0</v>
      </c>
      <c r="Q278" s="85">
        <f t="shared" si="584"/>
        <v>0</v>
      </c>
      <c r="R278" s="22">
        <f t="shared" si="592"/>
        <v>0</v>
      </c>
      <c r="S278" s="23">
        <f t="shared" si="585"/>
        <v>0</v>
      </c>
      <c r="T278" s="23">
        <f t="shared" si="586"/>
        <v>0</v>
      </c>
      <c r="U278" s="23">
        <f t="shared" si="587"/>
        <v>0</v>
      </c>
      <c r="W278" s="78" t="str">
        <f t="shared" si="588"/>
        <v>blank</v>
      </c>
      <c r="X278" s="64"/>
      <c r="Y278" s="64"/>
      <c r="Z278" s="64"/>
      <c r="AA278" s="64"/>
      <c r="AB278" s="60"/>
      <c r="AC278" s="64"/>
      <c r="AD278" s="64"/>
      <c r="AE278" s="64"/>
      <c r="AF278" s="64"/>
      <c r="AG278" s="60"/>
      <c r="AH278" s="64"/>
      <c r="AI278" s="64"/>
      <c r="AJ278" s="64"/>
    </row>
    <row r="279" spans="2:36" hidden="1" outlineLevel="1" x14ac:dyDescent="0.25">
      <c r="B279" s="229" t="s">
        <v>195</v>
      </c>
      <c r="C279" s="229"/>
      <c r="E279" s="78" t="s">
        <v>77</v>
      </c>
      <c r="F279" s="21">
        <f t="shared" ref="F279:H279" si="599">F439</f>
        <v>0</v>
      </c>
      <c r="G279" s="21">
        <f t="shared" si="599"/>
        <v>0</v>
      </c>
      <c r="H279" s="21">
        <f t="shared" si="599"/>
        <v>0</v>
      </c>
      <c r="I279" s="85">
        <f t="shared" si="590"/>
        <v>0</v>
      </c>
      <c r="J279" s="85">
        <f t="shared" si="578"/>
        <v>0</v>
      </c>
      <c r="K279" s="85">
        <f t="shared" si="579"/>
        <v>0</v>
      </c>
      <c r="L279" s="85">
        <f t="shared" si="580"/>
        <v>0</v>
      </c>
      <c r="M279" s="17">
        <f t="shared" si="591"/>
        <v>0</v>
      </c>
      <c r="N279" s="85">
        <f t="shared" si="581"/>
        <v>0</v>
      </c>
      <c r="O279" s="85">
        <f t="shared" si="582"/>
        <v>0</v>
      </c>
      <c r="P279" s="85">
        <f t="shared" si="583"/>
        <v>0</v>
      </c>
      <c r="Q279" s="85">
        <f t="shared" si="584"/>
        <v>0</v>
      </c>
      <c r="R279" s="22">
        <f t="shared" si="592"/>
        <v>0</v>
      </c>
      <c r="S279" s="23">
        <f t="shared" si="585"/>
        <v>0</v>
      </c>
      <c r="T279" s="23">
        <f t="shared" si="586"/>
        <v>0</v>
      </c>
      <c r="U279" s="23">
        <f t="shared" si="587"/>
        <v>0</v>
      </c>
      <c r="W279" s="78" t="str">
        <f t="shared" si="588"/>
        <v>blank</v>
      </c>
      <c r="X279" s="64"/>
      <c r="Y279" s="64"/>
      <c r="Z279" s="64"/>
      <c r="AA279" s="64"/>
      <c r="AB279" s="60"/>
      <c r="AC279" s="64"/>
      <c r="AD279" s="64"/>
      <c r="AE279" s="64"/>
      <c r="AF279" s="64"/>
      <c r="AG279" s="60"/>
      <c r="AH279" s="64"/>
      <c r="AI279" s="64"/>
      <c r="AJ279" s="64"/>
    </row>
    <row r="280" spans="2:36" hidden="1" outlineLevel="1" x14ac:dyDescent="0.25">
      <c r="B280" s="229" t="s">
        <v>195</v>
      </c>
      <c r="C280" s="229"/>
      <c r="E280" s="78" t="s">
        <v>77</v>
      </c>
      <c r="F280" s="21">
        <f t="shared" ref="F280:H280" si="600">F440</f>
        <v>0</v>
      </c>
      <c r="G280" s="21">
        <f t="shared" si="600"/>
        <v>0</v>
      </c>
      <c r="H280" s="21">
        <f t="shared" si="600"/>
        <v>0</v>
      </c>
      <c r="I280" s="85">
        <f t="shared" si="590"/>
        <v>0</v>
      </c>
      <c r="J280" s="85">
        <f t="shared" si="578"/>
        <v>0</v>
      </c>
      <c r="K280" s="85">
        <f t="shared" si="579"/>
        <v>0</v>
      </c>
      <c r="L280" s="85">
        <f t="shared" si="580"/>
        <v>0</v>
      </c>
      <c r="M280" s="17">
        <f t="shared" si="591"/>
        <v>0</v>
      </c>
      <c r="N280" s="85">
        <f t="shared" si="581"/>
        <v>0</v>
      </c>
      <c r="O280" s="85">
        <f t="shared" si="582"/>
        <v>0</v>
      </c>
      <c r="P280" s="85">
        <f t="shared" si="583"/>
        <v>0</v>
      </c>
      <c r="Q280" s="85">
        <f t="shared" si="584"/>
        <v>0</v>
      </c>
      <c r="R280" s="22">
        <f t="shared" si="592"/>
        <v>0</v>
      </c>
      <c r="S280" s="23">
        <f t="shared" si="585"/>
        <v>0</v>
      </c>
      <c r="T280" s="23">
        <f t="shared" si="586"/>
        <v>0</v>
      </c>
      <c r="U280" s="23">
        <f t="shared" si="587"/>
        <v>0</v>
      </c>
      <c r="W280" s="78" t="str">
        <f t="shared" si="588"/>
        <v>blank</v>
      </c>
      <c r="X280" s="64"/>
      <c r="Y280" s="64"/>
      <c r="Z280" s="64"/>
      <c r="AA280" s="64"/>
      <c r="AB280" s="60"/>
      <c r="AC280" s="64"/>
      <c r="AD280" s="64"/>
      <c r="AE280" s="64"/>
      <c r="AF280" s="64"/>
      <c r="AG280" s="60"/>
      <c r="AH280" s="64"/>
      <c r="AI280" s="64"/>
      <c r="AJ280" s="64"/>
    </row>
    <row r="281" spans="2:36" ht="15.75" hidden="1" outlineLevel="1" thickBot="1" x14ac:dyDescent="0.3">
      <c r="E281" s="8" t="s">
        <v>125</v>
      </c>
      <c r="F281" s="9">
        <f>SUM(F271:F280)</f>
        <v>0</v>
      </c>
      <c r="G281" s="9">
        <f t="shared" ref="G281" si="601">SUM(G271:G280)</f>
        <v>0</v>
      </c>
      <c r="H281" s="9">
        <f t="shared" ref="H281" si="602">SUM(H271:H280)</f>
        <v>0</v>
      </c>
      <c r="I281" s="86">
        <f t="shared" ref="I281" si="603">SUM(I271:I280)</f>
        <v>0</v>
      </c>
      <c r="J281" s="86">
        <f t="shared" ref="J281" si="604">SUM(J271:J280)</f>
        <v>0</v>
      </c>
      <c r="K281" s="86">
        <f t="shared" ref="K281" si="605">SUM(K271:K280)</f>
        <v>0</v>
      </c>
      <c r="L281" s="86">
        <f t="shared" ref="L281" si="606">SUM(L271:L280)</f>
        <v>0</v>
      </c>
      <c r="M281" s="18">
        <f t="shared" ref="M281" si="607">SUM(M271:M280)</f>
        <v>0</v>
      </c>
      <c r="N281" s="86">
        <f t="shared" ref="N281" si="608">SUM(N271:N280)</f>
        <v>0</v>
      </c>
      <c r="O281" s="86">
        <f t="shared" ref="O281" si="609">SUM(O271:O280)</f>
        <v>0</v>
      </c>
      <c r="P281" s="86">
        <f t="shared" ref="P281" si="610">SUM(P271:P280)</f>
        <v>0</v>
      </c>
      <c r="Q281" s="86">
        <f t="shared" ref="Q281" si="611">SUM(Q271:Q280)</f>
        <v>0</v>
      </c>
      <c r="R281" s="19">
        <f t="shared" ref="R281" si="612">SUM(R271:R280)</f>
        <v>0</v>
      </c>
      <c r="S281" s="20">
        <f t="shared" ref="S281" si="613">SUM(S271:S280)</f>
        <v>0</v>
      </c>
      <c r="T281" s="20">
        <f t="shared" ref="T281" si="614">SUM(T271:T280)</f>
        <v>0</v>
      </c>
      <c r="U281" s="20">
        <f t="shared" ref="U281" si="615">SUM(U271:U280)</f>
        <v>0</v>
      </c>
    </row>
    <row r="282" spans="2:36" ht="15.75" hidden="1" outlineLevel="1" thickTop="1" x14ac:dyDescent="0.25"/>
    <row r="283" spans="2:36" hidden="1" outlineLevel="1" x14ac:dyDescent="0.25"/>
    <row r="284" spans="2:36" hidden="1" outlineLevel="1" x14ac:dyDescent="0.25"/>
    <row r="285" spans="2:36" hidden="1" outlineLevel="1" x14ac:dyDescent="0.25">
      <c r="E285" s="4" t="s">
        <v>128</v>
      </c>
      <c r="W285" s="4" t="str">
        <f>E285</f>
        <v>Accounts Payable (Trade Accts Payable + Current Notes Payable + Intercompany Payables)</v>
      </c>
    </row>
    <row r="286" spans="2:36" hidden="1" outlineLevel="1" x14ac:dyDescent="0.25">
      <c r="E286" s="6" t="s">
        <v>25</v>
      </c>
      <c r="W286" s="61" t="s">
        <v>62</v>
      </c>
    </row>
    <row r="287" spans="2:36" hidden="1" outlineLevel="1" x14ac:dyDescent="0.25"/>
    <row r="288" spans="2:36" hidden="1" outlineLevel="1" x14ac:dyDescent="0.25">
      <c r="F288" s="12">
        <f>Inputs!$C$7</f>
        <v>2023</v>
      </c>
      <c r="G288" s="12">
        <f>Inputs!$C$8</f>
        <v>2024</v>
      </c>
      <c r="H288" s="12">
        <f>Inputs!$C$9</f>
        <v>2025</v>
      </c>
      <c r="I288" s="13" t="s">
        <v>1</v>
      </c>
      <c r="J288" s="13" t="s">
        <v>2</v>
      </c>
      <c r="K288" s="13" t="s">
        <v>3</v>
      </c>
      <c r="L288" s="13" t="s">
        <v>4</v>
      </c>
      <c r="M288" s="13">
        <f>Inputs!$C$10</f>
        <v>2026</v>
      </c>
      <c r="N288" s="14" t="s">
        <v>1</v>
      </c>
      <c r="O288" s="14" t="s">
        <v>2</v>
      </c>
      <c r="P288" s="14" t="s">
        <v>3</v>
      </c>
      <c r="Q288" s="14" t="s">
        <v>4</v>
      </c>
      <c r="R288" s="15">
        <f>Inputs!$C$11</f>
        <v>2027</v>
      </c>
      <c r="S288" s="16">
        <f>Inputs!$C$12</f>
        <v>2028</v>
      </c>
      <c r="T288" s="16">
        <f>Inputs!$C$13</f>
        <v>2029</v>
      </c>
      <c r="U288" s="16">
        <f>Inputs!$C$14</f>
        <v>2030</v>
      </c>
      <c r="X288" s="13" t="s">
        <v>1</v>
      </c>
      <c r="Y288" s="13" t="s">
        <v>2</v>
      </c>
      <c r="Z288" s="13" t="s">
        <v>3</v>
      </c>
      <c r="AA288" s="13" t="s">
        <v>4</v>
      </c>
      <c r="AB288" s="13">
        <f>Inputs!$C$10</f>
        <v>2026</v>
      </c>
      <c r="AC288" s="14" t="s">
        <v>1</v>
      </c>
      <c r="AD288" s="14" t="s">
        <v>2</v>
      </c>
      <c r="AE288" s="14" t="s">
        <v>3</v>
      </c>
      <c r="AF288" s="14" t="s">
        <v>4</v>
      </c>
      <c r="AG288" s="15">
        <f>Inputs!$C$11</f>
        <v>2027</v>
      </c>
      <c r="AH288" s="16">
        <f>Inputs!$C$12</f>
        <v>2028</v>
      </c>
      <c r="AI288" s="16">
        <f>Inputs!$C$13</f>
        <v>2029</v>
      </c>
      <c r="AJ288" s="16">
        <f>Inputs!$C$14</f>
        <v>2030</v>
      </c>
    </row>
    <row r="289" spans="2:36" hidden="1" outlineLevel="1" x14ac:dyDescent="0.25">
      <c r="F289" s="71" t="s">
        <v>63</v>
      </c>
      <c r="G289" s="71" t="s">
        <v>63</v>
      </c>
      <c r="H289" s="71" t="s">
        <v>63</v>
      </c>
      <c r="I289" s="71" t="s">
        <v>63</v>
      </c>
      <c r="J289" s="71" t="s">
        <v>63</v>
      </c>
      <c r="K289" s="71" t="s">
        <v>63</v>
      </c>
      <c r="L289" s="71" t="s">
        <v>63</v>
      </c>
      <c r="M289" s="71" t="s">
        <v>63</v>
      </c>
      <c r="N289" s="71" t="s">
        <v>63</v>
      </c>
      <c r="O289" s="71" t="s">
        <v>63</v>
      </c>
      <c r="P289" s="71" t="s">
        <v>63</v>
      </c>
      <c r="Q289" s="71" t="s">
        <v>63</v>
      </c>
      <c r="R289" s="71" t="s">
        <v>63</v>
      </c>
      <c r="S289" s="71" t="s">
        <v>63</v>
      </c>
      <c r="T289" s="71" t="s">
        <v>63</v>
      </c>
      <c r="U289" s="71" t="s">
        <v>63</v>
      </c>
      <c r="X289" s="63" t="s">
        <v>30</v>
      </c>
      <c r="Y289" s="63" t="s">
        <v>30</v>
      </c>
      <c r="Z289" s="63" t="s">
        <v>30</v>
      </c>
      <c r="AA289" s="63" t="s">
        <v>30</v>
      </c>
      <c r="AB289" s="62"/>
      <c r="AC289" s="63" t="s">
        <v>30</v>
      </c>
      <c r="AD289" s="63" t="s">
        <v>30</v>
      </c>
      <c r="AE289" s="63" t="s">
        <v>30</v>
      </c>
      <c r="AF289" s="63" t="s">
        <v>30</v>
      </c>
      <c r="AG289" s="62"/>
      <c r="AH289" s="63" t="s">
        <v>30</v>
      </c>
      <c r="AI289" s="63" t="s">
        <v>30</v>
      </c>
      <c r="AJ289" s="63" t="s">
        <v>30</v>
      </c>
    </row>
    <row r="290" spans="2:36" hidden="1" outlineLevel="1" x14ac:dyDescent="0.25">
      <c r="B290" s="229" t="s">
        <v>195</v>
      </c>
      <c r="E290" s="78" t="s">
        <v>43</v>
      </c>
      <c r="F290" s="21">
        <f>F450</f>
        <v>0</v>
      </c>
      <c r="G290" s="21">
        <f t="shared" ref="G290:H290" si="616">G450</f>
        <v>0</v>
      </c>
      <c r="H290" s="21">
        <f t="shared" si="616"/>
        <v>0</v>
      </c>
      <c r="I290" s="85">
        <f>IF(X290="",I450,X290)</f>
        <v>0</v>
      </c>
      <c r="J290" s="85">
        <f t="shared" ref="J290:J299" si="617">IF(Y290="",J450,Y290)</f>
        <v>0</v>
      </c>
      <c r="K290" s="85">
        <f t="shared" ref="K290:K299" si="618">IF(Z290="",K450,Z290)</f>
        <v>0</v>
      </c>
      <c r="L290" s="85">
        <f t="shared" ref="L290:L299" si="619">IF(AA290="",L450,AA290)</f>
        <v>0</v>
      </c>
      <c r="M290" s="17">
        <f>L290</f>
        <v>0</v>
      </c>
      <c r="N290" s="85">
        <f t="shared" ref="N290:N299" si="620">IF(AC290="",N450,AC290)</f>
        <v>0</v>
      </c>
      <c r="O290" s="85">
        <f t="shared" ref="O290:O299" si="621">IF(AD290="",O450,AD290)</f>
        <v>0</v>
      </c>
      <c r="P290" s="85">
        <f t="shared" ref="P290:P299" si="622">IF(AE290="",P450,AE290)</f>
        <v>0</v>
      </c>
      <c r="Q290" s="85">
        <f t="shared" ref="Q290:Q299" si="623">IF(AF290="",Q450,AF290)</f>
        <v>0</v>
      </c>
      <c r="R290" s="22">
        <f>Q290</f>
        <v>0</v>
      </c>
      <c r="S290" s="23">
        <f t="shared" ref="S290:S299" si="624">IF(AH290="",S450,AH290)</f>
        <v>0</v>
      </c>
      <c r="T290" s="23">
        <f t="shared" ref="T290:T299" si="625">IF(AI290="",T450,AI290)</f>
        <v>0</v>
      </c>
      <c r="U290" s="23">
        <f t="shared" ref="U290:U299" si="626">IF(AJ290="",U450,AJ290)</f>
        <v>0</v>
      </c>
      <c r="W290" s="78" t="str">
        <f t="shared" ref="W290:W292" si="627">E290</f>
        <v>Trade Accounts Payable</v>
      </c>
      <c r="X290" s="64"/>
      <c r="Y290" s="64"/>
      <c r="Z290" s="64"/>
      <c r="AA290" s="64"/>
      <c r="AB290" s="60"/>
      <c r="AC290" s="64"/>
      <c r="AD290" s="64"/>
      <c r="AE290" s="64"/>
      <c r="AF290" s="64"/>
      <c r="AG290" s="60"/>
      <c r="AH290" s="64"/>
      <c r="AI290" s="64"/>
      <c r="AJ290" s="64"/>
    </row>
    <row r="291" spans="2:36" hidden="1" outlineLevel="1" x14ac:dyDescent="0.25">
      <c r="B291" s="229" t="s">
        <v>195</v>
      </c>
      <c r="E291" s="78" t="s">
        <v>126</v>
      </c>
      <c r="F291" s="21">
        <f t="shared" ref="F291:H291" si="628">F451</f>
        <v>0</v>
      </c>
      <c r="G291" s="21">
        <f t="shared" si="628"/>
        <v>0</v>
      </c>
      <c r="H291" s="21">
        <f t="shared" si="628"/>
        <v>0</v>
      </c>
      <c r="I291" s="85">
        <f t="shared" ref="I291:I299" si="629">IF(X291="",I451,X291)</f>
        <v>0</v>
      </c>
      <c r="J291" s="85">
        <f t="shared" si="617"/>
        <v>0</v>
      </c>
      <c r="K291" s="85">
        <f t="shared" si="618"/>
        <v>0</v>
      </c>
      <c r="L291" s="85">
        <f t="shared" si="619"/>
        <v>0</v>
      </c>
      <c r="M291" s="17">
        <f t="shared" ref="M291:M299" si="630">L291</f>
        <v>0</v>
      </c>
      <c r="N291" s="85">
        <f t="shared" si="620"/>
        <v>0</v>
      </c>
      <c r="O291" s="85">
        <f t="shared" si="621"/>
        <v>0</v>
      </c>
      <c r="P291" s="85">
        <f t="shared" si="622"/>
        <v>0</v>
      </c>
      <c r="Q291" s="85">
        <f t="shared" si="623"/>
        <v>0</v>
      </c>
      <c r="R291" s="22">
        <f t="shared" ref="R291:R299" si="631">Q291</f>
        <v>0</v>
      </c>
      <c r="S291" s="23">
        <f t="shared" si="624"/>
        <v>0</v>
      </c>
      <c r="T291" s="23">
        <f t="shared" si="625"/>
        <v>0</v>
      </c>
      <c r="U291" s="23">
        <f t="shared" si="626"/>
        <v>0</v>
      </c>
      <c r="W291" s="78" t="str">
        <f t="shared" si="627"/>
        <v>Trade Payables Subledger</v>
      </c>
      <c r="X291" s="64"/>
      <c r="Y291" s="64"/>
      <c r="Z291" s="64"/>
      <c r="AA291" s="64"/>
      <c r="AB291" s="60"/>
      <c r="AC291" s="64"/>
      <c r="AD291" s="64"/>
      <c r="AE291" s="64"/>
      <c r="AF291" s="64"/>
      <c r="AG291" s="60"/>
      <c r="AH291" s="64"/>
      <c r="AI291" s="64"/>
      <c r="AJ291" s="64"/>
    </row>
    <row r="292" spans="2:36" hidden="1" outlineLevel="1" x14ac:dyDescent="0.25">
      <c r="B292" s="229" t="s">
        <v>195</v>
      </c>
      <c r="E292" s="78" t="s">
        <v>127</v>
      </c>
      <c r="F292" s="21">
        <f t="shared" ref="F292:H292" si="632">F452</f>
        <v>0</v>
      </c>
      <c r="G292" s="21">
        <f t="shared" si="632"/>
        <v>0</v>
      </c>
      <c r="H292" s="21">
        <f t="shared" si="632"/>
        <v>0</v>
      </c>
      <c r="I292" s="85">
        <f t="shared" si="629"/>
        <v>0</v>
      </c>
      <c r="J292" s="85">
        <f t="shared" si="617"/>
        <v>0</v>
      </c>
      <c r="K292" s="85">
        <f t="shared" si="618"/>
        <v>0</v>
      </c>
      <c r="L292" s="85">
        <f t="shared" si="619"/>
        <v>0</v>
      </c>
      <c r="M292" s="17">
        <f t="shared" si="630"/>
        <v>0</v>
      </c>
      <c r="N292" s="85">
        <f t="shared" si="620"/>
        <v>0</v>
      </c>
      <c r="O292" s="85">
        <f t="shared" si="621"/>
        <v>0</v>
      </c>
      <c r="P292" s="85">
        <f t="shared" si="622"/>
        <v>0</v>
      </c>
      <c r="Q292" s="85">
        <f t="shared" si="623"/>
        <v>0</v>
      </c>
      <c r="R292" s="22">
        <f t="shared" si="631"/>
        <v>0</v>
      </c>
      <c r="S292" s="23">
        <f t="shared" si="624"/>
        <v>0</v>
      </c>
      <c r="T292" s="23">
        <f t="shared" si="625"/>
        <v>0</v>
      </c>
      <c r="U292" s="23">
        <f t="shared" si="626"/>
        <v>0</v>
      </c>
      <c r="W292" s="78" t="str">
        <f t="shared" si="627"/>
        <v>Trade Payables GRNI</v>
      </c>
      <c r="X292" s="64"/>
      <c r="Y292" s="64"/>
      <c r="Z292" s="64"/>
      <c r="AA292" s="64"/>
      <c r="AB292" s="60"/>
      <c r="AC292" s="64"/>
      <c r="AD292" s="64"/>
      <c r="AE292" s="64"/>
      <c r="AF292" s="64"/>
      <c r="AG292" s="60"/>
      <c r="AH292" s="64"/>
      <c r="AI292" s="64"/>
      <c r="AJ292" s="64"/>
    </row>
    <row r="293" spans="2:36" hidden="1" outlineLevel="1" x14ac:dyDescent="0.25">
      <c r="B293" s="229" t="s">
        <v>195</v>
      </c>
      <c r="E293" s="78" t="s">
        <v>44</v>
      </c>
      <c r="F293" s="21">
        <f t="shared" ref="F293:H293" si="633">F453</f>
        <v>0</v>
      </c>
      <c r="G293" s="21">
        <f t="shared" si="633"/>
        <v>0</v>
      </c>
      <c r="H293" s="21">
        <f t="shared" si="633"/>
        <v>0</v>
      </c>
      <c r="I293" s="85">
        <f t="shared" si="629"/>
        <v>0</v>
      </c>
      <c r="J293" s="85">
        <f t="shared" si="617"/>
        <v>0</v>
      </c>
      <c r="K293" s="85">
        <f t="shared" si="618"/>
        <v>0</v>
      </c>
      <c r="L293" s="85">
        <f t="shared" si="619"/>
        <v>0</v>
      </c>
      <c r="M293" s="17">
        <f t="shared" si="630"/>
        <v>0</v>
      </c>
      <c r="N293" s="85">
        <f t="shared" si="620"/>
        <v>0</v>
      </c>
      <c r="O293" s="85">
        <f t="shared" si="621"/>
        <v>0</v>
      </c>
      <c r="P293" s="85">
        <f t="shared" si="622"/>
        <v>0</v>
      </c>
      <c r="Q293" s="85">
        <f t="shared" si="623"/>
        <v>0</v>
      </c>
      <c r="R293" s="22">
        <f t="shared" si="631"/>
        <v>0</v>
      </c>
      <c r="S293" s="23">
        <f t="shared" si="624"/>
        <v>0</v>
      </c>
      <c r="T293" s="23">
        <f t="shared" si="625"/>
        <v>0</v>
      </c>
      <c r="U293" s="23">
        <f t="shared" si="626"/>
        <v>0</v>
      </c>
      <c r="W293" s="78" t="str">
        <f>E293</f>
        <v>Intercompany Payables</v>
      </c>
      <c r="X293" s="64"/>
      <c r="Y293" s="64"/>
      <c r="Z293" s="64"/>
      <c r="AA293" s="64"/>
      <c r="AB293" s="60"/>
      <c r="AC293" s="64"/>
      <c r="AD293" s="64"/>
      <c r="AE293" s="64"/>
      <c r="AF293" s="64"/>
      <c r="AG293" s="60"/>
      <c r="AH293" s="64"/>
      <c r="AI293" s="64"/>
      <c r="AJ293" s="64"/>
    </row>
    <row r="294" spans="2:36" hidden="1" outlineLevel="1" x14ac:dyDescent="0.25">
      <c r="B294" s="229" t="s">
        <v>195</v>
      </c>
      <c r="E294" s="78" t="s">
        <v>77</v>
      </c>
      <c r="F294" s="21">
        <f t="shared" ref="F294:H294" si="634">F454</f>
        <v>0</v>
      </c>
      <c r="G294" s="21">
        <f t="shared" si="634"/>
        <v>0</v>
      </c>
      <c r="H294" s="21">
        <f t="shared" si="634"/>
        <v>0</v>
      </c>
      <c r="I294" s="85">
        <f t="shared" si="629"/>
        <v>0</v>
      </c>
      <c r="J294" s="85">
        <f t="shared" si="617"/>
        <v>0</v>
      </c>
      <c r="K294" s="85">
        <f t="shared" si="618"/>
        <v>0</v>
      </c>
      <c r="L294" s="85">
        <f t="shared" si="619"/>
        <v>0</v>
      </c>
      <c r="M294" s="17">
        <f t="shared" si="630"/>
        <v>0</v>
      </c>
      <c r="N294" s="85">
        <f t="shared" si="620"/>
        <v>0</v>
      </c>
      <c r="O294" s="85">
        <f t="shared" si="621"/>
        <v>0</v>
      </c>
      <c r="P294" s="85">
        <f t="shared" si="622"/>
        <v>0</v>
      </c>
      <c r="Q294" s="85">
        <f t="shared" si="623"/>
        <v>0</v>
      </c>
      <c r="R294" s="22">
        <f t="shared" si="631"/>
        <v>0</v>
      </c>
      <c r="S294" s="23">
        <f t="shared" si="624"/>
        <v>0</v>
      </c>
      <c r="T294" s="23">
        <f t="shared" si="625"/>
        <v>0</v>
      </c>
      <c r="U294" s="23">
        <f t="shared" si="626"/>
        <v>0</v>
      </c>
      <c r="W294" s="78" t="str">
        <f t="shared" ref="W294:W299" si="635">E294</f>
        <v>blank</v>
      </c>
      <c r="X294" s="64"/>
      <c r="Y294" s="64"/>
      <c r="Z294" s="64"/>
      <c r="AA294" s="64"/>
      <c r="AB294" s="60"/>
      <c r="AC294" s="64"/>
      <c r="AD294" s="64"/>
      <c r="AE294" s="64"/>
      <c r="AF294" s="64"/>
      <c r="AG294" s="60"/>
      <c r="AH294" s="64"/>
      <c r="AI294" s="64"/>
      <c r="AJ294" s="64"/>
    </row>
    <row r="295" spans="2:36" hidden="1" outlineLevel="1" x14ac:dyDescent="0.25">
      <c r="B295" s="229" t="s">
        <v>195</v>
      </c>
      <c r="E295" s="78" t="s">
        <v>77</v>
      </c>
      <c r="F295" s="21">
        <f t="shared" ref="F295:H295" si="636">F455</f>
        <v>0</v>
      </c>
      <c r="G295" s="21">
        <f t="shared" si="636"/>
        <v>0</v>
      </c>
      <c r="H295" s="21">
        <f t="shared" si="636"/>
        <v>0</v>
      </c>
      <c r="I295" s="85">
        <f t="shared" si="629"/>
        <v>0</v>
      </c>
      <c r="J295" s="85">
        <f t="shared" si="617"/>
        <v>0</v>
      </c>
      <c r="K295" s="85">
        <f t="shared" si="618"/>
        <v>0</v>
      </c>
      <c r="L295" s="85">
        <f t="shared" si="619"/>
        <v>0</v>
      </c>
      <c r="M295" s="17">
        <f t="shared" si="630"/>
        <v>0</v>
      </c>
      <c r="N295" s="85">
        <f t="shared" si="620"/>
        <v>0</v>
      </c>
      <c r="O295" s="85">
        <f t="shared" si="621"/>
        <v>0</v>
      </c>
      <c r="P295" s="85">
        <f t="shared" si="622"/>
        <v>0</v>
      </c>
      <c r="Q295" s="85">
        <f t="shared" si="623"/>
        <v>0</v>
      </c>
      <c r="R295" s="22">
        <f t="shared" si="631"/>
        <v>0</v>
      </c>
      <c r="S295" s="23">
        <f t="shared" si="624"/>
        <v>0</v>
      </c>
      <c r="T295" s="23">
        <f t="shared" si="625"/>
        <v>0</v>
      </c>
      <c r="U295" s="23">
        <f t="shared" si="626"/>
        <v>0</v>
      </c>
      <c r="W295" s="78" t="str">
        <f t="shared" si="635"/>
        <v>blank</v>
      </c>
      <c r="X295" s="64"/>
      <c r="Y295" s="64"/>
      <c r="Z295" s="64"/>
      <c r="AA295" s="64"/>
      <c r="AB295" s="60"/>
      <c r="AC295" s="64"/>
      <c r="AD295" s="64"/>
      <c r="AE295" s="64"/>
      <c r="AF295" s="64"/>
      <c r="AG295" s="60"/>
      <c r="AH295" s="64"/>
      <c r="AI295" s="64"/>
      <c r="AJ295" s="64"/>
    </row>
    <row r="296" spans="2:36" hidden="1" outlineLevel="1" x14ac:dyDescent="0.25">
      <c r="B296" s="229" t="s">
        <v>195</v>
      </c>
      <c r="E296" s="78" t="s">
        <v>77</v>
      </c>
      <c r="F296" s="21">
        <f t="shared" ref="F296:H296" si="637">F456</f>
        <v>0</v>
      </c>
      <c r="G296" s="21">
        <f t="shared" si="637"/>
        <v>0</v>
      </c>
      <c r="H296" s="21">
        <f t="shared" si="637"/>
        <v>0</v>
      </c>
      <c r="I296" s="85">
        <f t="shared" si="629"/>
        <v>0</v>
      </c>
      <c r="J296" s="85">
        <f t="shared" si="617"/>
        <v>0</v>
      </c>
      <c r="K296" s="85">
        <f t="shared" si="618"/>
        <v>0</v>
      </c>
      <c r="L296" s="85">
        <f t="shared" si="619"/>
        <v>0</v>
      </c>
      <c r="M296" s="17">
        <f t="shared" si="630"/>
        <v>0</v>
      </c>
      <c r="N296" s="85">
        <f t="shared" si="620"/>
        <v>0</v>
      </c>
      <c r="O296" s="85">
        <f t="shared" si="621"/>
        <v>0</v>
      </c>
      <c r="P296" s="85">
        <f t="shared" si="622"/>
        <v>0</v>
      </c>
      <c r="Q296" s="85">
        <f t="shared" si="623"/>
        <v>0</v>
      </c>
      <c r="R296" s="22">
        <f t="shared" si="631"/>
        <v>0</v>
      </c>
      <c r="S296" s="23">
        <f t="shared" si="624"/>
        <v>0</v>
      </c>
      <c r="T296" s="23">
        <f t="shared" si="625"/>
        <v>0</v>
      </c>
      <c r="U296" s="23">
        <f t="shared" si="626"/>
        <v>0</v>
      </c>
      <c r="W296" s="78" t="str">
        <f t="shared" si="635"/>
        <v>blank</v>
      </c>
      <c r="X296" s="64"/>
      <c r="Y296" s="64"/>
      <c r="Z296" s="64"/>
      <c r="AA296" s="64"/>
      <c r="AB296" s="60"/>
      <c r="AC296" s="64"/>
      <c r="AD296" s="64"/>
      <c r="AE296" s="64"/>
      <c r="AF296" s="64"/>
      <c r="AG296" s="60"/>
      <c r="AH296" s="64"/>
      <c r="AI296" s="64"/>
      <c r="AJ296" s="64"/>
    </row>
    <row r="297" spans="2:36" hidden="1" outlineLevel="1" x14ac:dyDescent="0.25">
      <c r="B297" s="229" t="s">
        <v>195</v>
      </c>
      <c r="E297" s="78" t="s">
        <v>77</v>
      </c>
      <c r="F297" s="21">
        <f t="shared" ref="F297:H297" si="638">F457</f>
        <v>0</v>
      </c>
      <c r="G297" s="21">
        <f t="shared" si="638"/>
        <v>0</v>
      </c>
      <c r="H297" s="21">
        <f t="shared" si="638"/>
        <v>0</v>
      </c>
      <c r="I297" s="85">
        <f t="shared" si="629"/>
        <v>0</v>
      </c>
      <c r="J297" s="85">
        <f t="shared" si="617"/>
        <v>0</v>
      </c>
      <c r="K297" s="85">
        <f t="shared" si="618"/>
        <v>0</v>
      </c>
      <c r="L297" s="85">
        <f t="shared" si="619"/>
        <v>0</v>
      </c>
      <c r="M297" s="17">
        <f t="shared" si="630"/>
        <v>0</v>
      </c>
      <c r="N297" s="85">
        <f t="shared" si="620"/>
        <v>0</v>
      </c>
      <c r="O297" s="85">
        <f t="shared" si="621"/>
        <v>0</v>
      </c>
      <c r="P297" s="85">
        <f t="shared" si="622"/>
        <v>0</v>
      </c>
      <c r="Q297" s="85">
        <f t="shared" si="623"/>
        <v>0</v>
      </c>
      <c r="R297" s="22">
        <f t="shared" si="631"/>
        <v>0</v>
      </c>
      <c r="S297" s="23">
        <f t="shared" si="624"/>
        <v>0</v>
      </c>
      <c r="T297" s="23">
        <f t="shared" si="625"/>
        <v>0</v>
      </c>
      <c r="U297" s="23">
        <f t="shared" si="626"/>
        <v>0</v>
      </c>
      <c r="W297" s="78" t="str">
        <f t="shared" si="635"/>
        <v>blank</v>
      </c>
      <c r="X297" s="64"/>
      <c r="Y297" s="64"/>
      <c r="Z297" s="64"/>
      <c r="AA297" s="64"/>
      <c r="AB297" s="60"/>
      <c r="AC297" s="64"/>
      <c r="AD297" s="64"/>
      <c r="AE297" s="64"/>
      <c r="AF297" s="64"/>
      <c r="AG297" s="60"/>
      <c r="AH297" s="64"/>
      <c r="AI297" s="64"/>
      <c r="AJ297" s="64"/>
    </row>
    <row r="298" spans="2:36" hidden="1" outlineLevel="1" x14ac:dyDescent="0.25">
      <c r="B298" s="229" t="s">
        <v>195</v>
      </c>
      <c r="E298" s="78" t="s">
        <v>77</v>
      </c>
      <c r="F298" s="21">
        <f t="shared" ref="F298:H298" si="639">F458</f>
        <v>0</v>
      </c>
      <c r="G298" s="21">
        <f t="shared" si="639"/>
        <v>0</v>
      </c>
      <c r="H298" s="21">
        <f t="shared" si="639"/>
        <v>0</v>
      </c>
      <c r="I298" s="85">
        <f t="shared" si="629"/>
        <v>0</v>
      </c>
      <c r="J298" s="85">
        <f t="shared" si="617"/>
        <v>0</v>
      </c>
      <c r="K298" s="85">
        <f t="shared" si="618"/>
        <v>0</v>
      </c>
      <c r="L298" s="85">
        <f t="shared" si="619"/>
        <v>0</v>
      </c>
      <c r="M298" s="17">
        <f t="shared" si="630"/>
        <v>0</v>
      </c>
      <c r="N298" s="85">
        <f t="shared" si="620"/>
        <v>0</v>
      </c>
      <c r="O298" s="85">
        <f t="shared" si="621"/>
        <v>0</v>
      </c>
      <c r="P298" s="85">
        <f t="shared" si="622"/>
        <v>0</v>
      </c>
      <c r="Q298" s="85">
        <f t="shared" si="623"/>
        <v>0</v>
      </c>
      <c r="R298" s="22">
        <f t="shared" si="631"/>
        <v>0</v>
      </c>
      <c r="S298" s="23">
        <f t="shared" si="624"/>
        <v>0</v>
      </c>
      <c r="T298" s="23">
        <f t="shared" si="625"/>
        <v>0</v>
      </c>
      <c r="U298" s="23">
        <f t="shared" si="626"/>
        <v>0</v>
      </c>
      <c r="W298" s="78" t="str">
        <f t="shared" si="635"/>
        <v>blank</v>
      </c>
      <c r="X298" s="64"/>
      <c r="Y298" s="64"/>
      <c r="Z298" s="64"/>
      <c r="AA298" s="64"/>
      <c r="AB298" s="60"/>
      <c r="AC298" s="64"/>
      <c r="AD298" s="64"/>
      <c r="AE298" s="64"/>
      <c r="AF298" s="64"/>
      <c r="AG298" s="60"/>
      <c r="AH298" s="64"/>
      <c r="AI298" s="64"/>
      <c r="AJ298" s="64"/>
    </row>
    <row r="299" spans="2:36" hidden="1" outlineLevel="1" x14ac:dyDescent="0.25">
      <c r="B299" s="229" t="s">
        <v>195</v>
      </c>
      <c r="E299" s="78" t="s">
        <v>77</v>
      </c>
      <c r="F299" s="21">
        <f t="shared" ref="F299:H299" si="640">F459</f>
        <v>0</v>
      </c>
      <c r="G299" s="21">
        <f t="shared" si="640"/>
        <v>0</v>
      </c>
      <c r="H299" s="21">
        <f t="shared" si="640"/>
        <v>0</v>
      </c>
      <c r="I299" s="85">
        <f t="shared" si="629"/>
        <v>0</v>
      </c>
      <c r="J299" s="85">
        <f t="shared" si="617"/>
        <v>0</v>
      </c>
      <c r="K299" s="85">
        <f t="shared" si="618"/>
        <v>0</v>
      </c>
      <c r="L299" s="85">
        <f t="shared" si="619"/>
        <v>0</v>
      </c>
      <c r="M299" s="17">
        <f t="shared" si="630"/>
        <v>0</v>
      </c>
      <c r="N299" s="85">
        <f t="shared" si="620"/>
        <v>0</v>
      </c>
      <c r="O299" s="85">
        <f t="shared" si="621"/>
        <v>0</v>
      </c>
      <c r="P299" s="85">
        <f t="shared" si="622"/>
        <v>0</v>
      </c>
      <c r="Q299" s="85">
        <f t="shared" si="623"/>
        <v>0</v>
      </c>
      <c r="R299" s="22">
        <f t="shared" si="631"/>
        <v>0</v>
      </c>
      <c r="S299" s="23">
        <f t="shared" si="624"/>
        <v>0</v>
      </c>
      <c r="T299" s="23">
        <f t="shared" si="625"/>
        <v>0</v>
      </c>
      <c r="U299" s="23">
        <f t="shared" si="626"/>
        <v>0</v>
      </c>
      <c r="W299" s="78" t="str">
        <f t="shared" si="635"/>
        <v>blank</v>
      </c>
      <c r="X299" s="64"/>
      <c r="Y299" s="64"/>
      <c r="Z299" s="64"/>
      <c r="AA299" s="64"/>
      <c r="AB299" s="60"/>
      <c r="AC299" s="64"/>
      <c r="AD299" s="64"/>
      <c r="AE299" s="64"/>
      <c r="AF299" s="64"/>
      <c r="AG299" s="60"/>
      <c r="AH299" s="64"/>
      <c r="AI299" s="64"/>
      <c r="AJ299" s="64"/>
    </row>
    <row r="300" spans="2:36" ht="15.75" hidden="1" outlineLevel="1" thickBot="1" x14ac:dyDescent="0.3">
      <c r="E300" s="8" t="s">
        <v>131</v>
      </c>
      <c r="F300" s="9">
        <f>SUM(F290:F299)</f>
        <v>0</v>
      </c>
      <c r="G300" s="9">
        <f t="shared" ref="G300" si="641">SUM(G290:G299)</f>
        <v>0</v>
      </c>
      <c r="H300" s="9">
        <f t="shared" ref="H300" si="642">SUM(H290:H299)</f>
        <v>0</v>
      </c>
      <c r="I300" s="86">
        <f t="shared" ref="I300" si="643">SUM(I290:I299)</f>
        <v>0</v>
      </c>
      <c r="J300" s="86">
        <f t="shared" ref="J300" si="644">SUM(J290:J299)</f>
        <v>0</v>
      </c>
      <c r="K300" s="86">
        <f t="shared" ref="K300" si="645">SUM(K290:K299)</f>
        <v>0</v>
      </c>
      <c r="L300" s="86">
        <f t="shared" ref="L300" si="646">SUM(L290:L299)</f>
        <v>0</v>
      </c>
      <c r="M300" s="18">
        <f t="shared" ref="M300" si="647">SUM(M290:M299)</f>
        <v>0</v>
      </c>
      <c r="N300" s="86">
        <f t="shared" ref="N300" si="648">SUM(N290:N299)</f>
        <v>0</v>
      </c>
      <c r="O300" s="86">
        <f t="shared" ref="O300" si="649">SUM(O290:O299)</f>
        <v>0</v>
      </c>
      <c r="P300" s="86">
        <f t="shared" ref="P300" si="650">SUM(P290:P299)</f>
        <v>0</v>
      </c>
      <c r="Q300" s="86">
        <f t="shared" ref="Q300" si="651">SUM(Q290:Q299)</f>
        <v>0</v>
      </c>
      <c r="R300" s="19">
        <f t="shared" ref="R300" si="652">SUM(R290:R299)</f>
        <v>0</v>
      </c>
      <c r="S300" s="20">
        <f t="shared" ref="S300" si="653">SUM(S290:S299)</f>
        <v>0</v>
      </c>
      <c r="T300" s="20">
        <f t="shared" ref="T300" si="654">SUM(T290:T299)</f>
        <v>0</v>
      </c>
      <c r="U300" s="20">
        <f t="shared" ref="U300" si="655">SUM(U290:U299)</f>
        <v>0</v>
      </c>
    </row>
    <row r="301" spans="2:36" ht="15.75" hidden="1" outlineLevel="1" thickTop="1" x14ac:dyDescent="0.25"/>
    <row r="302" spans="2:36" hidden="1" outlineLevel="1" x14ac:dyDescent="0.25"/>
    <row r="303" spans="2:36" hidden="1" outlineLevel="1" x14ac:dyDescent="0.25"/>
    <row r="304" spans="2:36" hidden="1" outlineLevel="1" x14ac:dyDescent="0.25">
      <c r="E304" s="4" t="s">
        <v>109</v>
      </c>
      <c r="W304" s="4" t="str">
        <f>E304</f>
        <v>Short Term Deferred Revenue</v>
      </c>
    </row>
    <row r="305" spans="2:36" hidden="1" outlineLevel="1" x14ac:dyDescent="0.25">
      <c r="E305" s="6" t="s">
        <v>25</v>
      </c>
      <c r="W305" s="61" t="s">
        <v>62</v>
      </c>
    </row>
    <row r="306" spans="2:36" hidden="1" outlineLevel="1" x14ac:dyDescent="0.25"/>
    <row r="307" spans="2:36" hidden="1" outlineLevel="1" x14ac:dyDescent="0.25">
      <c r="F307" s="12">
        <f>Inputs!$C$7</f>
        <v>2023</v>
      </c>
      <c r="G307" s="12">
        <f>Inputs!$C$8</f>
        <v>2024</v>
      </c>
      <c r="H307" s="12">
        <f>Inputs!$C$9</f>
        <v>2025</v>
      </c>
      <c r="I307" s="13" t="s">
        <v>1</v>
      </c>
      <c r="J307" s="13" t="s">
        <v>2</v>
      </c>
      <c r="K307" s="13" t="s">
        <v>3</v>
      </c>
      <c r="L307" s="13" t="s">
        <v>4</v>
      </c>
      <c r="M307" s="13">
        <f>Inputs!$C$10</f>
        <v>2026</v>
      </c>
      <c r="N307" s="14" t="s">
        <v>1</v>
      </c>
      <c r="O307" s="14" t="s">
        <v>2</v>
      </c>
      <c r="P307" s="14" t="s">
        <v>3</v>
      </c>
      <c r="Q307" s="14" t="s">
        <v>4</v>
      </c>
      <c r="R307" s="15">
        <f>Inputs!$C$11</f>
        <v>2027</v>
      </c>
      <c r="S307" s="16">
        <f>Inputs!$C$12</f>
        <v>2028</v>
      </c>
      <c r="T307" s="16">
        <f>Inputs!$C$13</f>
        <v>2029</v>
      </c>
      <c r="U307" s="16">
        <f>Inputs!$C$14</f>
        <v>2030</v>
      </c>
      <c r="X307" s="13" t="s">
        <v>1</v>
      </c>
      <c r="Y307" s="13" t="s">
        <v>2</v>
      </c>
      <c r="Z307" s="13" t="s">
        <v>3</v>
      </c>
      <c r="AA307" s="13" t="s">
        <v>4</v>
      </c>
      <c r="AB307" s="13">
        <f>Inputs!$C$10</f>
        <v>2026</v>
      </c>
      <c r="AC307" s="14" t="s">
        <v>1</v>
      </c>
      <c r="AD307" s="14" t="s">
        <v>2</v>
      </c>
      <c r="AE307" s="14" t="s">
        <v>3</v>
      </c>
      <c r="AF307" s="14" t="s">
        <v>4</v>
      </c>
      <c r="AG307" s="15">
        <f>Inputs!$C$11</f>
        <v>2027</v>
      </c>
      <c r="AH307" s="16">
        <f>Inputs!$C$12</f>
        <v>2028</v>
      </c>
      <c r="AI307" s="16">
        <f>Inputs!$C$13</f>
        <v>2029</v>
      </c>
      <c r="AJ307" s="16">
        <f>Inputs!$C$14</f>
        <v>2030</v>
      </c>
    </row>
    <row r="308" spans="2:36" hidden="1" outlineLevel="1" x14ac:dyDescent="0.25">
      <c r="F308" s="71" t="s">
        <v>63</v>
      </c>
      <c r="G308" s="71" t="s">
        <v>63</v>
      </c>
      <c r="H308" s="71" t="s">
        <v>63</v>
      </c>
      <c r="I308" s="71" t="s">
        <v>63</v>
      </c>
      <c r="J308" s="71" t="s">
        <v>63</v>
      </c>
      <c r="K308" s="71" t="s">
        <v>63</v>
      </c>
      <c r="L308" s="71" t="s">
        <v>63</v>
      </c>
      <c r="M308" s="71" t="s">
        <v>63</v>
      </c>
      <c r="N308" s="71" t="s">
        <v>63</v>
      </c>
      <c r="O308" s="71" t="s">
        <v>63</v>
      </c>
      <c r="P308" s="71" t="s">
        <v>63</v>
      </c>
      <c r="Q308" s="71" t="s">
        <v>63</v>
      </c>
      <c r="R308" s="71" t="s">
        <v>63</v>
      </c>
      <c r="S308" s="71" t="s">
        <v>63</v>
      </c>
      <c r="T308" s="71" t="s">
        <v>63</v>
      </c>
      <c r="U308" s="71" t="s">
        <v>63</v>
      </c>
      <c r="X308" s="63" t="s">
        <v>30</v>
      </c>
      <c r="Y308" s="63" t="s">
        <v>30</v>
      </c>
      <c r="Z308" s="63" t="s">
        <v>30</v>
      </c>
      <c r="AA308" s="63" t="s">
        <v>30</v>
      </c>
      <c r="AB308" s="62"/>
      <c r="AC308" s="63" t="s">
        <v>30</v>
      </c>
      <c r="AD308" s="63" t="s">
        <v>30</v>
      </c>
      <c r="AE308" s="63" t="s">
        <v>30</v>
      </c>
      <c r="AF308" s="63" t="s">
        <v>30</v>
      </c>
      <c r="AG308" s="62"/>
      <c r="AH308" s="63" t="s">
        <v>30</v>
      </c>
      <c r="AI308" s="63" t="s">
        <v>30</v>
      </c>
      <c r="AJ308" s="63" t="s">
        <v>30</v>
      </c>
    </row>
    <row r="309" spans="2:36" hidden="1" outlineLevel="1" x14ac:dyDescent="0.25">
      <c r="B309" s="229" t="s">
        <v>195</v>
      </c>
      <c r="E309" s="78" t="s">
        <v>129</v>
      </c>
      <c r="F309" s="21">
        <f>F469</f>
        <v>0</v>
      </c>
      <c r="G309" s="21">
        <f t="shared" ref="G309:H309" si="656">G469</f>
        <v>0</v>
      </c>
      <c r="H309" s="21">
        <f t="shared" si="656"/>
        <v>0</v>
      </c>
      <c r="I309" s="85">
        <f>IF(X309="",I469,X309)</f>
        <v>0</v>
      </c>
      <c r="J309" s="85">
        <f t="shared" ref="J309:J318" si="657">IF(Y309="",J469,Y309)</f>
        <v>0</v>
      </c>
      <c r="K309" s="85">
        <f t="shared" ref="K309:K318" si="658">IF(Z309="",K469,Z309)</f>
        <v>0</v>
      </c>
      <c r="L309" s="85">
        <f t="shared" ref="L309:L318" si="659">IF(AA309="",L469,AA309)</f>
        <v>0</v>
      </c>
      <c r="M309" s="17">
        <f>L309</f>
        <v>0</v>
      </c>
      <c r="N309" s="85">
        <f t="shared" ref="N309:N318" si="660">IF(AC309="",N469,AC309)</f>
        <v>0</v>
      </c>
      <c r="O309" s="85">
        <f t="shared" ref="O309:O318" si="661">IF(AD309="",O469,AD309)</f>
        <v>0</v>
      </c>
      <c r="P309" s="85">
        <f t="shared" ref="P309:P318" si="662">IF(AE309="",P469,AE309)</f>
        <v>0</v>
      </c>
      <c r="Q309" s="85">
        <f t="shared" ref="Q309:Q318" si="663">IF(AF309="",Q469,AF309)</f>
        <v>0</v>
      </c>
      <c r="R309" s="22">
        <f>Q309</f>
        <v>0</v>
      </c>
      <c r="S309" s="23">
        <f t="shared" ref="S309:S318" si="664">IF(AH309="",S469,AH309)</f>
        <v>0</v>
      </c>
      <c r="T309" s="23">
        <f t="shared" ref="T309:T318" si="665">IF(AI309="",T469,AI309)</f>
        <v>0</v>
      </c>
      <c r="U309" s="23">
        <f t="shared" ref="U309:U318" si="666">IF(AJ309="",U469,AJ309)</f>
        <v>0</v>
      </c>
      <c r="W309" s="78" t="str">
        <f>E309</f>
        <v>Unearned Revenue and Customer Deposits</v>
      </c>
      <c r="X309" s="64"/>
      <c r="Y309" s="64"/>
      <c r="Z309" s="64"/>
      <c r="AA309" s="64"/>
      <c r="AB309" s="60"/>
      <c r="AC309" s="64"/>
      <c r="AD309" s="64"/>
      <c r="AE309" s="64"/>
      <c r="AF309" s="64"/>
      <c r="AG309" s="60"/>
      <c r="AH309" s="64"/>
      <c r="AI309" s="64"/>
      <c r="AJ309" s="64"/>
    </row>
    <row r="310" spans="2:36" hidden="1" outlineLevel="1" x14ac:dyDescent="0.25">
      <c r="B310" s="229" t="s">
        <v>195</v>
      </c>
      <c r="E310" s="78" t="s">
        <v>77</v>
      </c>
      <c r="F310" s="21">
        <f t="shared" ref="F310:H310" si="667">F470</f>
        <v>0</v>
      </c>
      <c r="G310" s="21">
        <f t="shared" si="667"/>
        <v>0</v>
      </c>
      <c r="H310" s="21">
        <f t="shared" si="667"/>
        <v>0</v>
      </c>
      <c r="I310" s="85">
        <f t="shared" ref="I310:I318" si="668">IF(X310="",I470,X310)</f>
        <v>0</v>
      </c>
      <c r="J310" s="85">
        <f t="shared" si="657"/>
        <v>0</v>
      </c>
      <c r="K310" s="85">
        <f t="shared" si="658"/>
        <v>0</v>
      </c>
      <c r="L310" s="85">
        <f t="shared" si="659"/>
        <v>0</v>
      </c>
      <c r="M310" s="17">
        <f t="shared" ref="M310:M318" si="669">L310</f>
        <v>0</v>
      </c>
      <c r="N310" s="85">
        <f t="shared" si="660"/>
        <v>0</v>
      </c>
      <c r="O310" s="85">
        <f t="shared" si="661"/>
        <v>0</v>
      </c>
      <c r="P310" s="85">
        <f t="shared" si="662"/>
        <v>0</v>
      </c>
      <c r="Q310" s="85">
        <f t="shared" si="663"/>
        <v>0</v>
      </c>
      <c r="R310" s="22">
        <f t="shared" ref="R310:R318" si="670">Q310</f>
        <v>0</v>
      </c>
      <c r="S310" s="23">
        <f t="shared" si="664"/>
        <v>0</v>
      </c>
      <c r="T310" s="23">
        <f t="shared" si="665"/>
        <v>0</v>
      </c>
      <c r="U310" s="23">
        <f t="shared" si="666"/>
        <v>0</v>
      </c>
      <c r="W310" s="78" t="str">
        <f t="shared" ref="W310:W318" si="671">E310</f>
        <v>blank</v>
      </c>
      <c r="X310" s="64"/>
      <c r="Y310" s="64"/>
      <c r="Z310" s="64"/>
      <c r="AA310" s="64"/>
      <c r="AB310" s="60"/>
      <c r="AC310" s="64"/>
      <c r="AD310" s="64"/>
      <c r="AE310" s="64"/>
      <c r="AF310" s="64"/>
      <c r="AG310" s="60"/>
      <c r="AH310" s="64"/>
      <c r="AI310" s="64"/>
      <c r="AJ310" s="64"/>
    </row>
    <row r="311" spans="2:36" hidden="1" outlineLevel="1" x14ac:dyDescent="0.25">
      <c r="B311" s="229" t="s">
        <v>195</v>
      </c>
      <c r="E311" s="78" t="s">
        <v>77</v>
      </c>
      <c r="F311" s="21">
        <f t="shared" ref="F311:H311" si="672">F471</f>
        <v>0</v>
      </c>
      <c r="G311" s="21">
        <f t="shared" si="672"/>
        <v>0</v>
      </c>
      <c r="H311" s="21">
        <f t="shared" si="672"/>
        <v>0</v>
      </c>
      <c r="I311" s="85">
        <f t="shared" si="668"/>
        <v>0</v>
      </c>
      <c r="J311" s="85">
        <f t="shared" si="657"/>
        <v>0</v>
      </c>
      <c r="K311" s="85">
        <f t="shared" si="658"/>
        <v>0</v>
      </c>
      <c r="L311" s="85">
        <f t="shared" si="659"/>
        <v>0</v>
      </c>
      <c r="M311" s="17">
        <f t="shared" si="669"/>
        <v>0</v>
      </c>
      <c r="N311" s="85">
        <f t="shared" si="660"/>
        <v>0</v>
      </c>
      <c r="O311" s="85">
        <f t="shared" si="661"/>
        <v>0</v>
      </c>
      <c r="P311" s="85">
        <f t="shared" si="662"/>
        <v>0</v>
      </c>
      <c r="Q311" s="85">
        <f t="shared" si="663"/>
        <v>0</v>
      </c>
      <c r="R311" s="22">
        <f t="shared" si="670"/>
        <v>0</v>
      </c>
      <c r="S311" s="23">
        <f t="shared" si="664"/>
        <v>0</v>
      </c>
      <c r="T311" s="23">
        <f t="shared" si="665"/>
        <v>0</v>
      </c>
      <c r="U311" s="23">
        <f t="shared" si="666"/>
        <v>0</v>
      </c>
      <c r="W311" s="78" t="str">
        <f t="shared" si="671"/>
        <v>blank</v>
      </c>
      <c r="X311" s="64"/>
      <c r="Y311" s="64"/>
      <c r="Z311" s="64"/>
      <c r="AA311" s="64"/>
      <c r="AB311" s="60"/>
      <c r="AC311" s="64"/>
      <c r="AD311" s="64"/>
      <c r="AE311" s="64"/>
      <c r="AF311" s="64"/>
      <c r="AG311" s="60"/>
      <c r="AH311" s="64"/>
      <c r="AI311" s="64"/>
      <c r="AJ311" s="64"/>
    </row>
    <row r="312" spans="2:36" hidden="1" outlineLevel="1" x14ac:dyDescent="0.25">
      <c r="B312" s="229" t="s">
        <v>195</v>
      </c>
      <c r="E312" s="78" t="s">
        <v>77</v>
      </c>
      <c r="F312" s="21">
        <f t="shared" ref="F312:H312" si="673">F472</f>
        <v>0</v>
      </c>
      <c r="G312" s="21">
        <f t="shared" si="673"/>
        <v>0</v>
      </c>
      <c r="H312" s="21">
        <f t="shared" si="673"/>
        <v>0</v>
      </c>
      <c r="I312" s="85">
        <f t="shared" si="668"/>
        <v>0</v>
      </c>
      <c r="J312" s="85">
        <f t="shared" si="657"/>
        <v>0</v>
      </c>
      <c r="K312" s="85">
        <f t="shared" si="658"/>
        <v>0</v>
      </c>
      <c r="L312" s="85">
        <f t="shared" si="659"/>
        <v>0</v>
      </c>
      <c r="M312" s="17">
        <f t="shared" si="669"/>
        <v>0</v>
      </c>
      <c r="N312" s="85">
        <f t="shared" si="660"/>
        <v>0</v>
      </c>
      <c r="O312" s="85">
        <f t="shared" si="661"/>
        <v>0</v>
      </c>
      <c r="P312" s="85">
        <f t="shared" si="662"/>
        <v>0</v>
      </c>
      <c r="Q312" s="85">
        <f t="shared" si="663"/>
        <v>0</v>
      </c>
      <c r="R312" s="22">
        <f t="shared" si="670"/>
        <v>0</v>
      </c>
      <c r="S312" s="23">
        <f t="shared" si="664"/>
        <v>0</v>
      </c>
      <c r="T312" s="23">
        <f t="shared" si="665"/>
        <v>0</v>
      </c>
      <c r="U312" s="23">
        <f t="shared" si="666"/>
        <v>0</v>
      </c>
      <c r="W312" s="78" t="str">
        <f t="shared" si="671"/>
        <v>blank</v>
      </c>
      <c r="X312" s="64"/>
      <c r="Y312" s="64"/>
      <c r="Z312" s="64"/>
      <c r="AA312" s="64"/>
      <c r="AB312" s="60"/>
      <c r="AC312" s="64"/>
      <c r="AD312" s="64"/>
      <c r="AE312" s="64"/>
      <c r="AF312" s="64"/>
      <c r="AG312" s="60"/>
      <c r="AH312" s="64"/>
      <c r="AI312" s="64"/>
      <c r="AJ312" s="64"/>
    </row>
    <row r="313" spans="2:36" hidden="1" outlineLevel="1" x14ac:dyDescent="0.25">
      <c r="B313" s="229" t="s">
        <v>195</v>
      </c>
      <c r="E313" s="78" t="s">
        <v>77</v>
      </c>
      <c r="F313" s="21">
        <f t="shared" ref="F313:H313" si="674">F473</f>
        <v>0</v>
      </c>
      <c r="G313" s="21">
        <f t="shared" si="674"/>
        <v>0</v>
      </c>
      <c r="H313" s="21">
        <f t="shared" si="674"/>
        <v>0</v>
      </c>
      <c r="I313" s="85">
        <f t="shared" si="668"/>
        <v>0</v>
      </c>
      <c r="J313" s="85">
        <f t="shared" si="657"/>
        <v>0</v>
      </c>
      <c r="K313" s="85">
        <f t="shared" si="658"/>
        <v>0</v>
      </c>
      <c r="L313" s="85">
        <f t="shared" si="659"/>
        <v>0</v>
      </c>
      <c r="M313" s="17">
        <f t="shared" si="669"/>
        <v>0</v>
      </c>
      <c r="N313" s="85">
        <f t="shared" si="660"/>
        <v>0</v>
      </c>
      <c r="O313" s="85">
        <f t="shared" si="661"/>
        <v>0</v>
      </c>
      <c r="P313" s="85">
        <f t="shared" si="662"/>
        <v>0</v>
      </c>
      <c r="Q313" s="85">
        <f t="shared" si="663"/>
        <v>0</v>
      </c>
      <c r="R313" s="22">
        <f t="shared" si="670"/>
        <v>0</v>
      </c>
      <c r="S313" s="23">
        <f t="shared" si="664"/>
        <v>0</v>
      </c>
      <c r="T313" s="23">
        <f t="shared" si="665"/>
        <v>0</v>
      </c>
      <c r="U313" s="23">
        <f t="shared" si="666"/>
        <v>0</v>
      </c>
      <c r="W313" s="78" t="str">
        <f t="shared" si="671"/>
        <v>blank</v>
      </c>
      <c r="X313" s="64"/>
      <c r="Y313" s="64"/>
      <c r="Z313" s="64"/>
      <c r="AA313" s="64"/>
      <c r="AB313" s="60"/>
      <c r="AC313" s="64"/>
      <c r="AD313" s="64"/>
      <c r="AE313" s="64"/>
      <c r="AF313" s="64"/>
      <c r="AG313" s="60"/>
      <c r="AH313" s="64"/>
      <c r="AI313" s="64"/>
      <c r="AJ313" s="64"/>
    </row>
    <row r="314" spans="2:36" hidden="1" outlineLevel="1" x14ac:dyDescent="0.25">
      <c r="B314" s="229" t="s">
        <v>195</v>
      </c>
      <c r="E314" s="78" t="s">
        <v>77</v>
      </c>
      <c r="F314" s="21">
        <f t="shared" ref="F314:H314" si="675">F474</f>
        <v>0</v>
      </c>
      <c r="G314" s="21">
        <f t="shared" si="675"/>
        <v>0</v>
      </c>
      <c r="H314" s="21">
        <f t="shared" si="675"/>
        <v>0</v>
      </c>
      <c r="I314" s="85">
        <f t="shared" si="668"/>
        <v>0</v>
      </c>
      <c r="J314" s="85">
        <f t="shared" si="657"/>
        <v>0</v>
      </c>
      <c r="K314" s="85">
        <f t="shared" si="658"/>
        <v>0</v>
      </c>
      <c r="L314" s="85">
        <f t="shared" si="659"/>
        <v>0</v>
      </c>
      <c r="M314" s="17">
        <f t="shared" si="669"/>
        <v>0</v>
      </c>
      <c r="N314" s="85">
        <f t="shared" si="660"/>
        <v>0</v>
      </c>
      <c r="O314" s="85">
        <f t="shared" si="661"/>
        <v>0</v>
      </c>
      <c r="P314" s="85">
        <f t="shared" si="662"/>
        <v>0</v>
      </c>
      <c r="Q314" s="85">
        <f t="shared" si="663"/>
        <v>0</v>
      </c>
      <c r="R314" s="22">
        <f t="shared" si="670"/>
        <v>0</v>
      </c>
      <c r="S314" s="23">
        <f t="shared" si="664"/>
        <v>0</v>
      </c>
      <c r="T314" s="23">
        <f t="shared" si="665"/>
        <v>0</v>
      </c>
      <c r="U314" s="23">
        <f t="shared" si="666"/>
        <v>0</v>
      </c>
      <c r="W314" s="78" t="str">
        <f t="shared" si="671"/>
        <v>blank</v>
      </c>
      <c r="X314" s="64"/>
      <c r="Y314" s="64"/>
      <c r="Z314" s="64"/>
      <c r="AA314" s="64"/>
      <c r="AB314" s="60"/>
      <c r="AC314" s="64"/>
      <c r="AD314" s="64"/>
      <c r="AE314" s="64"/>
      <c r="AF314" s="64"/>
      <c r="AG314" s="60"/>
      <c r="AH314" s="64"/>
      <c r="AI314" s="64"/>
      <c r="AJ314" s="64"/>
    </row>
    <row r="315" spans="2:36" hidden="1" outlineLevel="1" x14ac:dyDescent="0.25">
      <c r="B315" s="229" t="s">
        <v>195</v>
      </c>
      <c r="E315" s="78" t="s">
        <v>77</v>
      </c>
      <c r="F315" s="21">
        <f t="shared" ref="F315:H315" si="676">F475</f>
        <v>0</v>
      </c>
      <c r="G315" s="21">
        <f t="shared" si="676"/>
        <v>0</v>
      </c>
      <c r="H315" s="21">
        <f t="shared" si="676"/>
        <v>0</v>
      </c>
      <c r="I315" s="85">
        <f t="shared" si="668"/>
        <v>0</v>
      </c>
      <c r="J315" s="85">
        <f t="shared" si="657"/>
        <v>0</v>
      </c>
      <c r="K315" s="85">
        <f t="shared" si="658"/>
        <v>0</v>
      </c>
      <c r="L315" s="85">
        <f t="shared" si="659"/>
        <v>0</v>
      </c>
      <c r="M315" s="17">
        <f t="shared" si="669"/>
        <v>0</v>
      </c>
      <c r="N315" s="85">
        <f t="shared" si="660"/>
        <v>0</v>
      </c>
      <c r="O315" s="85">
        <f t="shared" si="661"/>
        <v>0</v>
      </c>
      <c r="P315" s="85">
        <f t="shared" si="662"/>
        <v>0</v>
      </c>
      <c r="Q315" s="85">
        <f t="shared" si="663"/>
        <v>0</v>
      </c>
      <c r="R315" s="22">
        <f t="shared" si="670"/>
        <v>0</v>
      </c>
      <c r="S315" s="23">
        <f t="shared" si="664"/>
        <v>0</v>
      </c>
      <c r="T315" s="23">
        <f t="shared" si="665"/>
        <v>0</v>
      </c>
      <c r="U315" s="23">
        <f t="shared" si="666"/>
        <v>0</v>
      </c>
      <c r="W315" s="78" t="str">
        <f t="shared" si="671"/>
        <v>blank</v>
      </c>
      <c r="X315" s="64"/>
      <c r="Y315" s="64"/>
      <c r="Z315" s="64"/>
      <c r="AA315" s="64"/>
      <c r="AB315" s="60"/>
      <c r="AC315" s="64"/>
      <c r="AD315" s="64"/>
      <c r="AE315" s="64"/>
      <c r="AF315" s="64"/>
      <c r="AG315" s="60"/>
      <c r="AH315" s="64"/>
      <c r="AI315" s="64"/>
      <c r="AJ315" s="64"/>
    </row>
    <row r="316" spans="2:36" hidden="1" outlineLevel="1" x14ac:dyDescent="0.25">
      <c r="B316" s="229" t="s">
        <v>195</v>
      </c>
      <c r="E316" s="78" t="s">
        <v>77</v>
      </c>
      <c r="F316" s="21">
        <f t="shared" ref="F316:H316" si="677">F476</f>
        <v>0</v>
      </c>
      <c r="G316" s="21">
        <f t="shared" si="677"/>
        <v>0</v>
      </c>
      <c r="H316" s="21">
        <f t="shared" si="677"/>
        <v>0</v>
      </c>
      <c r="I316" s="85">
        <f t="shared" si="668"/>
        <v>0</v>
      </c>
      <c r="J316" s="85">
        <f t="shared" si="657"/>
        <v>0</v>
      </c>
      <c r="K316" s="85">
        <f t="shared" si="658"/>
        <v>0</v>
      </c>
      <c r="L316" s="85">
        <f t="shared" si="659"/>
        <v>0</v>
      </c>
      <c r="M316" s="17">
        <f t="shared" si="669"/>
        <v>0</v>
      </c>
      <c r="N316" s="85">
        <f t="shared" si="660"/>
        <v>0</v>
      </c>
      <c r="O316" s="85">
        <f t="shared" si="661"/>
        <v>0</v>
      </c>
      <c r="P316" s="85">
        <f t="shared" si="662"/>
        <v>0</v>
      </c>
      <c r="Q316" s="85">
        <f t="shared" si="663"/>
        <v>0</v>
      </c>
      <c r="R316" s="22">
        <f t="shared" si="670"/>
        <v>0</v>
      </c>
      <c r="S316" s="23">
        <f t="shared" si="664"/>
        <v>0</v>
      </c>
      <c r="T316" s="23">
        <f t="shared" si="665"/>
        <v>0</v>
      </c>
      <c r="U316" s="23">
        <f t="shared" si="666"/>
        <v>0</v>
      </c>
      <c r="W316" s="78" t="str">
        <f t="shared" si="671"/>
        <v>blank</v>
      </c>
      <c r="X316" s="64"/>
      <c r="Y316" s="64"/>
      <c r="Z316" s="64"/>
      <c r="AA316" s="64"/>
      <c r="AB316" s="60"/>
      <c r="AC316" s="64"/>
      <c r="AD316" s="64"/>
      <c r="AE316" s="64"/>
      <c r="AF316" s="64"/>
      <c r="AG316" s="60"/>
      <c r="AH316" s="64"/>
      <c r="AI316" s="64"/>
      <c r="AJ316" s="64"/>
    </row>
    <row r="317" spans="2:36" hidden="1" outlineLevel="1" x14ac:dyDescent="0.25">
      <c r="B317" s="229" t="s">
        <v>195</v>
      </c>
      <c r="E317" s="78" t="s">
        <v>77</v>
      </c>
      <c r="F317" s="21">
        <f t="shared" ref="F317:H317" si="678">F477</f>
        <v>0</v>
      </c>
      <c r="G317" s="21">
        <f t="shared" si="678"/>
        <v>0</v>
      </c>
      <c r="H317" s="21">
        <f t="shared" si="678"/>
        <v>0</v>
      </c>
      <c r="I317" s="85">
        <f t="shared" si="668"/>
        <v>0</v>
      </c>
      <c r="J317" s="85">
        <f t="shared" si="657"/>
        <v>0</v>
      </c>
      <c r="K317" s="85">
        <f t="shared" si="658"/>
        <v>0</v>
      </c>
      <c r="L317" s="85">
        <f t="shared" si="659"/>
        <v>0</v>
      </c>
      <c r="M317" s="17">
        <f t="shared" si="669"/>
        <v>0</v>
      </c>
      <c r="N317" s="85">
        <f t="shared" si="660"/>
        <v>0</v>
      </c>
      <c r="O317" s="85">
        <f t="shared" si="661"/>
        <v>0</v>
      </c>
      <c r="P317" s="85">
        <f t="shared" si="662"/>
        <v>0</v>
      </c>
      <c r="Q317" s="85">
        <f t="shared" si="663"/>
        <v>0</v>
      </c>
      <c r="R317" s="22">
        <f t="shared" si="670"/>
        <v>0</v>
      </c>
      <c r="S317" s="23">
        <f t="shared" si="664"/>
        <v>0</v>
      </c>
      <c r="T317" s="23">
        <f t="shared" si="665"/>
        <v>0</v>
      </c>
      <c r="U317" s="23">
        <f t="shared" si="666"/>
        <v>0</v>
      </c>
      <c r="W317" s="78" t="str">
        <f t="shared" si="671"/>
        <v>blank</v>
      </c>
      <c r="X317" s="64"/>
      <c r="Y317" s="64"/>
      <c r="Z317" s="64"/>
      <c r="AA317" s="64"/>
      <c r="AB317" s="60"/>
      <c r="AC317" s="64"/>
      <c r="AD317" s="64"/>
      <c r="AE317" s="64"/>
      <c r="AF317" s="64"/>
      <c r="AG317" s="60"/>
      <c r="AH317" s="64"/>
      <c r="AI317" s="64"/>
      <c r="AJ317" s="64"/>
    </row>
    <row r="318" spans="2:36" hidden="1" outlineLevel="1" x14ac:dyDescent="0.25">
      <c r="B318" s="229" t="s">
        <v>195</v>
      </c>
      <c r="E318" s="78" t="s">
        <v>77</v>
      </c>
      <c r="F318" s="21">
        <f t="shared" ref="F318:H318" si="679">F478</f>
        <v>0</v>
      </c>
      <c r="G318" s="21">
        <f t="shared" si="679"/>
        <v>0</v>
      </c>
      <c r="H318" s="21">
        <f t="shared" si="679"/>
        <v>0</v>
      </c>
      <c r="I318" s="85">
        <f t="shared" si="668"/>
        <v>0</v>
      </c>
      <c r="J318" s="85">
        <f t="shared" si="657"/>
        <v>0</v>
      </c>
      <c r="K318" s="85">
        <f t="shared" si="658"/>
        <v>0</v>
      </c>
      <c r="L318" s="85">
        <f t="shared" si="659"/>
        <v>0</v>
      </c>
      <c r="M318" s="17">
        <f t="shared" si="669"/>
        <v>0</v>
      </c>
      <c r="N318" s="85">
        <f t="shared" si="660"/>
        <v>0</v>
      </c>
      <c r="O318" s="85">
        <f t="shared" si="661"/>
        <v>0</v>
      </c>
      <c r="P318" s="85">
        <f t="shared" si="662"/>
        <v>0</v>
      </c>
      <c r="Q318" s="85">
        <f t="shared" si="663"/>
        <v>0</v>
      </c>
      <c r="R318" s="22">
        <f t="shared" si="670"/>
        <v>0</v>
      </c>
      <c r="S318" s="23">
        <f t="shared" si="664"/>
        <v>0</v>
      </c>
      <c r="T318" s="23">
        <f t="shared" si="665"/>
        <v>0</v>
      </c>
      <c r="U318" s="23">
        <f t="shared" si="666"/>
        <v>0</v>
      </c>
      <c r="W318" s="78" t="str">
        <f t="shared" si="671"/>
        <v>blank</v>
      </c>
      <c r="X318" s="64"/>
      <c r="Y318" s="64"/>
      <c r="Z318" s="64"/>
      <c r="AA318" s="64"/>
      <c r="AB318" s="60"/>
      <c r="AC318" s="64"/>
      <c r="AD318" s="64"/>
      <c r="AE318" s="64"/>
      <c r="AF318" s="64"/>
      <c r="AG318" s="60"/>
      <c r="AH318" s="64"/>
      <c r="AI318" s="64"/>
      <c r="AJ318" s="64"/>
    </row>
    <row r="319" spans="2:36" ht="15.75" hidden="1" outlineLevel="1" thickBot="1" x14ac:dyDescent="0.3">
      <c r="E319" s="8" t="s">
        <v>130</v>
      </c>
      <c r="F319" s="9">
        <f>SUM(F309:F318)</f>
        <v>0</v>
      </c>
      <c r="G319" s="9">
        <f t="shared" ref="G319" si="680">SUM(G309:G318)</f>
        <v>0</v>
      </c>
      <c r="H319" s="9">
        <f t="shared" ref="H319" si="681">SUM(H309:H318)</f>
        <v>0</v>
      </c>
      <c r="I319" s="86">
        <f t="shared" ref="I319" si="682">SUM(I309:I318)</f>
        <v>0</v>
      </c>
      <c r="J319" s="86">
        <f t="shared" ref="J319" si="683">SUM(J309:J318)</f>
        <v>0</v>
      </c>
      <c r="K319" s="86">
        <f t="shared" ref="K319" si="684">SUM(K309:K318)</f>
        <v>0</v>
      </c>
      <c r="L319" s="86">
        <f t="shared" ref="L319" si="685">SUM(L309:L318)</f>
        <v>0</v>
      </c>
      <c r="M319" s="18">
        <f t="shared" ref="M319" si="686">SUM(M309:M318)</f>
        <v>0</v>
      </c>
      <c r="N319" s="86">
        <f t="shared" ref="N319" si="687">SUM(N309:N318)</f>
        <v>0</v>
      </c>
      <c r="O319" s="86">
        <f t="shared" ref="O319" si="688">SUM(O309:O318)</f>
        <v>0</v>
      </c>
      <c r="P319" s="86">
        <f t="shared" ref="P319" si="689">SUM(P309:P318)</f>
        <v>0</v>
      </c>
      <c r="Q319" s="86">
        <f t="shared" ref="Q319" si="690">SUM(Q309:Q318)</f>
        <v>0</v>
      </c>
      <c r="R319" s="19">
        <f t="shared" ref="R319" si="691">SUM(R309:R318)</f>
        <v>0</v>
      </c>
      <c r="S319" s="20">
        <f t="shared" ref="S319" si="692">SUM(S309:S318)</f>
        <v>0</v>
      </c>
      <c r="T319" s="20">
        <f t="shared" ref="T319" si="693">SUM(T309:T318)</f>
        <v>0</v>
      </c>
      <c r="U319" s="20">
        <f t="shared" ref="U319" si="694">SUM(U309:U318)</f>
        <v>0</v>
      </c>
    </row>
    <row r="320" spans="2:36" ht="15.75" hidden="1" outlineLevel="1" thickTop="1" x14ac:dyDescent="0.25"/>
    <row r="321" spans="2:36" hidden="1" outlineLevel="1" x14ac:dyDescent="0.25"/>
    <row r="322" spans="2:36" hidden="1" outlineLevel="1" x14ac:dyDescent="0.25"/>
    <row r="323" spans="2:36" ht="18.75" collapsed="1" x14ac:dyDescent="0.3">
      <c r="B323" s="4" t="s">
        <v>34</v>
      </c>
      <c r="C323" s="4" t="s">
        <v>387</v>
      </c>
      <c r="E323" s="53" t="str">
        <f>"Scenario 5: "&amp;Inputs!B26</f>
        <v>Scenario 5: Scenario 5</v>
      </c>
      <c r="F323" s="49"/>
      <c r="G323" s="49"/>
      <c r="H323" s="49"/>
      <c r="I323" s="49"/>
      <c r="J323" s="49"/>
      <c r="K323" s="49"/>
      <c r="L323" s="49"/>
      <c r="M323" s="49"/>
      <c r="N323" s="49"/>
      <c r="O323" s="49"/>
      <c r="P323" s="49"/>
      <c r="Q323" s="49"/>
      <c r="R323" s="49"/>
      <c r="S323" s="49"/>
      <c r="T323" s="49"/>
      <c r="U323" s="49"/>
    </row>
    <row r="324" spans="2:36" hidden="1" outlineLevel="1" x14ac:dyDescent="0.25">
      <c r="E324" s="52" t="str">
        <f>Inputs!C26</f>
        <v>Scenario 5 Description</v>
      </c>
    </row>
    <row r="325" spans="2:36" hidden="1" outlineLevel="1" x14ac:dyDescent="0.25"/>
    <row r="326" spans="2:36" hidden="1" outlineLevel="1" x14ac:dyDescent="0.25"/>
    <row r="327" spans="2:36" hidden="1" outlineLevel="1" x14ac:dyDescent="0.25">
      <c r="E327" s="4" t="s">
        <v>116</v>
      </c>
      <c r="W327" s="4" t="str">
        <f>E327</f>
        <v>Inventory (Gross Inventory + Inventory Reserves)</v>
      </c>
    </row>
    <row r="328" spans="2:36" hidden="1" outlineLevel="1" x14ac:dyDescent="0.25">
      <c r="E328" s="6" t="s">
        <v>25</v>
      </c>
      <c r="W328" s="61" t="s">
        <v>62</v>
      </c>
    </row>
    <row r="329" spans="2:36" hidden="1" outlineLevel="1" x14ac:dyDescent="0.25"/>
    <row r="330" spans="2:36" hidden="1" outlineLevel="1" x14ac:dyDescent="0.25">
      <c r="F330" s="12">
        <f>Inputs!$C$7</f>
        <v>2023</v>
      </c>
      <c r="G330" s="12">
        <f>Inputs!$C$8</f>
        <v>2024</v>
      </c>
      <c r="H330" s="12">
        <f>Inputs!$C$9</f>
        <v>2025</v>
      </c>
      <c r="I330" s="13" t="s">
        <v>1</v>
      </c>
      <c r="J330" s="13" t="s">
        <v>2</v>
      </c>
      <c r="K330" s="13" t="s">
        <v>3</v>
      </c>
      <c r="L330" s="13" t="s">
        <v>4</v>
      </c>
      <c r="M330" s="13">
        <f>Inputs!$C$10</f>
        <v>2026</v>
      </c>
      <c r="N330" s="14" t="s">
        <v>1</v>
      </c>
      <c r="O330" s="14" t="s">
        <v>2</v>
      </c>
      <c r="P330" s="14" t="s">
        <v>3</v>
      </c>
      <c r="Q330" s="14" t="s">
        <v>4</v>
      </c>
      <c r="R330" s="15">
        <f>Inputs!$C$11</f>
        <v>2027</v>
      </c>
      <c r="S330" s="16">
        <f>Inputs!$C$12</f>
        <v>2028</v>
      </c>
      <c r="T330" s="16">
        <f>Inputs!$C$13</f>
        <v>2029</v>
      </c>
      <c r="U330" s="16">
        <f>Inputs!$C$14</f>
        <v>2030</v>
      </c>
      <c r="X330" s="13" t="s">
        <v>1</v>
      </c>
      <c r="Y330" s="13" t="s">
        <v>2</v>
      </c>
      <c r="Z330" s="13" t="s">
        <v>3</v>
      </c>
      <c r="AA330" s="13" t="s">
        <v>4</v>
      </c>
      <c r="AB330" s="13">
        <f>Inputs!$C$10</f>
        <v>2026</v>
      </c>
      <c r="AC330" s="14" t="s">
        <v>1</v>
      </c>
      <c r="AD330" s="14" t="s">
        <v>2</v>
      </c>
      <c r="AE330" s="14" t="s">
        <v>3</v>
      </c>
      <c r="AF330" s="14" t="s">
        <v>4</v>
      </c>
      <c r="AG330" s="15">
        <f>Inputs!$C$11</f>
        <v>2027</v>
      </c>
      <c r="AH330" s="16">
        <f>Inputs!$C$12</f>
        <v>2028</v>
      </c>
      <c r="AI330" s="16">
        <f>Inputs!$C$13</f>
        <v>2029</v>
      </c>
      <c r="AJ330" s="16">
        <f>Inputs!$C$14</f>
        <v>2030</v>
      </c>
    </row>
    <row r="331" spans="2:36" hidden="1" outlineLevel="1" x14ac:dyDescent="0.25">
      <c r="F331" s="71" t="s">
        <v>63</v>
      </c>
      <c r="G331" s="71" t="s">
        <v>63</v>
      </c>
      <c r="H331" s="71" t="s">
        <v>63</v>
      </c>
      <c r="I331" s="71" t="s">
        <v>63</v>
      </c>
      <c r="J331" s="71" t="s">
        <v>63</v>
      </c>
      <c r="K331" s="71" t="s">
        <v>63</v>
      </c>
      <c r="L331" s="71" t="s">
        <v>63</v>
      </c>
      <c r="M331" s="71" t="s">
        <v>63</v>
      </c>
      <c r="N331" s="71" t="s">
        <v>63</v>
      </c>
      <c r="O331" s="71" t="s">
        <v>63</v>
      </c>
      <c r="P331" s="71" t="s">
        <v>63</v>
      </c>
      <c r="Q331" s="71" t="s">
        <v>63</v>
      </c>
      <c r="R331" s="71" t="s">
        <v>63</v>
      </c>
      <c r="S331" s="71" t="s">
        <v>63</v>
      </c>
      <c r="T331" s="71" t="s">
        <v>63</v>
      </c>
      <c r="U331" s="71" t="s">
        <v>63</v>
      </c>
      <c r="X331" s="63" t="s">
        <v>30</v>
      </c>
      <c r="Y331" s="63" t="s">
        <v>30</v>
      </c>
      <c r="Z331" s="63" t="s">
        <v>30</v>
      </c>
      <c r="AA331" s="63" t="s">
        <v>30</v>
      </c>
      <c r="AB331" s="62"/>
      <c r="AC331" s="63" t="s">
        <v>30</v>
      </c>
      <c r="AD331" s="63" t="s">
        <v>30</v>
      </c>
      <c r="AE331" s="63" t="s">
        <v>30</v>
      </c>
      <c r="AF331" s="63" t="s">
        <v>30</v>
      </c>
      <c r="AG331" s="62"/>
      <c r="AH331" s="63" t="s">
        <v>30</v>
      </c>
      <c r="AI331" s="63" t="s">
        <v>30</v>
      </c>
      <c r="AJ331" s="63" t="s">
        <v>30</v>
      </c>
    </row>
    <row r="332" spans="2:36" hidden="1" outlineLevel="1" x14ac:dyDescent="0.25">
      <c r="B332" s="229" t="s">
        <v>195</v>
      </c>
      <c r="C332" s="229"/>
      <c r="E332" s="78" t="s">
        <v>110</v>
      </c>
      <c r="F332" s="21">
        <f>F412</f>
        <v>0</v>
      </c>
      <c r="G332" s="21">
        <f t="shared" ref="G332:H332" si="695">G412</f>
        <v>0</v>
      </c>
      <c r="H332" s="21">
        <f t="shared" si="695"/>
        <v>0</v>
      </c>
      <c r="I332" s="85">
        <f>IF(X332="",I412,X332)</f>
        <v>0</v>
      </c>
      <c r="J332" s="85">
        <f t="shared" ref="J332:L332" si="696">IF(Y332="",J412,Y332)</f>
        <v>0</v>
      </c>
      <c r="K332" s="85">
        <f t="shared" si="696"/>
        <v>0</v>
      </c>
      <c r="L332" s="85">
        <f t="shared" si="696"/>
        <v>0</v>
      </c>
      <c r="M332" s="17">
        <f>L332</f>
        <v>0</v>
      </c>
      <c r="N332" s="85">
        <f t="shared" ref="N332:Q332" si="697">IF(AC332="",N412,AC332)</f>
        <v>0</v>
      </c>
      <c r="O332" s="85">
        <f t="shared" si="697"/>
        <v>0</v>
      </c>
      <c r="P332" s="85">
        <f t="shared" si="697"/>
        <v>0</v>
      </c>
      <c r="Q332" s="85">
        <f t="shared" si="697"/>
        <v>0</v>
      </c>
      <c r="R332" s="22">
        <f>Q332</f>
        <v>0</v>
      </c>
      <c r="S332" s="23">
        <f t="shared" ref="S332:U332" si="698">IF(AH332="",S412,AH332)</f>
        <v>0</v>
      </c>
      <c r="T332" s="23">
        <f t="shared" si="698"/>
        <v>0</v>
      </c>
      <c r="U332" s="23">
        <f t="shared" si="698"/>
        <v>0</v>
      </c>
      <c r="W332" s="78" t="str">
        <f>E332</f>
        <v>Finished Goods</v>
      </c>
      <c r="X332" s="64"/>
      <c r="Y332" s="64"/>
      <c r="Z332" s="64"/>
      <c r="AA332" s="64"/>
      <c r="AB332" s="60"/>
      <c r="AC332" s="64"/>
      <c r="AD332" s="64"/>
      <c r="AE332" s="64"/>
      <c r="AF332" s="64"/>
      <c r="AG332" s="60"/>
      <c r="AH332" s="64"/>
      <c r="AI332" s="64"/>
      <c r="AJ332" s="64"/>
    </row>
    <row r="333" spans="2:36" hidden="1" outlineLevel="1" x14ac:dyDescent="0.25">
      <c r="B333" s="229" t="s">
        <v>195</v>
      </c>
      <c r="E333" s="78" t="s">
        <v>111</v>
      </c>
      <c r="F333" s="21">
        <f t="shared" ref="F333:H333" si="699">F413</f>
        <v>0</v>
      </c>
      <c r="G333" s="21">
        <f t="shared" si="699"/>
        <v>0</v>
      </c>
      <c r="H333" s="21">
        <f t="shared" si="699"/>
        <v>0</v>
      </c>
      <c r="I333" s="85">
        <f t="shared" ref="I333:L333" si="700">IF(X333="",I413,X333)</f>
        <v>0</v>
      </c>
      <c r="J333" s="85">
        <f t="shared" si="700"/>
        <v>0</v>
      </c>
      <c r="K333" s="85">
        <f t="shared" si="700"/>
        <v>0</v>
      </c>
      <c r="L333" s="85">
        <f t="shared" si="700"/>
        <v>0</v>
      </c>
      <c r="M333" s="17">
        <f t="shared" ref="M333:M341" si="701">L333</f>
        <v>0</v>
      </c>
      <c r="N333" s="85">
        <f t="shared" ref="N333:Q333" si="702">IF(AC333="",N413,AC333)</f>
        <v>0</v>
      </c>
      <c r="O333" s="85">
        <f t="shared" si="702"/>
        <v>0</v>
      </c>
      <c r="P333" s="85">
        <f t="shared" si="702"/>
        <v>0</v>
      </c>
      <c r="Q333" s="85">
        <f t="shared" si="702"/>
        <v>0</v>
      </c>
      <c r="R333" s="22">
        <f t="shared" ref="R333:R341" si="703">Q333</f>
        <v>0</v>
      </c>
      <c r="S333" s="23">
        <f t="shared" ref="S333:U333" si="704">IF(AH333="",S413,AH333)</f>
        <v>0</v>
      </c>
      <c r="T333" s="23">
        <f t="shared" si="704"/>
        <v>0</v>
      </c>
      <c r="U333" s="23">
        <f t="shared" si="704"/>
        <v>0</v>
      </c>
      <c r="W333" s="78" t="str">
        <f t="shared" ref="W333:W338" si="705">E333</f>
        <v>Raw Materials</v>
      </c>
      <c r="X333" s="64"/>
      <c r="Y333" s="64"/>
      <c r="Z333" s="64"/>
      <c r="AA333" s="64"/>
      <c r="AB333" s="60"/>
      <c r="AC333" s="64"/>
      <c r="AD333" s="64"/>
      <c r="AE333" s="64"/>
      <c r="AF333" s="64"/>
      <c r="AG333" s="60"/>
      <c r="AH333" s="64"/>
      <c r="AI333" s="64"/>
      <c r="AJ333" s="64"/>
    </row>
    <row r="334" spans="2:36" hidden="1" outlineLevel="1" x14ac:dyDescent="0.25">
      <c r="B334" s="229" t="s">
        <v>195</v>
      </c>
      <c r="E334" s="78" t="s">
        <v>112</v>
      </c>
      <c r="F334" s="21">
        <f t="shared" ref="F334:H334" si="706">F414</f>
        <v>0</v>
      </c>
      <c r="G334" s="21">
        <f t="shared" si="706"/>
        <v>0</v>
      </c>
      <c r="H334" s="21">
        <f t="shared" si="706"/>
        <v>0</v>
      </c>
      <c r="I334" s="85">
        <f t="shared" ref="I334:L334" si="707">IF(X334="",I414,X334)</f>
        <v>0</v>
      </c>
      <c r="J334" s="85">
        <f t="shared" si="707"/>
        <v>0</v>
      </c>
      <c r="K334" s="85">
        <f t="shared" si="707"/>
        <v>0</v>
      </c>
      <c r="L334" s="85">
        <f t="shared" si="707"/>
        <v>0</v>
      </c>
      <c r="M334" s="17">
        <f t="shared" si="701"/>
        <v>0</v>
      </c>
      <c r="N334" s="85">
        <f t="shared" ref="N334:Q334" si="708">IF(AC334="",N414,AC334)</f>
        <v>0</v>
      </c>
      <c r="O334" s="85">
        <f t="shared" si="708"/>
        <v>0</v>
      </c>
      <c r="P334" s="85">
        <f t="shared" si="708"/>
        <v>0</v>
      </c>
      <c r="Q334" s="85">
        <f t="shared" si="708"/>
        <v>0</v>
      </c>
      <c r="R334" s="22">
        <f t="shared" si="703"/>
        <v>0</v>
      </c>
      <c r="S334" s="23">
        <f t="shared" ref="S334:U334" si="709">IF(AH334="",S414,AH334)</f>
        <v>0</v>
      </c>
      <c r="T334" s="23">
        <f t="shared" si="709"/>
        <v>0</v>
      </c>
      <c r="U334" s="23">
        <f t="shared" si="709"/>
        <v>0</v>
      </c>
      <c r="W334" s="78" t="str">
        <f t="shared" si="705"/>
        <v>Capitalized Variances</v>
      </c>
      <c r="X334" s="64"/>
      <c r="Y334" s="64"/>
      <c r="Z334" s="64"/>
      <c r="AA334" s="64"/>
      <c r="AB334" s="60"/>
      <c r="AC334" s="64"/>
      <c r="AD334" s="64"/>
      <c r="AE334" s="64"/>
      <c r="AF334" s="64"/>
      <c r="AG334" s="60"/>
      <c r="AH334" s="64"/>
      <c r="AI334" s="64"/>
      <c r="AJ334" s="64"/>
    </row>
    <row r="335" spans="2:36" hidden="1" outlineLevel="1" x14ac:dyDescent="0.25">
      <c r="B335" s="229" t="s">
        <v>195</v>
      </c>
      <c r="E335" s="78" t="s">
        <v>113</v>
      </c>
      <c r="F335" s="21">
        <f t="shared" ref="F335:H335" si="710">F415</f>
        <v>0</v>
      </c>
      <c r="G335" s="21">
        <f t="shared" si="710"/>
        <v>0</v>
      </c>
      <c r="H335" s="21">
        <f t="shared" si="710"/>
        <v>0</v>
      </c>
      <c r="I335" s="85">
        <f t="shared" ref="I335:L335" si="711">IF(X335="",I415,X335)</f>
        <v>0</v>
      </c>
      <c r="J335" s="85">
        <f t="shared" si="711"/>
        <v>0</v>
      </c>
      <c r="K335" s="85">
        <f t="shared" si="711"/>
        <v>0</v>
      </c>
      <c r="L335" s="85">
        <f t="shared" si="711"/>
        <v>0</v>
      </c>
      <c r="M335" s="17">
        <f t="shared" si="701"/>
        <v>0</v>
      </c>
      <c r="N335" s="85">
        <f t="shared" ref="N335:Q335" si="712">IF(AC335="",N415,AC335)</f>
        <v>0</v>
      </c>
      <c r="O335" s="85">
        <f t="shared" si="712"/>
        <v>0</v>
      </c>
      <c r="P335" s="85">
        <f t="shared" si="712"/>
        <v>0</v>
      </c>
      <c r="Q335" s="85">
        <f t="shared" si="712"/>
        <v>0</v>
      </c>
      <c r="R335" s="22">
        <f t="shared" si="703"/>
        <v>0</v>
      </c>
      <c r="S335" s="23">
        <f t="shared" ref="S335:U335" si="713">IF(AH335="",S415,AH335)</f>
        <v>0</v>
      </c>
      <c r="T335" s="23">
        <f t="shared" si="713"/>
        <v>0</v>
      </c>
      <c r="U335" s="23">
        <f t="shared" si="713"/>
        <v>0</v>
      </c>
      <c r="W335" s="78" t="str">
        <f t="shared" si="705"/>
        <v>Capitalized Overhead</v>
      </c>
      <c r="X335" s="64"/>
      <c r="Y335" s="64"/>
      <c r="Z335" s="64"/>
      <c r="AA335" s="64"/>
      <c r="AB335" s="60"/>
      <c r="AC335" s="64"/>
      <c r="AD335" s="64"/>
      <c r="AE335" s="64"/>
      <c r="AF335" s="64"/>
      <c r="AG335" s="60"/>
      <c r="AH335" s="64"/>
      <c r="AI335" s="64"/>
      <c r="AJ335" s="64"/>
    </row>
    <row r="336" spans="2:36" hidden="1" outlineLevel="1" x14ac:dyDescent="0.25">
      <c r="B336" s="229" t="s">
        <v>195</v>
      </c>
      <c r="E336" s="78" t="s">
        <v>117</v>
      </c>
      <c r="F336" s="21">
        <f t="shared" ref="F336:H336" si="714">F416</f>
        <v>0</v>
      </c>
      <c r="G336" s="21">
        <f t="shared" si="714"/>
        <v>0</v>
      </c>
      <c r="H336" s="21">
        <f t="shared" si="714"/>
        <v>0</v>
      </c>
      <c r="I336" s="85">
        <f t="shared" ref="I336:L336" si="715">IF(X336="",I416,X336)</f>
        <v>0</v>
      </c>
      <c r="J336" s="85">
        <f t="shared" si="715"/>
        <v>0</v>
      </c>
      <c r="K336" s="85">
        <f t="shared" si="715"/>
        <v>0</v>
      </c>
      <c r="L336" s="85">
        <f t="shared" si="715"/>
        <v>0</v>
      </c>
      <c r="M336" s="17">
        <f t="shared" si="701"/>
        <v>0</v>
      </c>
      <c r="N336" s="85">
        <f t="shared" ref="N336:Q336" si="716">IF(AC336="",N416,AC336)</f>
        <v>0</v>
      </c>
      <c r="O336" s="85">
        <f t="shared" si="716"/>
        <v>0</v>
      </c>
      <c r="P336" s="85">
        <f t="shared" si="716"/>
        <v>0</v>
      </c>
      <c r="Q336" s="85">
        <f t="shared" si="716"/>
        <v>0</v>
      </c>
      <c r="R336" s="22">
        <f t="shared" si="703"/>
        <v>0</v>
      </c>
      <c r="S336" s="23">
        <f t="shared" ref="S336:U336" si="717">IF(AH336="",S416,AH336)</f>
        <v>0</v>
      </c>
      <c r="T336" s="23">
        <f t="shared" si="717"/>
        <v>0</v>
      </c>
      <c r="U336" s="23">
        <f t="shared" si="717"/>
        <v>0</v>
      </c>
      <c r="W336" s="78" t="str">
        <f t="shared" si="705"/>
        <v>Work in Progress (WIP)</v>
      </c>
      <c r="X336" s="64"/>
      <c r="Y336" s="64"/>
      <c r="Z336" s="64"/>
      <c r="AA336" s="64"/>
      <c r="AB336" s="60"/>
      <c r="AC336" s="64"/>
      <c r="AD336" s="64"/>
      <c r="AE336" s="64"/>
      <c r="AF336" s="64"/>
      <c r="AG336" s="60"/>
      <c r="AH336" s="64"/>
      <c r="AI336" s="64"/>
      <c r="AJ336" s="64"/>
    </row>
    <row r="337" spans="2:36" hidden="1" outlineLevel="1" x14ac:dyDescent="0.25">
      <c r="B337" s="229" t="s">
        <v>195</v>
      </c>
      <c r="E337" s="78" t="s">
        <v>114</v>
      </c>
      <c r="F337" s="21">
        <f t="shared" ref="F337:H337" si="718">F417</f>
        <v>0</v>
      </c>
      <c r="G337" s="21">
        <f t="shared" si="718"/>
        <v>0</v>
      </c>
      <c r="H337" s="21">
        <f t="shared" si="718"/>
        <v>0</v>
      </c>
      <c r="I337" s="85">
        <f t="shared" ref="I337:L337" si="719">IF(X337="",I417,X337)</f>
        <v>0</v>
      </c>
      <c r="J337" s="85">
        <f t="shared" si="719"/>
        <v>0</v>
      </c>
      <c r="K337" s="85">
        <f t="shared" si="719"/>
        <v>0</v>
      </c>
      <c r="L337" s="85">
        <f t="shared" si="719"/>
        <v>0</v>
      </c>
      <c r="M337" s="17">
        <f t="shared" si="701"/>
        <v>0</v>
      </c>
      <c r="N337" s="85">
        <f t="shared" ref="N337:Q337" si="720">IF(AC337="",N417,AC337)</f>
        <v>0</v>
      </c>
      <c r="O337" s="85">
        <f t="shared" si="720"/>
        <v>0</v>
      </c>
      <c r="P337" s="85">
        <f t="shared" si="720"/>
        <v>0</v>
      </c>
      <c r="Q337" s="85">
        <f t="shared" si="720"/>
        <v>0</v>
      </c>
      <c r="R337" s="22">
        <f t="shared" si="703"/>
        <v>0</v>
      </c>
      <c r="S337" s="23">
        <f t="shared" ref="S337:U337" si="721">IF(AH337="",S417,AH337)</f>
        <v>0</v>
      </c>
      <c r="T337" s="23">
        <f t="shared" si="721"/>
        <v>0</v>
      </c>
      <c r="U337" s="23">
        <f t="shared" si="721"/>
        <v>0</v>
      </c>
      <c r="W337" s="78" t="str">
        <f t="shared" si="705"/>
        <v>E&amp;O Reserves</v>
      </c>
      <c r="X337" s="64"/>
      <c r="Y337" s="64"/>
      <c r="Z337" s="64"/>
      <c r="AA337" s="64"/>
      <c r="AB337" s="60"/>
      <c r="AC337" s="64"/>
      <c r="AD337" s="64"/>
      <c r="AE337" s="64"/>
      <c r="AF337" s="64"/>
      <c r="AG337" s="60"/>
      <c r="AH337" s="64"/>
      <c r="AI337" s="64"/>
      <c r="AJ337" s="64"/>
    </row>
    <row r="338" spans="2:36" hidden="1" outlineLevel="1" x14ac:dyDescent="0.25">
      <c r="B338" s="229" t="s">
        <v>195</v>
      </c>
      <c r="E338" s="78" t="s">
        <v>115</v>
      </c>
      <c r="F338" s="21">
        <f t="shared" ref="F338:H338" si="722">F418</f>
        <v>0</v>
      </c>
      <c r="G338" s="21">
        <f t="shared" si="722"/>
        <v>0</v>
      </c>
      <c r="H338" s="21">
        <f t="shared" si="722"/>
        <v>0</v>
      </c>
      <c r="I338" s="85">
        <f t="shared" ref="I338:L338" si="723">IF(X338="",I418,X338)</f>
        <v>0</v>
      </c>
      <c r="J338" s="85">
        <f t="shared" si="723"/>
        <v>0</v>
      </c>
      <c r="K338" s="85">
        <f t="shared" si="723"/>
        <v>0</v>
      </c>
      <c r="L338" s="85">
        <f t="shared" si="723"/>
        <v>0</v>
      </c>
      <c r="M338" s="17">
        <f t="shared" si="701"/>
        <v>0</v>
      </c>
      <c r="N338" s="85">
        <f t="shared" ref="N338:Q338" si="724">IF(AC338="",N418,AC338)</f>
        <v>0</v>
      </c>
      <c r="O338" s="85">
        <f t="shared" si="724"/>
        <v>0</v>
      </c>
      <c r="P338" s="85">
        <f t="shared" si="724"/>
        <v>0</v>
      </c>
      <c r="Q338" s="85">
        <f t="shared" si="724"/>
        <v>0</v>
      </c>
      <c r="R338" s="22">
        <f t="shared" si="703"/>
        <v>0</v>
      </c>
      <c r="S338" s="23">
        <f t="shared" ref="S338:U338" si="725">IF(AH338="",S418,AH338)</f>
        <v>0</v>
      </c>
      <c r="T338" s="23">
        <f t="shared" si="725"/>
        <v>0</v>
      </c>
      <c r="U338" s="23">
        <f t="shared" si="725"/>
        <v>0</v>
      </c>
      <c r="W338" s="78" t="str">
        <f t="shared" si="705"/>
        <v>Other Inventory Reserves</v>
      </c>
      <c r="X338" s="64"/>
      <c r="Y338" s="64"/>
      <c r="Z338" s="64"/>
      <c r="AA338" s="64"/>
      <c r="AB338" s="60"/>
      <c r="AC338" s="64"/>
      <c r="AD338" s="64"/>
      <c r="AE338" s="64"/>
      <c r="AF338" s="64"/>
      <c r="AG338" s="60"/>
      <c r="AH338" s="64"/>
      <c r="AI338" s="64"/>
      <c r="AJ338" s="64"/>
    </row>
    <row r="339" spans="2:36" hidden="1" outlineLevel="1" x14ac:dyDescent="0.25">
      <c r="B339" s="229" t="s">
        <v>195</v>
      </c>
      <c r="E339" s="78" t="s">
        <v>118</v>
      </c>
      <c r="F339" s="21">
        <f t="shared" ref="F339:H339" si="726">F419</f>
        <v>0</v>
      </c>
      <c r="G339" s="21">
        <f t="shared" si="726"/>
        <v>0</v>
      </c>
      <c r="H339" s="21">
        <f t="shared" si="726"/>
        <v>0</v>
      </c>
      <c r="I339" s="85">
        <f t="shared" ref="I339:L339" si="727">IF(X339="",I419,X339)</f>
        <v>0</v>
      </c>
      <c r="J339" s="85">
        <f t="shared" si="727"/>
        <v>0</v>
      </c>
      <c r="K339" s="85">
        <f t="shared" si="727"/>
        <v>0</v>
      </c>
      <c r="L339" s="85">
        <f t="shared" si="727"/>
        <v>0</v>
      </c>
      <c r="M339" s="17">
        <f t="shared" si="701"/>
        <v>0</v>
      </c>
      <c r="N339" s="85">
        <f t="shared" ref="N339:Q339" si="728">IF(AC339="",N419,AC339)</f>
        <v>0</v>
      </c>
      <c r="O339" s="85">
        <f t="shared" si="728"/>
        <v>0</v>
      </c>
      <c r="P339" s="85">
        <f t="shared" si="728"/>
        <v>0</v>
      </c>
      <c r="Q339" s="85">
        <f t="shared" si="728"/>
        <v>0</v>
      </c>
      <c r="R339" s="22">
        <f t="shared" si="703"/>
        <v>0</v>
      </c>
      <c r="S339" s="23">
        <f t="shared" ref="S339:U339" si="729">IF(AH339="",S419,AH339)</f>
        <v>0</v>
      </c>
      <c r="T339" s="23">
        <f t="shared" si="729"/>
        <v>0</v>
      </c>
      <c r="U339" s="23">
        <f t="shared" si="729"/>
        <v>0</v>
      </c>
      <c r="W339" s="78" t="str">
        <f t="shared" ref="W339:W341" si="730">E339</f>
        <v>Book to Physical Reserve</v>
      </c>
      <c r="X339" s="64"/>
      <c r="Y339" s="64"/>
      <c r="Z339" s="64"/>
      <c r="AA339" s="64"/>
      <c r="AB339" s="60"/>
      <c r="AC339" s="64"/>
      <c r="AD339" s="64"/>
      <c r="AE339" s="64"/>
      <c r="AF339" s="64"/>
      <c r="AG339" s="60"/>
      <c r="AH339" s="64"/>
      <c r="AI339" s="64"/>
      <c r="AJ339" s="64"/>
    </row>
    <row r="340" spans="2:36" hidden="1" outlineLevel="1" x14ac:dyDescent="0.25">
      <c r="B340" s="229" t="s">
        <v>195</v>
      </c>
      <c r="E340" s="78" t="s">
        <v>119</v>
      </c>
      <c r="F340" s="21">
        <f t="shared" ref="F340:H340" si="731">F420</f>
        <v>0</v>
      </c>
      <c r="G340" s="21">
        <f t="shared" si="731"/>
        <v>0</v>
      </c>
      <c r="H340" s="21">
        <f t="shared" si="731"/>
        <v>0</v>
      </c>
      <c r="I340" s="85">
        <f t="shared" ref="I340:L340" si="732">IF(X340="",I420,X340)</f>
        <v>0</v>
      </c>
      <c r="J340" s="85">
        <f t="shared" si="732"/>
        <v>0</v>
      </c>
      <c r="K340" s="85">
        <f t="shared" si="732"/>
        <v>0</v>
      </c>
      <c r="L340" s="85">
        <f t="shared" si="732"/>
        <v>0</v>
      </c>
      <c r="M340" s="17">
        <f t="shared" si="701"/>
        <v>0</v>
      </c>
      <c r="N340" s="85">
        <f t="shared" ref="N340:Q340" si="733">IF(AC340="",N420,AC340)</f>
        <v>0</v>
      </c>
      <c r="O340" s="85">
        <f t="shared" si="733"/>
        <v>0</v>
      </c>
      <c r="P340" s="85">
        <f t="shared" si="733"/>
        <v>0</v>
      </c>
      <c r="Q340" s="85">
        <f t="shared" si="733"/>
        <v>0</v>
      </c>
      <c r="R340" s="22">
        <f t="shared" si="703"/>
        <v>0</v>
      </c>
      <c r="S340" s="23">
        <f t="shared" ref="S340:U340" si="734">IF(AH340="",S420,AH340)</f>
        <v>0</v>
      </c>
      <c r="T340" s="23">
        <f t="shared" si="734"/>
        <v>0</v>
      </c>
      <c r="U340" s="23">
        <f t="shared" si="734"/>
        <v>0</v>
      </c>
      <c r="W340" s="78" t="str">
        <f t="shared" si="730"/>
        <v>LIFO Reserves</v>
      </c>
      <c r="X340" s="64"/>
      <c r="Y340" s="64"/>
      <c r="Z340" s="64"/>
      <c r="AA340" s="64"/>
      <c r="AB340" s="60"/>
      <c r="AC340" s="64"/>
      <c r="AD340" s="64"/>
      <c r="AE340" s="64"/>
      <c r="AF340" s="64"/>
      <c r="AG340" s="60"/>
      <c r="AH340" s="64"/>
      <c r="AI340" s="64"/>
      <c r="AJ340" s="64"/>
    </row>
    <row r="341" spans="2:36" hidden="1" outlineLevel="1" x14ac:dyDescent="0.25">
      <c r="B341" s="229" t="s">
        <v>195</v>
      </c>
      <c r="E341" s="78" t="s">
        <v>77</v>
      </c>
      <c r="F341" s="21">
        <f t="shared" ref="F341:H341" si="735">F421</f>
        <v>0</v>
      </c>
      <c r="G341" s="21">
        <f t="shared" si="735"/>
        <v>0</v>
      </c>
      <c r="H341" s="21">
        <f t="shared" si="735"/>
        <v>0</v>
      </c>
      <c r="I341" s="85">
        <f t="shared" ref="I341:L341" si="736">IF(X341="",I421,X341)</f>
        <v>0</v>
      </c>
      <c r="J341" s="85">
        <f t="shared" si="736"/>
        <v>0</v>
      </c>
      <c r="K341" s="85">
        <f t="shared" si="736"/>
        <v>0</v>
      </c>
      <c r="L341" s="85">
        <f t="shared" si="736"/>
        <v>0</v>
      </c>
      <c r="M341" s="17">
        <f t="shared" si="701"/>
        <v>0</v>
      </c>
      <c r="N341" s="85">
        <f t="shared" ref="N341:Q341" si="737">IF(AC341="",N421,AC341)</f>
        <v>0</v>
      </c>
      <c r="O341" s="85">
        <f t="shared" si="737"/>
        <v>0</v>
      </c>
      <c r="P341" s="85">
        <f t="shared" si="737"/>
        <v>0</v>
      </c>
      <c r="Q341" s="85">
        <f t="shared" si="737"/>
        <v>0</v>
      </c>
      <c r="R341" s="22">
        <f t="shared" si="703"/>
        <v>0</v>
      </c>
      <c r="S341" s="23">
        <f t="shared" ref="S341:U341" si="738">IF(AH341="",S421,AH341)</f>
        <v>0</v>
      </c>
      <c r="T341" s="23">
        <f t="shared" si="738"/>
        <v>0</v>
      </c>
      <c r="U341" s="23">
        <f t="shared" si="738"/>
        <v>0</v>
      </c>
      <c r="W341" s="78" t="str">
        <f t="shared" si="730"/>
        <v>blank</v>
      </c>
      <c r="X341" s="64"/>
      <c r="Y341" s="64"/>
      <c r="Z341" s="64"/>
      <c r="AA341" s="64"/>
      <c r="AB341" s="60"/>
      <c r="AC341" s="64"/>
      <c r="AD341" s="64"/>
      <c r="AE341" s="64"/>
      <c r="AF341" s="64"/>
      <c r="AG341" s="60"/>
      <c r="AH341" s="64"/>
      <c r="AI341" s="64"/>
      <c r="AJ341" s="64"/>
    </row>
    <row r="342" spans="2:36" ht="15.75" hidden="1" outlineLevel="1" thickBot="1" x14ac:dyDescent="0.3">
      <c r="E342" s="8" t="s">
        <v>42</v>
      </c>
      <c r="F342" s="9">
        <f>SUM(F332:F341)</f>
        <v>0</v>
      </c>
      <c r="G342" s="9">
        <f t="shared" ref="G342" si="739">SUM(G332:G341)</f>
        <v>0</v>
      </c>
      <c r="H342" s="9">
        <f t="shared" ref="H342" si="740">SUM(H332:H341)</f>
        <v>0</v>
      </c>
      <c r="I342" s="86">
        <f t="shared" ref="I342" si="741">SUM(I332:I341)</f>
        <v>0</v>
      </c>
      <c r="J342" s="86">
        <f t="shared" ref="J342" si="742">SUM(J332:J341)</f>
        <v>0</v>
      </c>
      <c r="K342" s="86">
        <f t="shared" ref="K342" si="743">SUM(K332:K341)</f>
        <v>0</v>
      </c>
      <c r="L342" s="86">
        <f t="shared" ref="L342" si="744">SUM(L332:L341)</f>
        <v>0</v>
      </c>
      <c r="M342" s="18">
        <f t="shared" ref="M342" si="745">SUM(M332:M341)</f>
        <v>0</v>
      </c>
      <c r="N342" s="86">
        <f t="shared" ref="N342" si="746">SUM(N332:N341)</f>
        <v>0</v>
      </c>
      <c r="O342" s="86">
        <f t="shared" ref="O342" si="747">SUM(O332:O341)</f>
        <v>0</v>
      </c>
      <c r="P342" s="86">
        <f t="shared" ref="P342" si="748">SUM(P332:P341)</f>
        <v>0</v>
      </c>
      <c r="Q342" s="86">
        <f t="shared" ref="Q342" si="749">SUM(Q332:Q341)</f>
        <v>0</v>
      </c>
      <c r="R342" s="19">
        <f t="shared" ref="R342" si="750">SUM(R332:R341)</f>
        <v>0</v>
      </c>
      <c r="S342" s="20">
        <f t="shared" ref="S342" si="751">SUM(S332:S341)</f>
        <v>0</v>
      </c>
      <c r="T342" s="20">
        <f t="shared" ref="T342" si="752">SUM(T332:T341)</f>
        <v>0</v>
      </c>
      <c r="U342" s="20">
        <f t="shared" ref="U342" si="753">SUM(U332:U341)</f>
        <v>0</v>
      </c>
    </row>
    <row r="343" spans="2:36" ht="15.75" hidden="1" outlineLevel="1" thickTop="1" x14ac:dyDescent="0.25">
      <c r="M343" s="3"/>
    </row>
    <row r="344" spans="2:36" hidden="1" outlineLevel="1" x14ac:dyDescent="0.25">
      <c r="M344" s="3"/>
    </row>
    <row r="345" spans="2:36" hidden="1" outlineLevel="1" x14ac:dyDescent="0.25">
      <c r="M345" s="3"/>
    </row>
    <row r="346" spans="2:36" hidden="1" outlineLevel="1" x14ac:dyDescent="0.25">
      <c r="E346" s="4" t="s">
        <v>133</v>
      </c>
      <c r="W346" s="4" t="str">
        <f>E346</f>
        <v>Accounts Receivable (Gross Trade Receivables + Allowance for Doubtful Accounts + Intercompany Recievables)</v>
      </c>
    </row>
    <row r="347" spans="2:36" hidden="1" outlineLevel="1" x14ac:dyDescent="0.25">
      <c r="E347" s="6" t="s">
        <v>25</v>
      </c>
      <c r="W347" s="61" t="s">
        <v>62</v>
      </c>
    </row>
    <row r="348" spans="2:36" hidden="1" outlineLevel="1" x14ac:dyDescent="0.25"/>
    <row r="349" spans="2:36" hidden="1" outlineLevel="1" x14ac:dyDescent="0.25">
      <c r="F349" s="12">
        <f>Inputs!$C$7</f>
        <v>2023</v>
      </c>
      <c r="G349" s="12">
        <f>Inputs!$C$8</f>
        <v>2024</v>
      </c>
      <c r="H349" s="12">
        <f>Inputs!$C$9</f>
        <v>2025</v>
      </c>
      <c r="I349" s="13" t="s">
        <v>1</v>
      </c>
      <c r="J349" s="13" t="s">
        <v>2</v>
      </c>
      <c r="K349" s="13" t="s">
        <v>3</v>
      </c>
      <c r="L349" s="13" t="s">
        <v>4</v>
      </c>
      <c r="M349" s="13">
        <f>Inputs!$C$10</f>
        <v>2026</v>
      </c>
      <c r="N349" s="14" t="s">
        <v>1</v>
      </c>
      <c r="O349" s="14" t="s">
        <v>2</v>
      </c>
      <c r="P349" s="14" t="s">
        <v>3</v>
      </c>
      <c r="Q349" s="14" t="s">
        <v>4</v>
      </c>
      <c r="R349" s="15">
        <f>Inputs!$C$11</f>
        <v>2027</v>
      </c>
      <c r="S349" s="16">
        <f>Inputs!$C$12</f>
        <v>2028</v>
      </c>
      <c r="T349" s="16">
        <f>Inputs!$C$13</f>
        <v>2029</v>
      </c>
      <c r="U349" s="16">
        <f>Inputs!$C$14</f>
        <v>2030</v>
      </c>
      <c r="X349" s="13" t="s">
        <v>1</v>
      </c>
      <c r="Y349" s="13" t="s">
        <v>2</v>
      </c>
      <c r="Z349" s="13" t="s">
        <v>3</v>
      </c>
      <c r="AA349" s="13" t="s">
        <v>4</v>
      </c>
      <c r="AB349" s="13">
        <f>Inputs!$C$10</f>
        <v>2026</v>
      </c>
      <c r="AC349" s="14" t="s">
        <v>1</v>
      </c>
      <c r="AD349" s="14" t="s">
        <v>2</v>
      </c>
      <c r="AE349" s="14" t="s">
        <v>3</v>
      </c>
      <c r="AF349" s="14" t="s">
        <v>4</v>
      </c>
      <c r="AG349" s="15">
        <f>Inputs!$C$11</f>
        <v>2027</v>
      </c>
      <c r="AH349" s="16">
        <f>Inputs!$C$12</f>
        <v>2028</v>
      </c>
      <c r="AI349" s="16">
        <f>Inputs!$C$13</f>
        <v>2029</v>
      </c>
      <c r="AJ349" s="16">
        <f>Inputs!$C$14</f>
        <v>2030</v>
      </c>
    </row>
    <row r="350" spans="2:36" hidden="1" outlineLevel="1" x14ac:dyDescent="0.25">
      <c r="F350" s="71" t="s">
        <v>63</v>
      </c>
      <c r="G350" s="71" t="s">
        <v>63</v>
      </c>
      <c r="H350" s="71" t="s">
        <v>63</v>
      </c>
      <c r="I350" s="71" t="s">
        <v>63</v>
      </c>
      <c r="J350" s="71" t="s">
        <v>63</v>
      </c>
      <c r="K350" s="71" t="s">
        <v>63</v>
      </c>
      <c r="L350" s="71" t="s">
        <v>63</v>
      </c>
      <c r="M350" s="71" t="s">
        <v>63</v>
      </c>
      <c r="N350" s="71" t="s">
        <v>63</v>
      </c>
      <c r="O350" s="71" t="s">
        <v>63</v>
      </c>
      <c r="P350" s="71" t="s">
        <v>63</v>
      </c>
      <c r="Q350" s="71" t="s">
        <v>63</v>
      </c>
      <c r="R350" s="71" t="s">
        <v>63</v>
      </c>
      <c r="S350" s="71" t="s">
        <v>63</v>
      </c>
      <c r="T350" s="71" t="s">
        <v>63</v>
      </c>
      <c r="U350" s="71" t="s">
        <v>63</v>
      </c>
      <c r="X350" s="63" t="s">
        <v>30</v>
      </c>
      <c r="Y350" s="63" t="s">
        <v>30</v>
      </c>
      <c r="Z350" s="63" t="s">
        <v>30</v>
      </c>
      <c r="AA350" s="63" t="s">
        <v>30</v>
      </c>
      <c r="AB350" s="62"/>
      <c r="AC350" s="63" t="s">
        <v>30</v>
      </c>
      <c r="AD350" s="63" t="s">
        <v>30</v>
      </c>
      <c r="AE350" s="63" t="s">
        <v>30</v>
      </c>
      <c r="AF350" s="63" t="s">
        <v>30</v>
      </c>
      <c r="AG350" s="62"/>
      <c r="AH350" s="63" t="s">
        <v>30</v>
      </c>
      <c r="AI350" s="63" t="s">
        <v>30</v>
      </c>
      <c r="AJ350" s="63" t="s">
        <v>30</v>
      </c>
    </row>
    <row r="351" spans="2:36" hidden="1" outlineLevel="1" x14ac:dyDescent="0.25">
      <c r="B351" s="229" t="s">
        <v>195</v>
      </c>
      <c r="C351" s="229"/>
      <c r="E351" s="78" t="s">
        <v>120</v>
      </c>
      <c r="F351" s="21">
        <f>F431</f>
        <v>0</v>
      </c>
      <c r="G351" s="21">
        <f t="shared" ref="G351:H351" si="754">G431</f>
        <v>0</v>
      </c>
      <c r="H351" s="21">
        <f t="shared" si="754"/>
        <v>0</v>
      </c>
      <c r="I351" s="85">
        <f>IF(X351="",I431,X351)</f>
        <v>0</v>
      </c>
      <c r="J351" s="85">
        <f t="shared" ref="J351:J360" si="755">IF(Y351="",J431,Y351)</f>
        <v>0</v>
      </c>
      <c r="K351" s="85">
        <f t="shared" ref="K351:K360" si="756">IF(Z351="",K431,Z351)</f>
        <v>0</v>
      </c>
      <c r="L351" s="85">
        <f t="shared" ref="L351:L360" si="757">IF(AA351="",L431,AA351)</f>
        <v>0</v>
      </c>
      <c r="M351" s="17">
        <f>L351</f>
        <v>0</v>
      </c>
      <c r="N351" s="85">
        <f t="shared" ref="N351:N360" si="758">IF(AC351="",N431,AC351)</f>
        <v>0</v>
      </c>
      <c r="O351" s="85">
        <f t="shared" ref="O351:O360" si="759">IF(AD351="",O431,AD351)</f>
        <v>0</v>
      </c>
      <c r="P351" s="85">
        <f t="shared" ref="P351:P360" si="760">IF(AE351="",P431,AE351)</f>
        <v>0</v>
      </c>
      <c r="Q351" s="85">
        <f t="shared" ref="Q351:Q360" si="761">IF(AF351="",Q431,AF351)</f>
        <v>0</v>
      </c>
      <c r="R351" s="22">
        <f>Q351</f>
        <v>0</v>
      </c>
      <c r="S351" s="23">
        <f t="shared" ref="S351:S360" si="762">IF(AH351="",S431,AH351)</f>
        <v>0</v>
      </c>
      <c r="T351" s="23">
        <f t="shared" ref="T351:T360" si="763">IF(AI351="",T431,AI351)</f>
        <v>0</v>
      </c>
      <c r="U351" s="23">
        <f t="shared" ref="U351:U360" si="764">IF(AJ351="",U431,AJ351)</f>
        <v>0</v>
      </c>
      <c r="W351" s="78" t="str">
        <f t="shared" ref="W351:W354" si="765">E351</f>
        <v>Trade Account Receivable</v>
      </c>
      <c r="X351" s="64"/>
      <c r="Y351" s="64"/>
      <c r="Z351" s="64"/>
      <c r="AA351" s="64"/>
      <c r="AB351" s="60"/>
      <c r="AC351" s="64"/>
      <c r="AD351" s="64"/>
      <c r="AE351" s="64"/>
      <c r="AF351" s="64"/>
      <c r="AG351" s="60"/>
      <c r="AH351" s="64"/>
      <c r="AI351" s="64"/>
      <c r="AJ351" s="64"/>
    </row>
    <row r="352" spans="2:36" hidden="1" outlineLevel="1" x14ac:dyDescent="0.25">
      <c r="B352" s="229" t="s">
        <v>195</v>
      </c>
      <c r="C352" s="229"/>
      <c r="E352" s="78" t="s">
        <v>122</v>
      </c>
      <c r="F352" s="21">
        <f t="shared" ref="F352:H352" si="766">F432</f>
        <v>0</v>
      </c>
      <c r="G352" s="21">
        <f t="shared" si="766"/>
        <v>0</v>
      </c>
      <c r="H352" s="21">
        <f t="shared" si="766"/>
        <v>0</v>
      </c>
      <c r="I352" s="85">
        <f t="shared" ref="I352:I360" si="767">IF(X352="",I432,X352)</f>
        <v>0</v>
      </c>
      <c r="J352" s="85">
        <f t="shared" si="755"/>
        <v>0</v>
      </c>
      <c r="K352" s="85">
        <f t="shared" si="756"/>
        <v>0</v>
      </c>
      <c r="L352" s="85">
        <f t="shared" si="757"/>
        <v>0</v>
      </c>
      <c r="M352" s="17">
        <f t="shared" ref="M352:M360" si="768">L352</f>
        <v>0</v>
      </c>
      <c r="N352" s="85">
        <f t="shared" si="758"/>
        <v>0</v>
      </c>
      <c r="O352" s="85">
        <f t="shared" si="759"/>
        <v>0</v>
      </c>
      <c r="P352" s="85">
        <f t="shared" si="760"/>
        <v>0</v>
      </c>
      <c r="Q352" s="85">
        <f t="shared" si="761"/>
        <v>0</v>
      </c>
      <c r="R352" s="22">
        <f t="shared" ref="R352:R360" si="769">Q352</f>
        <v>0</v>
      </c>
      <c r="S352" s="23">
        <f t="shared" si="762"/>
        <v>0</v>
      </c>
      <c r="T352" s="23">
        <f t="shared" si="763"/>
        <v>0</v>
      </c>
      <c r="U352" s="23">
        <f t="shared" si="764"/>
        <v>0</v>
      </c>
      <c r="W352" s="78" t="str">
        <f t="shared" si="765"/>
        <v>Notes Receivable</v>
      </c>
      <c r="X352" s="64"/>
      <c r="Y352" s="64"/>
      <c r="Z352" s="64"/>
      <c r="AA352" s="64"/>
      <c r="AB352" s="60"/>
      <c r="AC352" s="64"/>
      <c r="AD352" s="64"/>
      <c r="AE352" s="64"/>
      <c r="AF352" s="64"/>
      <c r="AG352" s="60"/>
      <c r="AH352" s="64"/>
      <c r="AI352" s="64"/>
      <c r="AJ352" s="64"/>
    </row>
    <row r="353" spans="2:36" hidden="1" outlineLevel="1" x14ac:dyDescent="0.25">
      <c r="B353" s="229" t="s">
        <v>195</v>
      </c>
      <c r="C353" s="229"/>
      <c r="E353" s="78" t="s">
        <v>123</v>
      </c>
      <c r="F353" s="21">
        <f t="shared" ref="F353:H353" si="770">F433</f>
        <v>0</v>
      </c>
      <c r="G353" s="21">
        <f t="shared" si="770"/>
        <v>0</v>
      </c>
      <c r="H353" s="21">
        <f t="shared" si="770"/>
        <v>0</v>
      </c>
      <c r="I353" s="85">
        <f t="shared" si="767"/>
        <v>0</v>
      </c>
      <c r="J353" s="85">
        <f t="shared" si="755"/>
        <v>0</v>
      </c>
      <c r="K353" s="85">
        <f t="shared" si="756"/>
        <v>0</v>
      </c>
      <c r="L353" s="85">
        <f t="shared" si="757"/>
        <v>0</v>
      </c>
      <c r="M353" s="17">
        <f t="shared" si="768"/>
        <v>0</v>
      </c>
      <c r="N353" s="85">
        <f t="shared" si="758"/>
        <v>0</v>
      </c>
      <c r="O353" s="85">
        <f t="shared" si="759"/>
        <v>0</v>
      </c>
      <c r="P353" s="85">
        <f t="shared" si="760"/>
        <v>0</v>
      </c>
      <c r="Q353" s="85">
        <f t="shared" si="761"/>
        <v>0</v>
      </c>
      <c r="R353" s="22">
        <f t="shared" si="769"/>
        <v>0</v>
      </c>
      <c r="S353" s="23">
        <f t="shared" si="762"/>
        <v>0</v>
      </c>
      <c r="T353" s="23">
        <f t="shared" si="763"/>
        <v>0</v>
      </c>
      <c r="U353" s="23">
        <f t="shared" si="764"/>
        <v>0</v>
      </c>
      <c r="W353" s="78" t="str">
        <f t="shared" si="765"/>
        <v>Sales Lease Receivable</v>
      </c>
      <c r="X353" s="64"/>
      <c r="Y353" s="64"/>
      <c r="Z353" s="64"/>
      <c r="AA353" s="64"/>
      <c r="AB353" s="60"/>
      <c r="AC353" s="64"/>
      <c r="AD353" s="64"/>
      <c r="AE353" s="64"/>
      <c r="AF353" s="64"/>
      <c r="AG353" s="60"/>
      <c r="AH353" s="64"/>
      <c r="AI353" s="64"/>
      <c r="AJ353" s="64"/>
    </row>
    <row r="354" spans="2:36" hidden="1" outlineLevel="1" x14ac:dyDescent="0.25">
      <c r="B354" s="229" t="s">
        <v>195</v>
      </c>
      <c r="C354" s="229"/>
      <c r="E354" s="78" t="s">
        <v>121</v>
      </c>
      <c r="F354" s="21">
        <f t="shared" ref="F354:H354" si="771">F434</f>
        <v>0</v>
      </c>
      <c r="G354" s="21">
        <f t="shared" si="771"/>
        <v>0</v>
      </c>
      <c r="H354" s="21">
        <f t="shared" si="771"/>
        <v>0</v>
      </c>
      <c r="I354" s="85">
        <f t="shared" si="767"/>
        <v>0</v>
      </c>
      <c r="J354" s="85">
        <f t="shared" si="755"/>
        <v>0</v>
      </c>
      <c r="K354" s="85">
        <f t="shared" si="756"/>
        <v>0</v>
      </c>
      <c r="L354" s="85">
        <f t="shared" si="757"/>
        <v>0</v>
      </c>
      <c r="M354" s="17">
        <f t="shared" si="768"/>
        <v>0</v>
      </c>
      <c r="N354" s="85">
        <f t="shared" si="758"/>
        <v>0</v>
      </c>
      <c r="O354" s="85">
        <f t="shared" si="759"/>
        <v>0</v>
      </c>
      <c r="P354" s="85">
        <f t="shared" si="760"/>
        <v>0</v>
      </c>
      <c r="Q354" s="85">
        <f t="shared" si="761"/>
        <v>0</v>
      </c>
      <c r="R354" s="22">
        <f t="shared" si="769"/>
        <v>0</v>
      </c>
      <c r="S354" s="23">
        <f t="shared" si="762"/>
        <v>0</v>
      </c>
      <c r="T354" s="23">
        <f t="shared" si="763"/>
        <v>0</v>
      </c>
      <c r="U354" s="23">
        <f t="shared" si="764"/>
        <v>0</v>
      </c>
      <c r="W354" s="78" t="str">
        <f t="shared" si="765"/>
        <v>Unbilled AR and Other Receivables</v>
      </c>
      <c r="X354" s="64"/>
      <c r="Y354" s="64"/>
      <c r="Z354" s="64"/>
      <c r="AA354" s="64"/>
      <c r="AB354" s="60"/>
      <c r="AC354" s="64"/>
      <c r="AD354" s="64"/>
      <c r="AE354" s="64"/>
      <c r="AF354" s="64"/>
      <c r="AG354" s="60"/>
      <c r="AH354" s="64"/>
      <c r="AI354" s="64"/>
      <c r="AJ354" s="64"/>
    </row>
    <row r="355" spans="2:36" hidden="1" outlineLevel="1" x14ac:dyDescent="0.25">
      <c r="B355" s="229" t="s">
        <v>195</v>
      </c>
      <c r="C355" s="229"/>
      <c r="E355" s="78" t="s">
        <v>41</v>
      </c>
      <c r="F355" s="21">
        <f t="shared" ref="F355:H355" si="772">F435</f>
        <v>0</v>
      </c>
      <c r="G355" s="21">
        <f t="shared" si="772"/>
        <v>0</v>
      </c>
      <c r="H355" s="21">
        <f t="shared" si="772"/>
        <v>0</v>
      </c>
      <c r="I355" s="85">
        <f t="shared" si="767"/>
        <v>0</v>
      </c>
      <c r="J355" s="85">
        <f t="shared" si="755"/>
        <v>0</v>
      </c>
      <c r="K355" s="85">
        <f t="shared" si="756"/>
        <v>0</v>
      </c>
      <c r="L355" s="85">
        <f t="shared" si="757"/>
        <v>0</v>
      </c>
      <c r="M355" s="17">
        <f t="shared" si="768"/>
        <v>0</v>
      </c>
      <c r="N355" s="85">
        <f t="shared" si="758"/>
        <v>0</v>
      </c>
      <c r="O355" s="85">
        <f t="shared" si="759"/>
        <v>0</v>
      </c>
      <c r="P355" s="85">
        <f t="shared" si="760"/>
        <v>0</v>
      </c>
      <c r="Q355" s="85">
        <f t="shared" si="761"/>
        <v>0</v>
      </c>
      <c r="R355" s="22">
        <f t="shared" si="769"/>
        <v>0</v>
      </c>
      <c r="S355" s="23">
        <f t="shared" si="762"/>
        <v>0</v>
      </c>
      <c r="T355" s="23">
        <f t="shared" si="763"/>
        <v>0</v>
      </c>
      <c r="U355" s="23">
        <f t="shared" si="764"/>
        <v>0</v>
      </c>
      <c r="W355" s="78" t="str">
        <f t="shared" ref="W355:W357" si="773">E355</f>
        <v>Allowance for Doubtful Accounts</v>
      </c>
      <c r="X355" s="64"/>
      <c r="Y355" s="64"/>
      <c r="Z355" s="64"/>
      <c r="AA355" s="64"/>
      <c r="AB355" s="60"/>
      <c r="AC355" s="64"/>
      <c r="AD355" s="64"/>
      <c r="AE355" s="64"/>
      <c r="AF355" s="64"/>
      <c r="AG355" s="60"/>
      <c r="AH355" s="64"/>
      <c r="AI355" s="64"/>
      <c r="AJ355" s="64"/>
    </row>
    <row r="356" spans="2:36" hidden="1" outlineLevel="1" x14ac:dyDescent="0.25">
      <c r="B356" s="229" t="s">
        <v>195</v>
      </c>
      <c r="C356" s="229"/>
      <c r="E356" s="78" t="s">
        <v>124</v>
      </c>
      <c r="F356" s="21">
        <f t="shared" ref="F356:H356" si="774">F436</f>
        <v>0</v>
      </c>
      <c r="G356" s="21">
        <f t="shared" si="774"/>
        <v>0</v>
      </c>
      <c r="H356" s="21">
        <f t="shared" si="774"/>
        <v>0</v>
      </c>
      <c r="I356" s="85">
        <f t="shared" si="767"/>
        <v>0</v>
      </c>
      <c r="J356" s="85">
        <f t="shared" si="755"/>
        <v>0</v>
      </c>
      <c r="K356" s="85">
        <f t="shared" si="756"/>
        <v>0</v>
      </c>
      <c r="L356" s="85">
        <f t="shared" si="757"/>
        <v>0</v>
      </c>
      <c r="M356" s="17">
        <f t="shared" si="768"/>
        <v>0</v>
      </c>
      <c r="N356" s="85">
        <f t="shared" si="758"/>
        <v>0</v>
      </c>
      <c r="O356" s="85">
        <f t="shared" si="759"/>
        <v>0</v>
      </c>
      <c r="P356" s="85">
        <f t="shared" si="760"/>
        <v>0</v>
      </c>
      <c r="Q356" s="85">
        <f t="shared" si="761"/>
        <v>0</v>
      </c>
      <c r="R356" s="22">
        <f t="shared" si="769"/>
        <v>0</v>
      </c>
      <c r="S356" s="23">
        <f t="shared" si="762"/>
        <v>0</v>
      </c>
      <c r="T356" s="23">
        <f t="shared" si="763"/>
        <v>0</v>
      </c>
      <c r="U356" s="23">
        <f t="shared" si="764"/>
        <v>0</v>
      </c>
      <c r="W356" s="78" t="str">
        <f t="shared" si="773"/>
        <v>Interco Receivables</v>
      </c>
      <c r="X356" s="64"/>
      <c r="Y356" s="64"/>
      <c r="Z356" s="64"/>
      <c r="AA356" s="64"/>
      <c r="AB356" s="60"/>
      <c r="AC356" s="64"/>
      <c r="AD356" s="64"/>
      <c r="AE356" s="64"/>
      <c r="AF356" s="64"/>
      <c r="AG356" s="60"/>
      <c r="AH356" s="64"/>
      <c r="AI356" s="64"/>
      <c r="AJ356" s="64"/>
    </row>
    <row r="357" spans="2:36" hidden="1" outlineLevel="1" x14ac:dyDescent="0.25">
      <c r="B357" s="229" t="s">
        <v>195</v>
      </c>
      <c r="C357" s="229"/>
      <c r="E357" s="78" t="s">
        <v>77</v>
      </c>
      <c r="F357" s="21">
        <f t="shared" ref="F357:H357" si="775">F437</f>
        <v>0</v>
      </c>
      <c r="G357" s="21">
        <f t="shared" si="775"/>
        <v>0</v>
      </c>
      <c r="H357" s="21">
        <f t="shared" si="775"/>
        <v>0</v>
      </c>
      <c r="I357" s="85">
        <f t="shared" si="767"/>
        <v>0</v>
      </c>
      <c r="J357" s="85">
        <f t="shared" si="755"/>
        <v>0</v>
      </c>
      <c r="K357" s="85">
        <f t="shared" si="756"/>
        <v>0</v>
      </c>
      <c r="L357" s="85">
        <f t="shared" si="757"/>
        <v>0</v>
      </c>
      <c r="M357" s="17">
        <f t="shared" si="768"/>
        <v>0</v>
      </c>
      <c r="N357" s="85">
        <f t="shared" si="758"/>
        <v>0</v>
      </c>
      <c r="O357" s="85">
        <f t="shared" si="759"/>
        <v>0</v>
      </c>
      <c r="P357" s="85">
        <f t="shared" si="760"/>
        <v>0</v>
      </c>
      <c r="Q357" s="85">
        <f t="shared" si="761"/>
        <v>0</v>
      </c>
      <c r="R357" s="22">
        <f t="shared" si="769"/>
        <v>0</v>
      </c>
      <c r="S357" s="23">
        <f t="shared" si="762"/>
        <v>0</v>
      </c>
      <c r="T357" s="23">
        <f t="shared" si="763"/>
        <v>0</v>
      </c>
      <c r="U357" s="23">
        <f t="shared" si="764"/>
        <v>0</v>
      </c>
      <c r="W357" s="78" t="str">
        <f t="shared" si="773"/>
        <v>blank</v>
      </c>
      <c r="X357" s="64"/>
      <c r="Y357" s="64"/>
      <c r="Z357" s="64"/>
      <c r="AA357" s="64"/>
      <c r="AB357" s="60"/>
      <c r="AC357" s="64"/>
      <c r="AD357" s="64"/>
      <c r="AE357" s="64"/>
      <c r="AF357" s="64"/>
      <c r="AG357" s="60"/>
      <c r="AH357" s="64"/>
      <c r="AI357" s="64"/>
      <c r="AJ357" s="64"/>
    </row>
    <row r="358" spans="2:36" hidden="1" outlineLevel="1" x14ac:dyDescent="0.25">
      <c r="B358" s="229" t="s">
        <v>195</v>
      </c>
      <c r="C358" s="229"/>
      <c r="E358" s="78" t="s">
        <v>77</v>
      </c>
      <c r="F358" s="21">
        <f t="shared" ref="F358:H358" si="776">F438</f>
        <v>0</v>
      </c>
      <c r="G358" s="21">
        <f t="shared" si="776"/>
        <v>0</v>
      </c>
      <c r="H358" s="21">
        <f t="shared" si="776"/>
        <v>0</v>
      </c>
      <c r="I358" s="85">
        <f t="shared" si="767"/>
        <v>0</v>
      </c>
      <c r="J358" s="85">
        <f t="shared" si="755"/>
        <v>0</v>
      </c>
      <c r="K358" s="85">
        <f t="shared" si="756"/>
        <v>0</v>
      </c>
      <c r="L358" s="85">
        <f t="shared" si="757"/>
        <v>0</v>
      </c>
      <c r="M358" s="17">
        <f t="shared" si="768"/>
        <v>0</v>
      </c>
      <c r="N358" s="85">
        <f t="shared" si="758"/>
        <v>0</v>
      </c>
      <c r="O358" s="85">
        <f t="shared" si="759"/>
        <v>0</v>
      </c>
      <c r="P358" s="85">
        <f t="shared" si="760"/>
        <v>0</v>
      </c>
      <c r="Q358" s="85">
        <f t="shared" si="761"/>
        <v>0</v>
      </c>
      <c r="R358" s="22">
        <f t="shared" si="769"/>
        <v>0</v>
      </c>
      <c r="S358" s="23">
        <f t="shared" si="762"/>
        <v>0</v>
      </c>
      <c r="T358" s="23">
        <f t="shared" si="763"/>
        <v>0</v>
      </c>
      <c r="U358" s="23">
        <f t="shared" si="764"/>
        <v>0</v>
      </c>
      <c r="W358" s="78" t="str">
        <f t="shared" ref="W358:W360" si="777">E358</f>
        <v>blank</v>
      </c>
      <c r="X358" s="64"/>
      <c r="Y358" s="64"/>
      <c r="Z358" s="64"/>
      <c r="AA358" s="64"/>
      <c r="AB358" s="60"/>
      <c r="AC358" s="64"/>
      <c r="AD358" s="64"/>
      <c r="AE358" s="64"/>
      <c r="AF358" s="64"/>
      <c r="AG358" s="60"/>
      <c r="AH358" s="64"/>
      <c r="AI358" s="64"/>
      <c r="AJ358" s="64"/>
    </row>
    <row r="359" spans="2:36" hidden="1" outlineLevel="1" x14ac:dyDescent="0.25">
      <c r="B359" s="229" t="s">
        <v>195</v>
      </c>
      <c r="C359" s="229"/>
      <c r="E359" s="78" t="s">
        <v>77</v>
      </c>
      <c r="F359" s="21">
        <f t="shared" ref="F359:H359" si="778">F439</f>
        <v>0</v>
      </c>
      <c r="G359" s="21">
        <f t="shared" si="778"/>
        <v>0</v>
      </c>
      <c r="H359" s="21">
        <f t="shared" si="778"/>
        <v>0</v>
      </c>
      <c r="I359" s="85">
        <f t="shared" si="767"/>
        <v>0</v>
      </c>
      <c r="J359" s="85">
        <f t="shared" si="755"/>
        <v>0</v>
      </c>
      <c r="K359" s="85">
        <f t="shared" si="756"/>
        <v>0</v>
      </c>
      <c r="L359" s="85">
        <f t="shared" si="757"/>
        <v>0</v>
      </c>
      <c r="M359" s="17">
        <f t="shared" si="768"/>
        <v>0</v>
      </c>
      <c r="N359" s="85">
        <f t="shared" si="758"/>
        <v>0</v>
      </c>
      <c r="O359" s="85">
        <f t="shared" si="759"/>
        <v>0</v>
      </c>
      <c r="P359" s="85">
        <f t="shared" si="760"/>
        <v>0</v>
      </c>
      <c r="Q359" s="85">
        <f t="shared" si="761"/>
        <v>0</v>
      </c>
      <c r="R359" s="22">
        <f t="shared" si="769"/>
        <v>0</v>
      </c>
      <c r="S359" s="23">
        <f t="shared" si="762"/>
        <v>0</v>
      </c>
      <c r="T359" s="23">
        <f t="shared" si="763"/>
        <v>0</v>
      </c>
      <c r="U359" s="23">
        <f t="shared" si="764"/>
        <v>0</v>
      </c>
      <c r="W359" s="78" t="str">
        <f t="shared" si="777"/>
        <v>blank</v>
      </c>
      <c r="X359" s="64"/>
      <c r="Y359" s="64"/>
      <c r="Z359" s="64"/>
      <c r="AA359" s="64"/>
      <c r="AB359" s="60"/>
      <c r="AC359" s="64"/>
      <c r="AD359" s="64"/>
      <c r="AE359" s="64"/>
      <c r="AF359" s="64"/>
      <c r="AG359" s="60"/>
      <c r="AH359" s="64"/>
      <c r="AI359" s="64"/>
      <c r="AJ359" s="64"/>
    </row>
    <row r="360" spans="2:36" hidden="1" outlineLevel="1" x14ac:dyDescent="0.25">
      <c r="B360" s="229" t="s">
        <v>195</v>
      </c>
      <c r="C360" s="229"/>
      <c r="E360" s="78" t="s">
        <v>77</v>
      </c>
      <c r="F360" s="21">
        <f t="shared" ref="F360:H360" si="779">F440</f>
        <v>0</v>
      </c>
      <c r="G360" s="21">
        <f t="shared" si="779"/>
        <v>0</v>
      </c>
      <c r="H360" s="21">
        <f t="shared" si="779"/>
        <v>0</v>
      </c>
      <c r="I360" s="85">
        <f t="shared" si="767"/>
        <v>0</v>
      </c>
      <c r="J360" s="85">
        <f t="shared" si="755"/>
        <v>0</v>
      </c>
      <c r="K360" s="85">
        <f t="shared" si="756"/>
        <v>0</v>
      </c>
      <c r="L360" s="85">
        <f t="shared" si="757"/>
        <v>0</v>
      </c>
      <c r="M360" s="17">
        <f t="shared" si="768"/>
        <v>0</v>
      </c>
      <c r="N360" s="85">
        <f t="shared" si="758"/>
        <v>0</v>
      </c>
      <c r="O360" s="85">
        <f t="shared" si="759"/>
        <v>0</v>
      </c>
      <c r="P360" s="85">
        <f t="shared" si="760"/>
        <v>0</v>
      </c>
      <c r="Q360" s="85">
        <f t="shared" si="761"/>
        <v>0</v>
      </c>
      <c r="R360" s="22">
        <f t="shared" si="769"/>
        <v>0</v>
      </c>
      <c r="S360" s="23">
        <f t="shared" si="762"/>
        <v>0</v>
      </c>
      <c r="T360" s="23">
        <f t="shared" si="763"/>
        <v>0</v>
      </c>
      <c r="U360" s="23">
        <f t="shared" si="764"/>
        <v>0</v>
      </c>
      <c r="W360" s="78" t="str">
        <f t="shared" si="777"/>
        <v>blank</v>
      </c>
      <c r="X360" s="64"/>
      <c r="Y360" s="64"/>
      <c r="Z360" s="64"/>
      <c r="AA360" s="64"/>
      <c r="AB360" s="60"/>
      <c r="AC360" s="64"/>
      <c r="AD360" s="64"/>
      <c r="AE360" s="64"/>
      <c r="AF360" s="64"/>
      <c r="AG360" s="60"/>
      <c r="AH360" s="64"/>
      <c r="AI360" s="64"/>
      <c r="AJ360" s="64"/>
    </row>
    <row r="361" spans="2:36" ht="15.75" hidden="1" outlineLevel="1" thickBot="1" x14ac:dyDescent="0.3">
      <c r="E361" s="8" t="s">
        <v>125</v>
      </c>
      <c r="F361" s="9">
        <f>SUM(F351:F360)</f>
        <v>0</v>
      </c>
      <c r="G361" s="9">
        <f t="shared" ref="G361" si="780">SUM(G351:G360)</f>
        <v>0</v>
      </c>
      <c r="H361" s="9">
        <f t="shared" ref="H361" si="781">SUM(H351:H360)</f>
        <v>0</v>
      </c>
      <c r="I361" s="86">
        <f t="shared" ref="I361" si="782">SUM(I351:I360)</f>
        <v>0</v>
      </c>
      <c r="J361" s="86">
        <f t="shared" ref="J361" si="783">SUM(J351:J360)</f>
        <v>0</v>
      </c>
      <c r="K361" s="86">
        <f t="shared" ref="K361" si="784">SUM(K351:K360)</f>
        <v>0</v>
      </c>
      <c r="L361" s="86">
        <f t="shared" ref="L361" si="785">SUM(L351:L360)</f>
        <v>0</v>
      </c>
      <c r="M361" s="18">
        <f t="shared" ref="M361" si="786">SUM(M351:M360)</f>
        <v>0</v>
      </c>
      <c r="N361" s="86">
        <f t="shared" ref="N361" si="787">SUM(N351:N360)</f>
        <v>0</v>
      </c>
      <c r="O361" s="86">
        <f t="shared" ref="O361" si="788">SUM(O351:O360)</f>
        <v>0</v>
      </c>
      <c r="P361" s="86">
        <f t="shared" ref="P361" si="789">SUM(P351:P360)</f>
        <v>0</v>
      </c>
      <c r="Q361" s="86">
        <f t="shared" ref="Q361" si="790">SUM(Q351:Q360)</f>
        <v>0</v>
      </c>
      <c r="R361" s="19">
        <f t="shared" ref="R361" si="791">SUM(R351:R360)</f>
        <v>0</v>
      </c>
      <c r="S361" s="20">
        <f t="shared" ref="S361" si="792">SUM(S351:S360)</f>
        <v>0</v>
      </c>
      <c r="T361" s="20">
        <f t="shared" ref="T361" si="793">SUM(T351:T360)</f>
        <v>0</v>
      </c>
      <c r="U361" s="20">
        <f t="shared" ref="U361" si="794">SUM(U351:U360)</f>
        <v>0</v>
      </c>
    </row>
    <row r="362" spans="2:36" ht="15.75" hidden="1" outlineLevel="1" thickTop="1" x14ac:dyDescent="0.25"/>
    <row r="363" spans="2:36" hidden="1" outlineLevel="1" x14ac:dyDescent="0.25"/>
    <row r="364" spans="2:36" hidden="1" outlineLevel="1" x14ac:dyDescent="0.25"/>
    <row r="365" spans="2:36" hidden="1" outlineLevel="1" x14ac:dyDescent="0.25">
      <c r="E365" s="4" t="s">
        <v>128</v>
      </c>
      <c r="W365" s="4" t="str">
        <f>E365</f>
        <v>Accounts Payable (Trade Accts Payable + Current Notes Payable + Intercompany Payables)</v>
      </c>
    </row>
    <row r="366" spans="2:36" hidden="1" outlineLevel="1" x14ac:dyDescent="0.25">
      <c r="E366" s="6" t="s">
        <v>25</v>
      </c>
      <c r="W366" s="61" t="s">
        <v>62</v>
      </c>
    </row>
    <row r="367" spans="2:36" hidden="1" outlineLevel="1" x14ac:dyDescent="0.25"/>
    <row r="368" spans="2:36" hidden="1" outlineLevel="1" x14ac:dyDescent="0.25">
      <c r="F368" s="12">
        <f>Inputs!$C$7</f>
        <v>2023</v>
      </c>
      <c r="G368" s="12">
        <f>Inputs!$C$8</f>
        <v>2024</v>
      </c>
      <c r="H368" s="12">
        <f>Inputs!$C$9</f>
        <v>2025</v>
      </c>
      <c r="I368" s="13" t="s">
        <v>1</v>
      </c>
      <c r="J368" s="13" t="s">
        <v>2</v>
      </c>
      <c r="K368" s="13" t="s">
        <v>3</v>
      </c>
      <c r="L368" s="13" t="s">
        <v>4</v>
      </c>
      <c r="M368" s="13">
        <f>Inputs!$C$10</f>
        <v>2026</v>
      </c>
      <c r="N368" s="14" t="s">
        <v>1</v>
      </c>
      <c r="O368" s="14" t="s">
        <v>2</v>
      </c>
      <c r="P368" s="14" t="s">
        <v>3</v>
      </c>
      <c r="Q368" s="14" t="s">
        <v>4</v>
      </c>
      <c r="R368" s="15">
        <f>Inputs!$C$11</f>
        <v>2027</v>
      </c>
      <c r="S368" s="16">
        <f>Inputs!$C$12</f>
        <v>2028</v>
      </c>
      <c r="T368" s="16">
        <f>Inputs!$C$13</f>
        <v>2029</v>
      </c>
      <c r="U368" s="16">
        <f>Inputs!$C$14</f>
        <v>2030</v>
      </c>
      <c r="X368" s="13" t="s">
        <v>1</v>
      </c>
      <c r="Y368" s="13" t="s">
        <v>2</v>
      </c>
      <c r="Z368" s="13" t="s">
        <v>3</v>
      </c>
      <c r="AA368" s="13" t="s">
        <v>4</v>
      </c>
      <c r="AB368" s="13">
        <f>Inputs!$C$10</f>
        <v>2026</v>
      </c>
      <c r="AC368" s="14" t="s">
        <v>1</v>
      </c>
      <c r="AD368" s="14" t="s">
        <v>2</v>
      </c>
      <c r="AE368" s="14" t="s">
        <v>3</v>
      </c>
      <c r="AF368" s="14" t="s">
        <v>4</v>
      </c>
      <c r="AG368" s="15">
        <f>Inputs!$C$11</f>
        <v>2027</v>
      </c>
      <c r="AH368" s="16">
        <f>Inputs!$C$12</f>
        <v>2028</v>
      </c>
      <c r="AI368" s="16">
        <f>Inputs!$C$13</f>
        <v>2029</v>
      </c>
      <c r="AJ368" s="16">
        <f>Inputs!$C$14</f>
        <v>2030</v>
      </c>
    </row>
    <row r="369" spans="2:36" hidden="1" outlineLevel="1" x14ac:dyDescent="0.25">
      <c r="F369" s="71" t="s">
        <v>63</v>
      </c>
      <c r="G369" s="71" t="s">
        <v>63</v>
      </c>
      <c r="H369" s="71" t="s">
        <v>63</v>
      </c>
      <c r="I369" s="71" t="s">
        <v>63</v>
      </c>
      <c r="J369" s="71" t="s">
        <v>63</v>
      </c>
      <c r="K369" s="71" t="s">
        <v>63</v>
      </c>
      <c r="L369" s="71" t="s">
        <v>63</v>
      </c>
      <c r="M369" s="71" t="s">
        <v>63</v>
      </c>
      <c r="N369" s="71" t="s">
        <v>63</v>
      </c>
      <c r="O369" s="71" t="s">
        <v>63</v>
      </c>
      <c r="P369" s="71" t="s">
        <v>63</v>
      </c>
      <c r="Q369" s="71" t="s">
        <v>63</v>
      </c>
      <c r="R369" s="71" t="s">
        <v>63</v>
      </c>
      <c r="S369" s="71" t="s">
        <v>63</v>
      </c>
      <c r="T369" s="71" t="s">
        <v>63</v>
      </c>
      <c r="U369" s="71" t="s">
        <v>63</v>
      </c>
      <c r="X369" s="63" t="s">
        <v>30</v>
      </c>
      <c r="Y369" s="63" t="s">
        <v>30</v>
      </c>
      <c r="Z369" s="63" t="s">
        <v>30</v>
      </c>
      <c r="AA369" s="63" t="s">
        <v>30</v>
      </c>
      <c r="AB369" s="62"/>
      <c r="AC369" s="63" t="s">
        <v>30</v>
      </c>
      <c r="AD369" s="63" t="s">
        <v>30</v>
      </c>
      <c r="AE369" s="63" t="s">
        <v>30</v>
      </c>
      <c r="AF369" s="63" t="s">
        <v>30</v>
      </c>
      <c r="AG369" s="62"/>
      <c r="AH369" s="63" t="s">
        <v>30</v>
      </c>
      <c r="AI369" s="63" t="s">
        <v>30</v>
      </c>
      <c r="AJ369" s="63" t="s">
        <v>30</v>
      </c>
    </row>
    <row r="370" spans="2:36" hidden="1" outlineLevel="1" x14ac:dyDescent="0.25">
      <c r="B370" s="229" t="s">
        <v>195</v>
      </c>
      <c r="E370" s="78" t="s">
        <v>43</v>
      </c>
      <c r="F370" s="21">
        <f>F450</f>
        <v>0</v>
      </c>
      <c r="G370" s="21">
        <f t="shared" ref="G370:H370" si="795">G450</f>
        <v>0</v>
      </c>
      <c r="H370" s="21">
        <f t="shared" si="795"/>
        <v>0</v>
      </c>
      <c r="I370" s="85">
        <f>IF(X370="",I450,X370)</f>
        <v>0</v>
      </c>
      <c r="J370" s="85">
        <f t="shared" ref="J370:J379" si="796">IF(Y370="",J450,Y370)</f>
        <v>0</v>
      </c>
      <c r="K370" s="85">
        <f t="shared" ref="K370:K379" si="797">IF(Z370="",K450,Z370)</f>
        <v>0</v>
      </c>
      <c r="L370" s="85">
        <f t="shared" ref="L370:L379" si="798">IF(AA370="",L450,AA370)</f>
        <v>0</v>
      </c>
      <c r="M370" s="17">
        <f>L370</f>
        <v>0</v>
      </c>
      <c r="N370" s="85">
        <f t="shared" ref="N370:N379" si="799">IF(AC370="",N450,AC370)</f>
        <v>0</v>
      </c>
      <c r="O370" s="85">
        <f t="shared" ref="O370:O379" si="800">IF(AD370="",O450,AD370)</f>
        <v>0</v>
      </c>
      <c r="P370" s="85">
        <f t="shared" ref="P370:P379" si="801">IF(AE370="",P450,AE370)</f>
        <v>0</v>
      </c>
      <c r="Q370" s="85">
        <f t="shared" ref="Q370:Q379" si="802">IF(AF370="",Q450,AF370)</f>
        <v>0</v>
      </c>
      <c r="R370" s="22">
        <f>Q370</f>
        <v>0</v>
      </c>
      <c r="S370" s="23">
        <f t="shared" ref="S370:S379" si="803">IF(AH370="",S450,AH370)</f>
        <v>0</v>
      </c>
      <c r="T370" s="23">
        <f t="shared" ref="T370:T379" si="804">IF(AI370="",T450,AI370)</f>
        <v>0</v>
      </c>
      <c r="U370" s="23">
        <f t="shared" ref="U370:U379" si="805">IF(AJ370="",U450,AJ370)</f>
        <v>0</v>
      </c>
      <c r="W370" s="78" t="str">
        <f t="shared" ref="W370:W372" si="806">E370</f>
        <v>Trade Accounts Payable</v>
      </c>
      <c r="X370" s="64"/>
      <c r="Y370" s="64"/>
      <c r="Z370" s="64"/>
      <c r="AA370" s="64"/>
      <c r="AB370" s="60"/>
      <c r="AC370" s="64"/>
      <c r="AD370" s="64"/>
      <c r="AE370" s="64"/>
      <c r="AF370" s="64"/>
      <c r="AG370" s="60"/>
      <c r="AH370" s="64"/>
      <c r="AI370" s="64"/>
      <c r="AJ370" s="64"/>
    </row>
    <row r="371" spans="2:36" hidden="1" outlineLevel="1" x14ac:dyDescent="0.25">
      <c r="B371" s="229" t="s">
        <v>195</v>
      </c>
      <c r="E371" s="78" t="s">
        <v>126</v>
      </c>
      <c r="F371" s="21">
        <f t="shared" ref="F371:H371" si="807">F451</f>
        <v>0</v>
      </c>
      <c r="G371" s="21">
        <f t="shared" si="807"/>
        <v>0</v>
      </c>
      <c r="H371" s="21">
        <f t="shared" si="807"/>
        <v>0</v>
      </c>
      <c r="I371" s="85">
        <f t="shared" ref="I371:I379" si="808">IF(X371="",I451,X371)</f>
        <v>0</v>
      </c>
      <c r="J371" s="85">
        <f t="shared" si="796"/>
        <v>0</v>
      </c>
      <c r="K371" s="85">
        <f t="shared" si="797"/>
        <v>0</v>
      </c>
      <c r="L371" s="85">
        <f t="shared" si="798"/>
        <v>0</v>
      </c>
      <c r="M371" s="17">
        <f t="shared" ref="M371:M379" si="809">L371</f>
        <v>0</v>
      </c>
      <c r="N371" s="85">
        <f t="shared" si="799"/>
        <v>0</v>
      </c>
      <c r="O371" s="85">
        <f t="shared" si="800"/>
        <v>0</v>
      </c>
      <c r="P371" s="85">
        <f t="shared" si="801"/>
        <v>0</v>
      </c>
      <c r="Q371" s="85">
        <f t="shared" si="802"/>
        <v>0</v>
      </c>
      <c r="R371" s="22">
        <f t="shared" ref="R371:R379" si="810">Q371</f>
        <v>0</v>
      </c>
      <c r="S371" s="23">
        <f t="shared" si="803"/>
        <v>0</v>
      </c>
      <c r="T371" s="23">
        <f t="shared" si="804"/>
        <v>0</v>
      </c>
      <c r="U371" s="23">
        <f t="shared" si="805"/>
        <v>0</v>
      </c>
      <c r="W371" s="78" t="str">
        <f t="shared" si="806"/>
        <v>Trade Payables Subledger</v>
      </c>
      <c r="X371" s="64"/>
      <c r="Y371" s="64"/>
      <c r="Z371" s="64"/>
      <c r="AA371" s="64"/>
      <c r="AB371" s="60"/>
      <c r="AC371" s="64"/>
      <c r="AD371" s="64"/>
      <c r="AE371" s="64"/>
      <c r="AF371" s="64"/>
      <c r="AG371" s="60"/>
      <c r="AH371" s="64"/>
      <c r="AI371" s="64"/>
      <c r="AJ371" s="64"/>
    </row>
    <row r="372" spans="2:36" hidden="1" outlineLevel="1" x14ac:dyDescent="0.25">
      <c r="B372" s="229" t="s">
        <v>195</v>
      </c>
      <c r="E372" s="78" t="s">
        <v>127</v>
      </c>
      <c r="F372" s="21">
        <f t="shared" ref="F372:H372" si="811">F452</f>
        <v>0</v>
      </c>
      <c r="G372" s="21">
        <f t="shared" si="811"/>
        <v>0</v>
      </c>
      <c r="H372" s="21">
        <f t="shared" si="811"/>
        <v>0</v>
      </c>
      <c r="I372" s="85">
        <f t="shared" si="808"/>
        <v>0</v>
      </c>
      <c r="J372" s="85">
        <f t="shared" si="796"/>
        <v>0</v>
      </c>
      <c r="K372" s="85">
        <f t="shared" si="797"/>
        <v>0</v>
      </c>
      <c r="L372" s="85">
        <f t="shared" si="798"/>
        <v>0</v>
      </c>
      <c r="M372" s="17">
        <f t="shared" si="809"/>
        <v>0</v>
      </c>
      <c r="N372" s="85">
        <f t="shared" si="799"/>
        <v>0</v>
      </c>
      <c r="O372" s="85">
        <f t="shared" si="800"/>
        <v>0</v>
      </c>
      <c r="P372" s="85">
        <f t="shared" si="801"/>
        <v>0</v>
      </c>
      <c r="Q372" s="85">
        <f t="shared" si="802"/>
        <v>0</v>
      </c>
      <c r="R372" s="22">
        <f t="shared" si="810"/>
        <v>0</v>
      </c>
      <c r="S372" s="23">
        <f t="shared" si="803"/>
        <v>0</v>
      </c>
      <c r="T372" s="23">
        <f t="shared" si="804"/>
        <v>0</v>
      </c>
      <c r="U372" s="23">
        <f t="shared" si="805"/>
        <v>0</v>
      </c>
      <c r="W372" s="78" t="str">
        <f t="shared" si="806"/>
        <v>Trade Payables GRNI</v>
      </c>
      <c r="X372" s="64"/>
      <c r="Y372" s="64"/>
      <c r="Z372" s="64"/>
      <c r="AA372" s="64"/>
      <c r="AB372" s="60"/>
      <c r="AC372" s="64"/>
      <c r="AD372" s="64"/>
      <c r="AE372" s="64"/>
      <c r="AF372" s="64"/>
      <c r="AG372" s="60"/>
      <c r="AH372" s="64"/>
      <c r="AI372" s="64"/>
      <c r="AJ372" s="64"/>
    </row>
    <row r="373" spans="2:36" hidden="1" outlineLevel="1" x14ac:dyDescent="0.25">
      <c r="B373" s="229" t="s">
        <v>195</v>
      </c>
      <c r="E373" s="78" t="s">
        <v>44</v>
      </c>
      <c r="F373" s="21">
        <f t="shared" ref="F373:H373" si="812">F453</f>
        <v>0</v>
      </c>
      <c r="G373" s="21">
        <f t="shared" si="812"/>
        <v>0</v>
      </c>
      <c r="H373" s="21">
        <f t="shared" si="812"/>
        <v>0</v>
      </c>
      <c r="I373" s="85">
        <f t="shared" si="808"/>
        <v>0</v>
      </c>
      <c r="J373" s="85">
        <f t="shared" si="796"/>
        <v>0</v>
      </c>
      <c r="K373" s="85">
        <f t="shared" si="797"/>
        <v>0</v>
      </c>
      <c r="L373" s="85">
        <f t="shared" si="798"/>
        <v>0</v>
      </c>
      <c r="M373" s="17">
        <f t="shared" si="809"/>
        <v>0</v>
      </c>
      <c r="N373" s="85">
        <f t="shared" si="799"/>
        <v>0</v>
      </c>
      <c r="O373" s="85">
        <f t="shared" si="800"/>
        <v>0</v>
      </c>
      <c r="P373" s="85">
        <f t="shared" si="801"/>
        <v>0</v>
      </c>
      <c r="Q373" s="85">
        <f t="shared" si="802"/>
        <v>0</v>
      </c>
      <c r="R373" s="22">
        <f t="shared" si="810"/>
        <v>0</v>
      </c>
      <c r="S373" s="23">
        <f t="shared" si="803"/>
        <v>0</v>
      </c>
      <c r="T373" s="23">
        <f t="shared" si="804"/>
        <v>0</v>
      </c>
      <c r="U373" s="23">
        <f t="shared" si="805"/>
        <v>0</v>
      </c>
      <c r="W373" s="78" t="str">
        <f>E373</f>
        <v>Intercompany Payables</v>
      </c>
      <c r="X373" s="64"/>
      <c r="Y373" s="64"/>
      <c r="Z373" s="64"/>
      <c r="AA373" s="64"/>
      <c r="AB373" s="60"/>
      <c r="AC373" s="64"/>
      <c r="AD373" s="64"/>
      <c r="AE373" s="64"/>
      <c r="AF373" s="64"/>
      <c r="AG373" s="60"/>
      <c r="AH373" s="64"/>
      <c r="AI373" s="64"/>
      <c r="AJ373" s="64"/>
    </row>
    <row r="374" spans="2:36" hidden="1" outlineLevel="1" x14ac:dyDescent="0.25">
      <c r="B374" s="229" t="s">
        <v>195</v>
      </c>
      <c r="E374" s="78" t="s">
        <v>77</v>
      </c>
      <c r="F374" s="21">
        <f t="shared" ref="F374:H374" si="813">F454</f>
        <v>0</v>
      </c>
      <c r="G374" s="21">
        <f t="shared" si="813"/>
        <v>0</v>
      </c>
      <c r="H374" s="21">
        <f t="shared" si="813"/>
        <v>0</v>
      </c>
      <c r="I374" s="85">
        <f t="shared" si="808"/>
        <v>0</v>
      </c>
      <c r="J374" s="85">
        <f t="shared" si="796"/>
        <v>0</v>
      </c>
      <c r="K374" s="85">
        <f t="shared" si="797"/>
        <v>0</v>
      </c>
      <c r="L374" s="85">
        <f t="shared" si="798"/>
        <v>0</v>
      </c>
      <c r="M374" s="17">
        <f t="shared" si="809"/>
        <v>0</v>
      </c>
      <c r="N374" s="85">
        <f t="shared" si="799"/>
        <v>0</v>
      </c>
      <c r="O374" s="85">
        <f t="shared" si="800"/>
        <v>0</v>
      </c>
      <c r="P374" s="85">
        <f t="shared" si="801"/>
        <v>0</v>
      </c>
      <c r="Q374" s="85">
        <f t="shared" si="802"/>
        <v>0</v>
      </c>
      <c r="R374" s="22">
        <f t="shared" si="810"/>
        <v>0</v>
      </c>
      <c r="S374" s="23">
        <f t="shared" si="803"/>
        <v>0</v>
      </c>
      <c r="T374" s="23">
        <f t="shared" si="804"/>
        <v>0</v>
      </c>
      <c r="U374" s="23">
        <f t="shared" si="805"/>
        <v>0</v>
      </c>
      <c r="W374" s="78" t="str">
        <f t="shared" ref="W374:W379" si="814">E374</f>
        <v>blank</v>
      </c>
      <c r="X374" s="64"/>
      <c r="Y374" s="64"/>
      <c r="Z374" s="64"/>
      <c r="AA374" s="64"/>
      <c r="AB374" s="60"/>
      <c r="AC374" s="64"/>
      <c r="AD374" s="64"/>
      <c r="AE374" s="64"/>
      <c r="AF374" s="64"/>
      <c r="AG374" s="60"/>
      <c r="AH374" s="64"/>
      <c r="AI374" s="64"/>
      <c r="AJ374" s="64"/>
    </row>
    <row r="375" spans="2:36" hidden="1" outlineLevel="1" x14ac:dyDescent="0.25">
      <c r="B375" s="229" t="s">
        <v>195</v>
      </c>
      <c r="E375" s="78" t="s">
        <v>77</v>
      </c>
      <c r="F375" s="21">
        <f t="shared" ref="F375:H375" si="815">F455</f>
        <v>0</v>
      </c>
      <c r="G375" s="21">
        <f t="shared" si="815"/>
        <v>0</v>
      </c>
      <c r="H375" s="21">
        <f t="shared" si="815"/>
        <v>0</v>
      </c>
      <c r="I375" s="85">
        <f t="shared" si="808"/>
        <v>0</v>
      </c>
      <c r="J375" s="85">
        <f t="shared" si="796"/>
        <v>0</v>
      </c>
      <c r="K375" s="85">
        <f t="shared" si="797"/>
        <v>0</v>
      </c>
      <c r="L375" s="85">
        <f t="shared" si="798"/>
        <v>0</v>
      </c>
      <c r="M375" s="17">
        <f t="shared" si="809"/>
        <v>0</v>
      </c>
      <c r="N375" s="85">
        <f t="shared" si="799"/>
        <v>0</v>
      </c>
      <c r="O375" s="85">
        <f t="shared" si="800"/>
        <v>0</v>
      </c>
      <c r="P375" s="85">
        <f t="shared" si="801"/>
        <v>0</v>
      </c>
      <c r="Q375" s="85">
        <f t="shared" si="802"/>
        <v>0</v>
      </c>
      <c r="R375" s="22">
        <f t="shared" si="810"/>
        <v>0</v>
      </c>
      <c r="S375" s="23">
        <f t="shared" si="803"/>
        <v>0</v>
      </c>
      <c r="T375" s="23">
        <f t="shared" si="804"/>
        <v>0</v>
      </c>
      <c r="U375" s="23">
        <f t="shared" si="805"/>
        <v>0</v>
      </c>
      <c r="W375" s="78" t="str">
        <f t="shared" si="814"/>
        <v>blank</v>
      </c>
      <c r="X375" s="64"/>
      <c r="Y375" s="64"/>
      <c r="Z375" s="64"/>
      <c r="AA375" s="64"/>
      <c r="AB375" s="60"/>
      <c r="AC375" s="64"/>
      <c r="AD375" s="64"/>
      <c r="AE375" s="64"/>
      <c r="AF375" s="64"/>
      <c r="AG375" s="60"/>
      <c r="AH375" s="64"/>
      <c r="AI375" s="64"/>
      <c r="AJ375" s="64"/>
    </row>
    <row r="376" spans="2:36" hidden="1" outlineLevel="1" x14ac:dyDescent="0.25">
      <c r="B376" s="229" t="s">
        <v>195</v>
      </c>
      <c r="E376" s="78" t="s">
        <v>77</v>
      </c>
      <c r="F376" s="21">
        <f t="shared" ref="F376:H376" si="816">F456</f>
        <v>0</v>
      </c>
      <c r="G376" s="21">
        <f t="shared" si="816"/>
        <v>0</v>
      </c>
      <c r="H376" s="21">
        <f t="shared" si="816"/>
        <v>0</v>
      </c>
      <c r="I376" s="85">
        <f t="shared" si="808"/>
        <v>0</v>
      </c>
      <c r="J376" s="85">
        <f t="shared" si="796"/>
        <v>0</v>
      </c>
      <c r="K376" s="85">
        <f t="shared" si="797"/>
        <v>0</v>
      </c>
      <c r="L376" s="85">
        <f t="shared" si="798"/>
        <v>0</v>
      </c>
      <c r="M376" s="17">
        <f t="shared" si="809"/>
        <v>0</v>
      </c>
      <c r="N376" s="85">
        <f t="shared" si="799"/>
        <v>0</v>
      </c>
      <c r="O376" s="85">
        <f t="shared" si="800"/>
        <v>0</v>
      </c>
      <c r="P376" s="85">
        <f t="shared" si="801"/>
        <v>0</v>
      </c>
      <c r="Q376" s="85">
        <f t="shared" si="802"/>
        <v>0</v>
      </c>
      <c r="R376" s="22">
        <f t="shared" si="810"/>
        <v>0</v>
      </c>
      <c r="S376" s="23">
        <f t="shared" si="803"/>
        <v>0</v>
      </c>
      <c r="T376" s="23">
        <f t="shared" si="804"/>
        <v>0</v>
      </c>
      <c r="U376" s="23">
        <f t="shared" si="805"/>
        <v>0</v>
      </c>
      <c r="W376" s="78" t="str">
        <f t="shared" si="814"/>
        <v>blank</v>
      </c>
      <c r="X376" s="64"/>
      <c r="Y376" s="64"/>
      <c r="Z376" s="64"/>
      <c r="AA376" s="64"/>
      <c r="AB376" s="60"/>
      <c r="AC376" s="64"/>
      <c r="AD376" s="64"/>
      <c r="AE376" s="64"/>
      <c r="AF376" s="64"/>
      <c r="AG376" s="60"/>
      <c r="AH376" s="64"/>
      <c r="AI376" s="64"/>
      <c r="AJ376" s="64"/>
    </row>
    <row r="377" spans="2:36" hidden="1" outlineLevel="1" x14ac:dyDescent="0.25">
      <c r="B377" s="229" t="s">
        <v>195</v>
      </c>
      <c r="E377" s="78" t="s">
        <v>77</v>
      </c>
      <c r="F377" s="21">
        <f t="shared" ref="F377:H377" si="817">F457</f>
        <v>0</v>
      </c>
      <c r="G377" s="21">
        <f t="shared" si="817"/>
        <v>0</v>
      </c>
      <c r="H377" s="21">
        <f t="shared" si="817"/>
        <v>0</v>
      </c>
      <c r="I377" s="85">
        <f t="shared" si="808"/>
        <v>0</v>
      </c>
      <c r="J377" s="85">
        <f t="shared" si="796"/>
        <v>0</v>
      </c>
      <c r="K377" s="85">
        <f t="shared" si="797"/>
        <v>0</v>
      </c>
      <c r="L377" s="85">
        <f t="shared" si="798"/>
        <v>0</v>
      </c>
      <c r="M377" s="17">
        <f t="shared" si="809"/>
        <v>0</v>
      </c>
      <c r="N377" s="85">
        <f t="shared" si="799"/>
        <v>0</v>
      </c>
      <c r="O377" s="85">
        <f t="shared" si="800"/>
        <v>0</v>
      </c>
      <c r="P377" s="85">
        <f t="shared" si="801"/>
        <v>0</v>
      </c>
      <c r="Q377" s="85">
        <f t="shared" si="802"/>
        <v>0</v>
      </c>
      <c r="R377" s="22">
        <f t="shared" si="810"/>
        <v>0</v>
      </c>
      <c r="S377" s="23">
        <f t="shared" si="803"/>
        <v>0</v>
      </c>
      <c r="T377" s="23">
        <f t="shared" si="804"/>
        <v>0</v>
      </c>
      <c r="U377" s="23">
        <f t="shared" si="805"/>
        <v>0</v>
      </c>
      <c r="W377" s="78" t="str">
        <f t="shared" si="814"/>
        <v>blank</v>
      </c>
      <c r="X377" s="64"/>
      <c r="Y377" s="64"/>
      <c r="Z377" s="64"/>
      <c r="AA377" s="64"/>
      <c r="AB377" s="60"/>
      <c r="AC377" s="64"/>
      <c r="AD377" s="64"/>
      <c r="AE377" s="64"/>
      <c r="AF377" s="64"/>
      <c r="AG377" s="60"/>
      <c r="AH377" s="64"/>
      <c r="AI377" s="64"/>
      <c r="AJ377" s="64"/>
    </row>
    <row r="378" spans="2:36" hidden="1" outlineLevel="1" x14ac:dyDescent="0.25">
      <c r="B378" s="229" t="s">
        <v>195</v>
      </c>
      <c r="E378" s="78" t="s">
        <v>77</v>
      </c>
      <c r="F378" s="21">
        <f t="shared" ref="F378:H378" si="818">F458</f>
        <v>0</v>
      </c>
      <c r="G378" s="21">
        <f t="shared" si="818"/>
        <v>0</v>
      </c>
      <c r="H378" s="21">
        <f t="shared" si="818"/>
        <v>0</v>
      </c>
      <c r="I378" s="85">
        <f t="shared" si="808"/>
        <v>0</v>
      </c>
      <c r="J378" s="85">
        <f t="shared" si="796"/>
        <v>0</v>
      </c>
      <c r="K378" s="85">
        <f t="shared" si="797"/>
        <v>0</v>
      </c>
      <c r="L378" s="85">
        <f t="shared" si="798"/>
        <v>0</v>
      </c>
      <c r="M378" s="17">
        <f t="shared" si="809"/>
        <v>0</v>
      </c>
      <c r="N378" s="85">
        <f t="shared" si="799"/>
        <v>0</v>
      </c>
      <c r="O378" s="85">
        <f t="shared" si="800"/>
        <v>0</v>
      </c>
      <c r="P378" s="85">
        <f t="shared" si="801"/>
        <v>0</v>
      </c>
      <c r="Q378" s="85">
        <f t="shared" si="802"/>
        <v>0</v>
      </c>
      <c r="R378" s="22">
        <f t="shared" si="810"/>
        <v>0</v>
      </c>
      <c r="S378" s="23">
        <f t="shared" si="803"/>
        <v>0</v>
      </c>
      <c r="T378" s="23">
        <f t="shared" si="804"/>
        <v>0</v>
      </c>
      <c r="U378" s="23">
        <f t="shared" si="805"/>
        <v>0</v>
      </c>
      <c r="W378" s="78" t="str">
        <f t="shared" si="814"/>
        <v>blank</v>
      </c>
      <c r="X378" s="64"/>
      <c r="Y378" s="64"/>
      <c r="Z378" s="64"/>
      <c r="AA378" s="64"/>
      <c r="AB378" s="60"/>
      <c r="AC378" s="64"/>
      <c r="AD378" s="64"/>
      <c r="AE378" s="64"/>
      <c r="AF378" s="64"/>
      <c r="AG378" s="60"/>
      <c r="AH378" s="64"/>
      <c r="AI378" s="64"/>
      <c r="AJ378" s="64"/>
    </row>
    <row r="379" spans="2:36" hidden="1" outlineLevel="1" x14ac:dyDescent="0.25">
      <c r="B379" s="229" t="s">
        <v>195</v>
      </c>
      <c r="E379" s="78" t="s">
        <v>77</v>
      </c>
      <c r="F379" s="21">
        <f t="shared" ref="F379:H379" si="819">F459</f>
        <v>0</v>
      </c>
      <c r="G379" s="21">
        <f t="shared" si="819"/>
        <v>0</v>
      </c>
      <c r="H379" s="21">
        <f t="shared" si="819"/>
        <v>0</v>
      </c>
      <c r="I379" s="85">
        <f t="shared" si="808"/>
        <v>0</v>
      </c>
      <c r="J379" s="85">
        <f t="shared" si="796"/>
        <v>0</v>
      </c>
      <c r="K379" s="85">
        <f t="shared" si="797"/>
        <v>0</v>
      </c>
      <c r="L379" s="85">
        <f t="shared" si="798"/>
        <v>0</v>
      </c>
      <c r="M379" s="17">
        <f t="shared" si="809"/>
        <v>0</v>
      </c>
      <c r="N379" s="85">
        <f t="shared" si="799"/>
        <v>0</v>
      </c>
      <c r="O379" s="85">
        <f t="shared" si="800"/>
        <v>0</v>
      </c>
      <c r="P379" s="85">
        <f t="shared" si="801"/>
        <v>0</v>
      </c>
      <c r="Q379" s="85">
        <f t="shared" si="802"/>
        <v>0</v>
      </c>
      <c r="R379" s="22">
        <f t="shared" si="810"/>
        <v>0</v>
      </c>
      <c r="S379" s="23">
        <f t="shared" si="803"/>
        <v>0</v>
      </c>
      <c r="T379" s="23">
        <f t="shared" si="804"/>
        <v>0</v>
      </c>
      <c r="U379" s="23">
        <f t="shared" si="805"/>
        <v>0</v>
      </c>
      <c r="W379" s="78" t="str">
        <f t="shared" si="814"/>
        <v>blank</v>
      </c>
      <c r="X379" s="64"/>
      <c r="Y379" s="64"/>
      <c r="Z379" s="64"/>
      <c r="AA379" s="64"/>
      <c r="AB379" s="60"/>
      <c r="AC379" s="64"/>
      <c r="AD379" s="64"/>
      <c r="AE379" s="64"/>
      <c r="AF379" s="64"/>
      <c r="AG379" s="60"/>
      <c r="AH379" s="64"/>
      <c r="AI379" s="64"/>
      <c r="AJ379" s="64"/>
    </row>
    <row r="380" spans="2:36" ht="15.75" hidden="1" outlineLevel="1" thickBot="1" x14ac:dyDescent="0.3">
      <c r="E380" s="8" t="s">
        <v>131</v>
      </c>
      <c r="F380" s="9">
        <f>SUM(F370:F379)</f>
        <v>0</v>
      </c>
      <c r="G380" s="9">
        <f t="shared" ref="G380" si="820">SUM(G370:G379)</f>
        <v>0</v>
      </c>
      <c r="H380" s="9">
        <f t="shared" ref="H380" si="821">SUM(H370:H379)</f>
        <v>0</v>
      </c>
      <c r="I380" s="86">
        <f t="shared" ref="I380" si="822">SUM(I370:I379)</f>
        <v>0</v>
      </c>
      <c r="J380" s="86">
        <f t="shared" ref="J380" si="823">SUM(J370:J379)</f>
        <v>0</v>
      </c>
      <c r="K380" s="86">
        <f t="shared" ref="K380" si="824">SUM(K370:K379)</f>
        <v>0</v>
      </c>
      <c r="L380" s="86">
        <f t="shared" ref="L380" si="825">SUM(L370:L379)</f>
        <v>0</v>
      </c>
      <c r="M380" s="18">
        <f t="shared" ref="M380" si="826">SUM(M370:M379)</f>
        <v>0</v>
      </c>
      <c r="N380" s="86">
        <f t="shared" ref="N380" si="827">SUM(N370:N379)</f>
        <v>0</v>
      </c>
      <c r="O380" s="86">
        <f t="shared" ref="O380" si="828">SUM(O370:O379)</f>
        <v>0</v>
      </c>
      <c r="P380" s="86">
        <f t="shared" ref="P380" si="829">SUM(P370:P379)</f>
        <v>0</v>
      </c>
      <c r="Q380" s="86">
        <f t="shared" ref="Q380" si="830">SUM(Q370:Q379)</f>
        <v>0</v>
      </c>
      <c r="R380" s="19">
        <f t="shared" ref="R380" si="831">SUM(R370:R379)</f>
        <v>0</v>
      </c>
      <c r="S380" s="20">
        <f t="shared" ref="S380" si="832">SUM(S370:S379)</f>
        <v>0</v>
      </c>
      <c r="T380" s="20">
        <f t="shared" ref="T380" si="833">SUM(T370:T379)</f>
        <v>0</v>
      </c>
      <c r="U380" s="20">
        <f t="shared" ref="U380" si="834">SUM(U370:U379)</f>
        <v>0</v>
      </c>
    </row>
    <row r="381" spans="2:36" ht="15.75" hidden="1" outlineLevel="1" thickTop="1" x14ac:dyDescent="0.25"/>
    <row r="382" spans="2:36" hidden="1" outlineLevel="1" x14ac:dyDescent="0.25"/>
    <row r="383" spans="2:36" hidden="1" outlineLevel="1" x14ac:dyDescent="0.25"/>
    <row r="384" spans="2:36" hidden="1" outlineLevel="1" x14ac:dyDescent="0.25">
      <c r="E384" s="4" t="s">
        <v>109</v>
      </c>
      <c r="W384" s="4" t="str">
        <f>E384</f>
        <v>Short Term Deferred Revenue</v>
      </c>
    </row>
    <row r="385" spans="2:36" hidden="1" outlineLevel="1" x14ac:dyDescent="0.25">
      <c r="E385" s="6" t="s">
        <v>25</v>
      </c>
      <c r="W385" s="61" t="s">
        <v>62</v>
      </c>
    </row>
    <row r="386" spans="2:36" hidden="1" outlineLevel="1" x14ac:dyDescent="0.25"/>
    <row r="387" spans="2:36" hidden="1" outlineLevel="1" x14ac:dyDescent="0.25">
      <c r="F387" s="12">
        <f>Inputs!$C$7</f>
        <v>2023</v>
      </c>
      <c r="G387" s="12">
        <f>Inputs!$C$8</f>
        <v>2024</v>
      </c>
      <c r="H387" s="12">
        <f>Inputs!$C$9</f>
        <v>2025</v>
      </c>
      <c r="I387" s="13" t="s">
        <v>1</v>
      </c>
      <c r="J387" s="13" t="s">
        <v>2</v>
      </c>
      <c r="K387" s="13" t="s">
        <v>3</v>
      </c>
      <c r="L387" s="13" t="s">
        <v>4</v>
      </c>
      <c r="M387" s="13">
        <f>Inputs!$C$10</f>
        <v>2026</v>
      </c>
      <c r="N387" s="14" t="s">
        <v>1</v>
      </c>
      <c r="O387" s="14" t="s">
        <v>2</v>
      </c>
      <c r="P387" s="14" t="s">
        <v>3</v>
      </c>
      <c r="Q387" s="14" t="s">
        <v>4</v>
      </c>
      <c r="R387" s="15">
        <f>Inputs!$C$11</f>
        <v>2027</v>
      </c>
      <c r="S387" s="16">
        <f>Inputs!$C$12</f>
        <v>2028</v>
      </c>
      <c r="T387" s="16">
        <f>Inputs!$C$13</f>
        <v>2029</v>
      </c>
      <c r="U387" s="16">
        <f>Inputs!$C$14</f>
        <v>2030</v>
      </c>
      <c r="X387" s="13" t="s">
        <v>1</v>
      </c>
      <c r="Y387" s="13" t="s">
        <v>2</v>
      </c>
      <c r="Z387" s="13" t="s">
        <v>3</v>
      </c>
      <c r="AA387" s="13" t="s">
        <v>4</v>
      </c>
      <c r="AB387" s="13">
        <f>Inputs!$C$10</f>
        <v>2026</v>
      </c>
      <c r="AC387" s="14" t="s">
        <v>1</v>
      </c>
      <c r="AD387" s="14" t="s">
        <v>2</v>
      </c>
      <c r="AE387" s="14" t="s">
        <v>3</v>
      </c>
      <c r="AF387" s="14" t="s">
        <v>4</v>
      </c>
      <c r="AG387" s="15">
        <f>Inputs!$C$11</f>
        <v>2027</v>
      </c>
      <c r="AH387" s="16">
        <f>Inputs!$C$12</f>
        <v>2028</v>
      </c>
      <c r="AI387" s="16">
        <f>Inputs!$C$13</f>
        <v>2029</v>
      </c>
      <c r="AJ387" s="16">
        <f>Inputs!$C$14</f>
        <v>2030</v>
      </c>
    </row>
    <row r="388" spans="2:36" hidden="1" outlineLevel="1" x14ac:dyDescent="0.25">
      <c r="F388" s="71" t="s">
        <v>63</v>
      </c>
      <c r="G388" s="71" t="s">
        <v>63</v>
      </c>
      <c r="H388" s="71" t="s">
        <v>63</v>
      </c>
      <c r="I388" s="71" t="s">
        <v>63</v>
      </c>
      <c r="J388" s="71" t="s">
        <v>63</v>
      </c>
      <c r="K388" s="71" t="s">
        <v>63</v>
      </c>
      <c r="L388" s="71" t="s">
        <v>63</v>
      </c>
      <c r="M388" s="71" t="s">
        <v>63</v>
      </c>
      <c r="N388" s="71" t="s">
        <v>63</v>
      </c>
      <c r="O388" s="71" t="s">
        <v>63</v>
      </c>
      <c r="P388" s="71" t="s">
        <v>63</v>
      </c>
      <c r="Q388" s="71" t="s">
        <v>63</v>
      </c>
      <c r="R388" s="71" t="s">
        <v>63</v>
      </c>
      <c r="S388" s="71" t="s">
        <v>63</v>
      </c>
      <c r="T388" s="71" t="s">
        <v>63</v>
      </c>
      <c r="U388" s="71" t="s">
        <v>63</v>
      </c>
      <c r="X388" s="63" t="s">
        <v>30</v>
      </c>
      <c r="Y388" s="63" t="s">
        <v>30</v>
      </c>
      <c r="Z388" s="63" t="s">
        <v>30</v>
      </c>
      <c r="AA388" s="63" t="s">
        <v>30</v>
      </c>
      <c r="AB388" s="62"/>
      <c r="AC388" s="63" t="s">
        <v>30</v>
      </c>
      <c r="AD388" s="63" t="s">
        <v>30</v>
      </c>
      <c r="AE388" s="63" t="s">
        <v>30</v>
      </c>
      <c r="AF388" s="63" t="s">
        <v>30</v>
      </c>
      <c r="AG388" s="62"/>
      <c r="AH388" s="63" t="s">
        <v>30</v>
      </c>
      <c r="AI388" s="63" t="s">
        <v>30</v>
      </c>
      <c r="AJ388" s="63" t="s">
        <v>30</v>
      </c>
    </row>
    <row r="389" spans="2:36" hidden="1" outlineLevel="1" x14ac:dyDescent="0.25">
      <c r="B389" s="229" t="s">
        <v>195</v>
      </c>
      <c r="E389" s="78" t="s">
        <v>129</v>
      </c>
      <c r="F389" s="21">
        <f>F469</f>
        <v>0</v>
      </c>
      <c r="G389" s="21">
        <f t="shared" ref="G389:H389" si="835">G469</f>
        <v>0</v>
      </c>
      <c r="H389" s="21">
        <f t="shared" si="835"/>
        <v>0</v>
      </c>
      <c r="I389" s="85">
        <f>IF(X389="",I469,X389)</f>
        <v>0</v>
      </c>
      <c r="J389" s="85">
        <f t="shared" ref="J389:J398" si="836">IF(Y389="",J469,Y389)</f>
        <v>0</v>
      </c>
      <c r="K389" s="85">
        <f t="shared" ref="K389:K398" si="837">IF(Z389="",K469,Z389)</f>
        <v>0</v>
      </c>
      <c r="L389" s="85">
        <f t="shared" ref="L389:L398" si="838">IF(AA389="",L469,AA389)</f>
        <v>0</v>
      </c>
      <c r="M389" s="17">
        <f>L389</f>
        <v>0</v>
      </c>
      <c r="N389" s="85">
        <f t="shared" ref="N389:N398" si="839">IF(AC389="",N469,AC389)</f>
        <v>0</v>
      </c>
      <c r="O389" s="85">
        <f t="shared" ref="O389:O398" si="840">IF(AD389="",O469,AD389)</f>
        <v>0</v>
      </c>
      <c r="P389" s="85">
        <f t="shared" ref="P389:P398" si="841">IF(AE389="",P469,AE389)</f>
        <v>0</v>
      </c>
      <c r="Q389" s="85">
        <f t="shared" ref="Q389:Q398" si="842">IF(AF389="",Q469,AF389)</f>
        <v>0</v>
      </c>
      <c r="R389" s="22">
        <f>Q389</f>
        <v>0</v>
      </c>
      <c r="S389" s="23">
        <f t="shared" ref="S389:S398" si="843">IF(AH389="",S469,AH389)</f>
        <v>0</v>
      </c>
      <c r="T389" s="23">
        <f t="shared" ref="T389:T398" si="844">IF(AI389="",T469,AI389)</f>
        <v>0</v>
      </c>
      <c r="U389" s="23">
        <f t="shared" ref="U389:U398" si="845">IF(AJ389="",U469,AJ389)</f>
        <v>0</v>
      </c>
      <c r="W389" s="78" t="str">
        <f>E389</f>
        <v>Unearned Revenue and Customer Deposits</v>
      </c>
      <c r="X389" s="64"/>
      <c r="Y389" s="64"/>
      <c r="Z389" s="64"/>
      <c r="AA389" s="64"/>
      <c r="AB389" s="60"/>
      <c r="AC389" s="64"/>
      <c r="AD389" s="64"/>
      <c r="AE389" s="64"/>
      <c r="AF389" s="64"/>
      <c r="AG389" s="60"/>
      <c r="AH389" s="64"/>
      <c r="AI389" s="64"/>
      <c r="AJ389" s="64"/>
    </row>
    <row r="390" spans="2:36" hidden="1" outlineLevel="1" x14ac:dyDescent="0.25">
      <c r="B390" s="229" t="s">
        <v>195</v>
      </c>
      <c r="E390" s="78" t="s">
        <v>77</v>
      </c>
      <c r="F390" s="21">
        <f t="shared" ref="F390:H390" si="846">F470</f>
        <v>0</v>
      </c>
      <c r="G390" s="21">
        <f t="shared" si="846"/>
        <v>0</v>
      </c>
      <c r="H390" s="21">
        <f t="shared" si="846"/>
        <v>0</v>
      </c>
      <c r="I390" s="85">
        <f t="shared" ref="I390:I398" si="847">IF(X390="",I470,X390)</f>
        <v>0</v>
      </c>
      <c r="J390" s="85">
        <f t="shared" si="836"/>
        <v>0</v>
      </c>
      <c r="K390" s="85">
        <f t="shared" si="837"/>
        <v>0</v>
      </c>
      <c r="L390" s="85">
        <f t="shared" si="838"/>
        <v>0</v>
      </c>
      <c r="M390" s="17">
        <f t="shared" ref="M390:M398" si="848">L390</f>
        <v>0</v>
      </c>
      <c r="N390" s="85">
        <f t="shared" si="839"/>
        <v>0</v>
      </c>
      <c r="O390" s="85">
        <f t="shared" si="840"/>
        <v>0</v>
      </c>
      <c r="P390" s="85">
        <f t="shared" si="841"/>
        <v>0</v>
      </c>
      <c r="Q390" s="85">
        <f t="shared" si="842"/>
        <v>0</v>
      </c>
      <c r="R390" s="22">
        <f t="shared" ref="R390:R398" si="849">Q390</f>
        <v>0</v>
      </c>
      <c r="S390" s="23">
        <f t="shared" si="843"/>
        <v>0</v>
      </c>
      <c r="T390" s="23">
        <f t="shared" si="844"/>
        <v>0</v>
      </c>
      <c r="U390" s="23">
        <f t="shared" si="845"/>
        <v>0</v>
      </c>
      <c r="W390" s="78" t="str">
        <f t="shared" ref="W390:W395" si="850">E390</f>
        <v>blank</v>
      </c>
      <c r="X390" s="64"/>
      <c r="Y390" s="64"/>
      <c r="Z390" s="64"/>
      <c r="AA390" s="64"/>
      <c r="AB390" s="60"/>
      <c r="AC390" s="64"/>
      <c r="AD390" s="64"/>
      <c r="AE390" s="64"/>
      <c r="AF390" s="64"/>
      <c r="AG390" s="60"/>
      <c r="AH390" s="64"/>
      <c r="AI390" s="64"/>
      <c r="AJ390" s="64"/>
    </row>
    <row r="391" spans="2:36" hidden="1" outlineLevel="1" x14ac:dyDescent="0.25">
      <c r="B391" s="229" t="s">
        <v>195</v>
      </c>
      <c r="E391" s="78" t="s">
        <v>77</v>
      </c>
      <c r="F391" s="21">
        <f t="shared" ref="F391:H391" si="851">F471</f>
        <v>0</v>
      </c>
      <c r="G391" s="21">
        <f t="shared" si="851"/>
        <v>0</v>
      </c>
      <c r="H391" s="21">
        <f t="shared" si="851"/>
        <v>0</v>
      </c>
      <c r="I391" s="85">
        <f t="shared" si="847"/>
        <v>0</v>
      </c>
      <c r="J391" s="85">
        <f t="shared" si="836"/>
        <v>0</v>
      </c>
      <c r="K391" s="85">
        <f t="shared" si="837"/>
        <v>0</v>
      </c>
      <c r="L391" s="85">
        <f t="shared" si="838"/>
        <v>0</v>
      </c>
      <c r="M391" s="17">
        <f t="shared" si="848"/>
        <v>0</v>
      </c>
      <c r="N391" s="85">
        <f t="shared" si="839"/>
        <v>0</v>
      </c>
      <c r="O391" s="85">
        <f t="shared" si="840"/>
        <v>0</v>
      </c>
      <c r="P391" s="85">
        <f t="shared" si="841"/>
        <v>0</v>
      </c>
      <c r="Q391" s="85">
        <f t="shared" si="842"/>
        <v>0</v>
      </c>
      <c r="R391" s="22">
        <f t="shared" si="849"/>
        <v>0</v>
      </c>
      <c r="S391" s="23">
        <f t="shared" si="843"/>
        <v>0</v>
      </c>
      <c r="T391" s="23">
        <f t="shared" si="844"/>
        <v>0</v>
      </c>
      <c r="U391" s="23">
        <f t="shared" si="845"/>
        <v>0</v>
      </c>
      <c r="W391" s="78" t="str">
        <f t="shared" si="850"/>
        <v>blank</v>
      </c>
      <c r="X391" s="64"/>
      <c r="Y391" s="64"/>
      <c r="Z391" s="64"/>
      <c r="AA391" s="64"/>
      <c r="AB391" s="60"/>
      <c r="AC391" s="64"/>
      <c r="AD391" s="64"/>
      <c r="AE391" s="64"/>
      <c r="AF391" s="64"/>
      <c r="AG391" s="60"/>
      <c r="AH391" s="64"/>
      <c r="AI391" s="64"/>
      <c r="AJ391" s="64"/>
    </row>
    <row r="392" spans="2:36" hidden="1" outlineLevel="1" x14ac:dyDescent="0.25">
      <c r="B392" s="229" t="s">
        <v>195</v>
      </c>
      <c r="E392" s="78" t="s">
        <v>77</v>
      </c>
      <c r="F392" s="21">
        <f t="shared" ref="F392:H392" si="852">F472</f>
        <v>0</v>
      </c>
      <c r="G392" s="21">
        <f t="shared" si="852"/>
        <v>0</v>
      </c>
      <c r="H392" s="21">
        <f t="shared" si="852"/>
        <v>0</v>
      </c>
      <c r="I392" s="85">
        <f t="shared" si="847"/>
        <v>0</v>
      </c>
      <c r="J392" s="85">
        <f t="shared" si="836"/>
        <v>0</v>
      </c>
      <c r="K392" s="85">
        <f t="shared" si="837"/>
        <v>0</v>
      </c>
      <c r="L392" s="85">
        <f t="shared" si="838"/>
        <v>0</v>
      </c>
      <c r="M392" s="17">
        <f t="shared" si="848"/>
        <v>0</v>
      </c>
      <c r="N392" s="85">
        <f t="shared" si="839"/>
        <v>0</v>
      </c>
      <c r="O392" s="85">
        <f t="shared" si="840"/>
        <v>0</v>
      </c>
      <c r="P392" s="85">
        <f t="shared" si="841"/>
        <v>0</v>
      </c>
      <c r="Q392" s="85">
        <f t="shared" si="842"/>
        <v>0</v>
      </c>
      <c r="R392" s="22">
        <f t="shared" si="849"/>
        <v>0</v>
      </c>
      <c r="S392" s="23">
        <f t="shared" si="843"/>
        <v>0</v>
      </c>
      <c r="T392" s="23">
        <f t="shared" si="844"/>
        <v>0</v>
      </c>
      <c r="U392" s="23">
        <f t="shared" si="845"/>
        <v>0</v>
      </c>
      <c r="W392" s="78" t="str">
        <f t="shared" si="850"/>
        <v>blank</v>
      </c>
      <c r="X392" s="64"/>
      <c r="Y392" s="64"/>
      <c r="Z392" s="64"/>
      <c r="AA392" s="64"/>
      <c r="AB392" s="60"/>
      <c r="AC392" s="64"/>
      <c r="AD392" s="64"/>
      <c r="AE392" s="64"/>
      <c r="AF392" s="64"/>
      <c r="AG392" s="60"/>
      <c r="AH392" s="64"/>
      <c r="AI392" s="64"/>
      <c r="AJ392" s="64"/>
    </row>
    <row r="393" spans="2:36" hidden="1" outlineLevel="1" x14ac:dyDescent="0.25">
      <c r="B393" s="229" t="s">
        <v>195</v>
      </c>
      <c r="E393" s="78" t="s">
        <v>77</v>
      </c>
      <c r="F393" s="21">
        <f t="shared" ref="F393:H393" si="853">F473</f>
        <v>0</v>
      </c>
      <c r="G393" s="21">
        <f t="shared" si="853"/>
        <v>0</v>
      </c>
      <c r="H393" s="21">
        <f t="shared" si="853"/>
        <v>0</v>
      </c>
      <c r="I393" s="85">
        <f t="shared" si="847"/>
        <v>0</v>
      </c>
      <c r="J393" s="85">
        <f t="shared" si="836"/>
        <v>0</v>
      </c>
      <c r="K393" s="85">
        <f t="shared" si="837"/>
        <v>0</v>
      </c>
      <c r="L393" s="85">
        <f t="shared" si="838"/>
        <v>0</v>
      </c>
      <c r="M393" s="17">
        <f t="shared" si="848"/>
        <v>0</v>
      </c>
      <c r="N393" s="85">
        <f t="shared" si="839"/>
        <v>0</v>
      </c>
      <c r="O393" s="85">
        <f t="shared" si="840"/>
        <v>0</v>
      </c>
      <c r="P393" s="85">
        <f t="shared" si="841"/>
        <v>0</v>
      </c>
      <c r="Q393" s="85">
        <f t="shared" si="842"/>
        <v>0</v>
      </c>
      <c r="R393" s="22">
        <f t="shared" si="849"/>
        <v>0</v>
      </c>
      <c r="S393" s="23">
        <f t="shared" si="843"/>
        <v>0</v>
      </c>
      <c r="T393" s="23">
        <f t="shared" si="844"/>
        <v>0</v>
      </c>
      <c r="U393" s="23">
        <f t="shared" si="845"/>
        <v>0</v>
      </c>
      <c r="W393" s="78" t="str">
        <f t="shared" si="850"/>
        <v>blank</v>
      </c>
      <c r="X393" s="64"/>
      <c r="Y393" s="64"/>
      <c r="Z393" s="64"/>
      <c r="AA393" s="64"/>
      <c r="AB393" s="60"/>
      <c r="AC393" s="64"/>
      <c r="AD393" s="64"/>
      <c r="AE393" s="64"/>
      <c r="AF393" s="64"/>
      <c r="AG393" s="60"/>
      <c r="AH393" s="64"/>
      <c r="AI393" s="64"/>
      <c r="AJ393" s="64"/>
    </row>
    <row r="394" spans="2:36" hidden="1" outlineLevel="1" x14ac:dyDescent="0.25">
      <c r="B394" s="229" t="s">
        <v>195</v>
      </c>
      <c r="E394" s="78" t="s">
        <v>77</v>
      </c>
      <c r="F394" s="21">
        <f t="shared" ref="F394:H394" si="854">F474</f>
        <v>0</v>
      </c>
      <c r="G394" s="21">
        <f t="shared" si="854"/>
        <v>0</v>
      </c>
      <c r="H394" s="21">
        <f t="shared" si="854"/>
        <v>0</v>
      </c>
      <c r="I394" s="85">
        <f t="shared" si="847"/>
        <v>0</v>
      </c>
      <c r="J394" s="85">
        <f t="shared" si="836"/>
        <v>0</v>
      </c>
      <c r="K394" s="85">
        <f t="shared" si="837"/>
        <v>0</v>
      </c>
      <c r="L394" s="85">
        <f t="shared" si="838"/>
        <v>0</v>
      </c>
      <c r="M394" s="17">
        <f t="shared" si="848"/>
        <v>0</v>
      </c>
      <c r="N394" s="85">
        <f t="shared" si="839"/>
        <v>0</v>
      </c>
      <c r="O394" s="85">
        <f t="shared" si="840"/>
        <v>0</v>
      </c>
      <c r="P394" s="85">
        <f t="shared" si="841"/>
        <v>0</v>
      </c>
      <c r="Q394" s="85">
        <f t="shared" si="842"/>
        <v>0</v>
      </c>
      <c r="R394" s="22">
        <f t="shared" si="849"/>
        <v>0</v>
      </c>
      <c r="S394" s="23">
        <f t="shared" si="843"/>
        <v>0</v>
      </c>
      <c r="T394" s="23">
        <f t="shared" si="844"/>
        <v>0</v>
      </c>
      <c r="U394" s="23">
        <f t="shared" si="845"/>
        <v>0</v>
      </c>
      <c r="W394" s="78" t="str">
        <f t="shared" si="850"/>
        <v>blank</v>
      </c>
      <c r="X394" s="64"/>
      <c r="Y394" s="64"/>
      <c r="Z394" s="64"/>
      <c r="AA394" s="64"/>
      <c r="AB394" s="60"/>
      <c r="AC394" s="64"/>
      <c r="AD394" s="64"/>
      <c r="AE394" s="64"/>
      <c r="AF394" s="64"/>
      <c r="AG394" s="60"/>
      <c r="AH394" s="64"/>
      <c r="AI394" s="64"/>
      <c r="AJ394" s="64"/>
    </row>
    <row r="395" spans="2:36" hidden="1" outlineLevel="1" x14ac:dyDescent="0.25">
      <c r="B395" s="229" t="s">
        <v>195</v>
      </c>
      <c r="E395" s="78" t="s">
        <v>77</v>
      </c>
      <c r="F395" s="21">
        <f t="shared" ref="F395:H395" si="855">F475</f>
        <v>0</v>
      </c>
      <c r="G395" s="21">
        <f t="shared" si="855"/>
        <v>0</v>
      </c>
      <c r="H395" s="21">
        <f t="shared" si="855"/>
        <v>0</v>
      </c>
      <c r="I395" s="85">
        <f t="shared" si="847"/>
        <v>0</v>
      </c>
      <c r="J395" s="85">
        <f t="shared" si="836"/>
        <v>0</v>
      </c>
      <c r="K395" s="85">
        <f t="shared" si="837"/>
        <v>0</v>
      </c>
      <c r="L395" s="85">
        <f t="shared" si="838"/>
        <v>0</v>
      </c>
      <c r="M395" s="17">
        <f t="shared" si="848"/>
        <v>0</v>
      </c>
      <c r="N395" s="85">
        <f t="shared" si="839"/>
        <v>0</v>
      </c>
      <c r="O395" s="85">
        <f t="shared" si="840"/>
        <v>0</v>
      </c>
      <c r="P395" s="85">
        <f t="shared" si="841"/>
        <v>0</v>
      </c>
      <c r="Q395" s="85">
        <f t="shared" si="842"/>
        <v>0</v>
      </c>
      <c r="R395" s="22">
        <f t="shared" si="849"/>
        <v>0</v>
      </c>
      <c r="S395" s="23">
        <f t="shared" si="843"/>
        <v>0</v>
      </c>
      <c r="T395" s="23">
        <f t="shared" si="844"/>
        <v>0</v>
      </c>
      <c r="U395" s="23">
        <f t="shared" si="845"/>
        <v>0</v>
      </c>
      <c r="W395" s="78" t="str">
        <f t="shared" si="850"/>
        <v>blank</v>
      </c>
      <c r="X395" s="64"/>
      <c r="Y395" s="64"/>
      <c r="Z395" s="64"/>
      <c r="AA395" s="64"/>
      <c r="AB395" s="60"/>
      <c r="AC395" s="64"/>
      <c r="AD395" s="64"/>
      <c r="AE395" s="64"/>
      <c r="AF395" s="64"/>
      <c r="AG395" s="60"/>
      <c r="AH395" s="64"/>
      <c r="AI395" s="64"/>
      <c r="AJ395" s="64"/>
    </row>
    <row r="396" spans="2:36" hidden="1" outlineLevel="1" x14ac:dyDescent="0.25">
      <c r="B396" s="229" t="s">
        <v>195</v>
      </c>
      <c r="E396" s="78" t="s">
        <v>77</v>
      </c>
      <c r="F396" s="21">
        <f t="shared" ref="F396:H396" si="856">F476</f>
        <v>0</v>
      </c>
      <c r="G396" s="21">
        <f t="shared" si="856"/>
        <v>0</v>
      </c>
      <c r="H396" s="21">
        <f t="shared" si="856"/>
        <v>0</v>
      </c>
      <c r="I396" s="85">
        <f t="shared" si="847"/>
        <v>0</v>
      </c>
      <c r="J396" s="85">
        <f t="shared" si="836"/>
        <v>0</v>
      </c>
      <c r="K396" s="85">
        <f t="shared" si="837"/>
        <v>0</v>
      </c>
      <c r="L396" s="85">
        <f t="shared" si="838"/>
        <v>0</v>
      </c>
      <c r="M396" s="17">
        <f t="shared" si="848"/>
        <v>0</v>
      </c>
      <c r="N396" s="85">
        <f t="shared" si="839"/>
        <v>0</v>
      </c>
      <c r="O396" s="85">
        <f t="shared" si="840"/>
        <v>0</v>
      </c>
      <c r="P396" s="85">
        <f t="shared" si="841"/>
        <v>0</v>
      </c>
      <c r="Q396" s="85">
        <f t="shared" si="842"/>
        <v>0</v>
      </c>
      <c r="R396" s="22">
        <f t="shared" si="849"/>
        <v>0</v>
      </c>
      <c r="S396" s="23">
        <f t="shared" si="843"/>
        <v>0</v>
      </c>
      <c r="T396" s="23">
        <f t="shared" si="844"/>
        <v>0</v>
      </c>
      <c r="U396" s="23">
        <f t="shared" si="845"/>
        <v>0</v>
      </c>
      <c r="W396" s="78" t="str">
        <f t="shared" ref="W396:W398" si="857">E396</f>
        <v>blank</v>
      </c>
      <c r="X396" s="64"/>
      <c r="Y396" s="64"/>
      <c r="Z396" s="64"/>
      <c r="AA396" s="64"/>
      <c r="AB396" s="60"/>
      <c r="AC396" s="64"/>
      <c r="AD396" s="64"/>
      <c r="AE396" s="64"/>
      <c r="AF396" s="64"/>
      <c r="AG396" s="60"/>
      <c r="AH396" s="64"/>
      <c r="AI396" s="64"/>
      <c r="AJ396" s="64"/>
    </row>
    <row r="397" spans="2:36" hidden="1" outlineLevel="1" x14ac:dyDescent="0.25">
      <c r="B397" s="229" t="s">
        <v>195</v>
      </c>
      <c r="E397" s="78" t="s">
        <v>77</v>
      </c>
      <c r="F397" s="21">
        <f t="shared" ref="F397:H397" si="858">F477</f>
        <v>0</v>
      </c>
      <c r="G397" s="21">
        <f t="shared" si="858"/>
        <v>0</v>
      </c>
      <c r="H397" s="21">
        <f t="shared" si="858"/>
        <v>0</v>
      </c>
      <c r="I397" s="85">
        <f t="shared" si="847"/>
        <v>0</v>
      </c>
      <c r="J397" s="85">
        <f t="shared" si="836"/>
        <v>0</v>
      </c>
      <c r="K397" s="85">
        <f t="shared" si="837"/>
        <v>0</v>
      </c>
      <c r="L397" s="85">
        <f t="shared" si="838"/>
        <v>0</v>
      </c>
      <c r="M397" s="17">
        <f t="shared" si="848"/>
        <v>0</v>
      </c>
      <c r="N397" s="85">
        <f t="shared" si="839"/>
        <v>0</v>
      </c>
      <c r="O397" s="85">
        <f t="shared" si="840"/>
        <v>0</v>
      </c>
      <c r="P397" s="85">
        <f t="shared" si="841"/>
        <v>0</v>
      </c>
      <c r="Q397" s="85">
        <f t="shared" si="842"/>
        <v>0</v>
      </c>
      <c r="R397" s="22">
        <f t="shared" si="849"/>
        <v>0</v>
      </c>
      <c r="S397" s="23">
        <f t="shared" si="843"/>
        <v>0</v>
      </c>
      <c r="T397" s="23">
        <f t="shared" si="844"/>
        <v>0</v>
      </c>
      <c r="U397" s="23">
        <f t="shared" si="845"/>
        <v>0</v>
      </c>
      <c r="W397" s="78" t="str">
        <f t="shared" si="857"/>
        <v>blank</v>
      </c>
      <c r="X397" s="64"/>
      <c r="Y397" s="64"/>
      <c r="Z397" s="64"/>
      <c r="AA397" s="64"/>
      <c r="AB397" s="60"/>
      <c r="AC397" s="64"/>
      <c r="AD397" s="64"/>
      <c r="AE397" s="64"/>
      <c r="AF397" s="64"/>
      <c r="AG397" s="60"/>
      <c r="AH397" s="64"/>
      <c r="AI397" s="64"/>
      <c r="AJ397" s="64"/>
    </row>
    <row r="398" spans="2:36" hidden="1" outlineLevel="1" x14ac:dyDescent="0.25">
      <c r="B398" s="229" t="s">
        <v>195</v>
      </c>
      <c r="E398" s="78" t="s">
        <v>77</v>
      </c>
      <c r="F398" s="21">
        <f t="shared" ref="F398:H398" si="859">F478</f>
        <v>0</v>
      </c>
      <c r="G398" s="21">
        <f t="shared" si="859"/>
        <v>0</v>
      </c>
      <c r="H398" s="21">
        <f t="shared" si="859"/>
        <v>0</v>
      </c>
      <c r="I398" s="85">
        <f t="shared" si="847"/>
        <v>0</v>
      </c>
      <c r="J398" s="85">
        <f t="shared" si="836"/>
        <v>0</v>
      </c>
      <c r="K398" s="85">
        <f t="shared" si="837"/>
        <v>0</v>
      </c>
      <c r="L398" s="85">
        <f t="shared" si="838"/>
        <v>0</v>
      </c>
      <c r="M398" s="17">
        <f t="shared" si="848"/>
        <v>0</v>
      </c>
      <c r="N398" s="85">
        <f t="shared" si="839"/>
        <v>0</v>
      </c>
      <c r="O398" s="85">
        <f t="shared" si="840"/>
        <v>0</v>
      </c>
      <c r="P398" s="85">
        <f t="shared" si="841"/>
        <v>0</v>
      </c>
      <c r="Q398" s="85">
        <f t="shared" si="842"/>
        <v>0</v>
      </c>
      <c r="R398" s="22">
        <f t="shared" si="849"/>
        <v>0</v>
      </c>
      <c r="S398" s="23">
        <f t="shared" si="843"/>
        <v>0</v>
      </c>
      <c r="T398" s="23">
        <f t="shared" si="844"/>
        <v>0</v>
      </c>
      <c r="U398" s="23">
        <f t="shared" si="845"/>
        <v>0</v>
      </c>
      <c r="W398" s="78" t="str">
        <f t="shared" si="857"/>
        <v>blank</v>
      </c>
      <c r="X398" s="64"/>
      <c r="Y398" s="64"/>
      <c r="Z398" s="64"/>
      <c r="AA398" s="64"/>
      <c r="AB398" s="60"/>
      <c r="AC398" s="64"/>
      <c r="AD398" s="64"/>
      <c r="AE398" s="64"/>
      <c r="AF398" s="64"/>
      <c r="AG398" s="60"/>
      <c r="AH398" s="64"/>
      <c r="AI398" s="64"/>
      <c r="AJ398" s="64"/>
    </row>
    <row r="399" spans="2:36" ht="15.75" hidden="1" outlineLevel="1" thickBot="1" x14ac:dyDescent="0.3">
      <c r="E399" s="8" t="s">
        <v>130</v>
      </c>
      <c r="F399" s="9">
        <f>SUM(F389:F398)</f>
        <v>0</v>
      </c>
      <c r="G399" s="9">
        <f t="shared" ref="G399" si="860">SUM(G389:G398)</f>
        <v>0</v>
      </c>
      <c r="H399" s="9">
        <f t="shared" ref="H399" si="861">SUM(H389:H398)</f>
        <v>0</v>
      </c>
      <c r="I399" s="86">
        <f t="shared" ref="I399" si="862">SUM(I389:I398)</f>
        <v>0</v>
      </c>
      <c r="J399" s="86">
        <f t="shared" ref="J399" si="863">SUM(J389:J398)</f>
        <v>0</v>
      </c>
      <c r="K399" s="86">
        <f t="shared" ref="K399" si="864">SUM(K389:K398)</f>
        <v>0</v>
      </c>
      <c r="L399" s="86">
        <f t="shared" ref="L399" si="865">SUM(L389:L398)</f>
        <v>0</v>
      </c>
      <c r="M399" s="18">
        <f t="shared" ref="M399" si="866">SUM(M389:M398)</f>
        <v>0</v>
      </c>
      <c r="N399" s="86">
        <f t="shared" ref="N399" si="867">SUM(N389:N398)</f>
        <v>0</v>
      </c>
      <c r="O399" s="86">
        <f t="shared" ref="O399" si="868">SUM(O389:O398)</f>
        <v>0</v>
      </c>
      <c r="P399" s="86">
        <f t="shared" ref="P399" si="869">SUM(P389:P398)</f>
        <v>0</v>
      </c>
      <c r="Q399" s="86">
        <f t="shared" ref="Q399" si="870">SUM(Q389:Q398)</f>
        <v>0</v>
      </c>
      <c r="R399" s="19">
        <f t="shared" ref="R399" si="871">SUM(R389:R398)</f>
        <v>0</v>
      </c>
      <c r="S399" s="20">
        <f t="shared" ref="S399" si="872">SUM(S389:S398)</f>
        <v>0</v>
      </c>
      <c r="T399" s="20">
        <f t="shared" ref="T399" si="873">SUM(T389:T398)</f>
        <v>0</v>
      </c>
      <c r="U399" s="20">
        <f t="shared" ref="U399" si="874">SUM(U389:U398)</f>
        <v>0</v>
      </c>
    </row>
    <row r="400" spans="2:36" ht="15.75" hidden="1" outlineLevel="1" thickTop="1" x14ac:dyDescent="0.25"/>
    <row r="401" spans="5:24" hidden="1" outlineLevel="1" x14ac:dyDescent="0.25"/>
    <row r="402" spans="5:24" hidden="1" outlineLevel="1" x14ac:dyDescent="0.25"/>
    <row r="403" spans="5:24" ht="18.75" collapsed="1" x14ac:dyDescent="0.3">
      <c r="E403" s="70" t="s">
        <v>135</v>
      </c>
      <c r="F403" s="70"/>
      <c r="G403" s="70"/>
      <c r="H403" s="70"/>
      <c r="I403" s="70"/>
      <c r="J403" s="70"/>
      <c r="K403" s="70"/>
      <c r="L403" s="70"/>
      <c r="M403" s="70"/>
      <c r="N403" s="70"/>
      <c r="O403" s="70"/>
      <c r="P403" s="70"/>
      <c r="Q403" s="70"/>
      <c r="R403" s="70"/>
      <c r="S403" s="70"/>
      <c r="T403" s="70"/>
      <c r="U403" s="70"/>
    </row>
    <row r="404" spans="5:24" x14ac:dyDescent="0.25">
      <c r="E404" s="52" t="s">
        <v>186</v>
      </c>
    </row>
    <row r="407" spans="5:24" x14ac:dyDescent="0.25">
      <c r="E407" s="4" t="s">
        <v>116</v>
      </c>
    </row>
    <row r="408" spans="5:24" x14ac:dyDescent="0.25">
      <c r="E408" s="6" t="s">
        <v>25</v>
      </c>
    </row>
    <row r="410" spans="5:24" x14ac:dyDescent="0.25">
      <c r="F410" s="12">
        <f>Inputs!$C$7</f>
        <v>2023</v>
      </c>
      <c r="G410" s="12">
        <f>Inputs!$C$8</f>
        <v>2024</v>
      </c>
      <c r="H410" s="12">
        <f>Inputs!$C$9</f>
        <v>2025</v>
      </c>
      <c r="I410" s="13" t="s">
        <v>1</v>
      </c>
      <c r="J410" s="13" t="s">
        <v>2</v>
      </c>
      <c r="K410" s="13" t="s">
        <v>3</v>
      </c>
      <c r="L410" s="13" t="s">
        <v>4</v>
      </c>
      <c r="M410" s="13">
        <f>Inputs!$C$10</f>
        <v>2026</v>
      </c>
      <c r="N410" s="14" t="s">
        <v>1</v>
      </c>
      <c r="O410" s="14" t="s">
        <v>2</v>
      </c>
      <c r="P410" s="14" t="s">
        <v>3</v>
      </c>
      <c r="Q410" s="14" t="s">
        <v>4</v>
      </c>
      <c r="R410" s="15">
        <f>Inputs!$C$11</f>
        <v>2027</v>
      </c>
      <c r="S410" s="16">
        <f>Inputs!$C$12</f>
        <v>2028</v>
      </c>
      <c r="T410" s="16">
        <f>Inputs!$C$13</f>
        <v>2029</v>
      </c>
      <c r="U410" s="16">
        <f>Inputs!$C$14</f>
        <v>2030</v>
      </c>
    </row>
    <row r="411" spans="5:24" x14ac:dyDescent="0.25">
      <c r="F411" s="71" t="s">
        <v>63</v>
      </c>
      <c r="G411" s="71" t="s">
        <v>63</v>
      </c>
      <c r="H411" s="71" t="s">
        <v>63</v>
      </c>
      <c r="I411" s="71" t="s">
        <v>63</v>
      </c>
      <c r="J411" s="71" t="s">
        <v>63</v>
      </c>
      <c r="K411" s="71" t="s">
        <v>63</v>
      </c>
      <c r="L411" s="71" t="s">
        <v>63</v>
      </c>
      <c r="M411" s="71" t="s">
        <v>63</v>
      </c>
      <c r="N411" s="71" t="s">
        <v>63</v>
      </c>
      <c r="O411" s="71" t="s">
        <v>63</v>
      </c>
      <c r="P411" s="71" t="s">
        <v>63</v>
      </c>
      <c r="Q411" s="71" t="s">
        <v>63</v>
      </c>
      <c r="R411" s="71" t="s">
        <v>63</v>
      </c>
      <c r="S411" s="71" t="s">
        <v>63</v>
      </c>
      <c r="T411" s="71" t="s">
        <v>63</v>
      </c>
      <c r="U411" s="71" t="s">
        <v>63</v>
      </c>
    </row>
    <row r="412" spans="5:24" x14ac:dyDescent="0.25">
      <c r="E412" s="78" t="s">
        <v>110</v>
      </c>
      <c r="F412" s="65"/>
      <c r="G412" s="65"/>
      <c r="H412" s="65"/>
      <c r="I412" s="72"/>
      <c r="J412" s="72"/>
      <c r="K412" s="72"/>
      <c r="L412" s="72"/>
      <c r="M412" s="65">
        <f>L412</f>
        <v>0</v>
      </c>
      <c r="N412" s="72"/>
      <c r="O412" s="72"/>
      <c r="P412" s="72"/>
      <c r="Q412" s="72"/>
      <c r="R412" s="66">
        <f t="shared" ref="R412:R421" si="875">Q412</f>
        <v>0</v>
      </c>
      <c r="S412" s="66"/>
      <c r="T412" s="66"/>
      <c r="U412" s="66"/>
    </row>
    <row r="413" spans="5:24" x14ac:dyDescent="0.25">
      <c r="E413" s="78" t="s">
        <v>111</v>
      </c>
      <c r="F413" s="65"/>
      <c r="G413" s="65"/>
      <c r="H413" s="65"/>
      <c r="I413" s="72"/>
      <c r="J413" s="72"/>
      <c r="K413" s="72"/>
      <c r="L413" s="72"/>
      <c r="M413" s="65">
        <f t="shared" ref="M413:M421" si="876">L413</f>
        <v>0</v>
      </c>
      <c r="N413" s="72"/>
      <c r="O413" s="72"/>
      <c r="P413" s="72"/>
      <c r="Q413" s="72"/>
      <c r="R413" s="66">
        <f t="shared" si="875"/>
        <v>0</v>
      </c>
      <c r="S413" s="66"/>
      <c r="T413" s="66"/>
      <c r="U413" s="66"/>
    </row>
    <row r="414" spans="5:24" x14ac:dyDescent="0.25">
      <c r="E414" s="78" t="s">
        <v>112</v>
      </c>
      <c r="F414" s="65"/>
      <c r="G414" s="65"/>
      <c r="H414" s="65"/>
      <c r="I414" s="72"/>
      <c r="J414" s="72"/>
      <c r="K414" s="72"/>
      <c r="L414" s="72"/>
      <c r="M414" s="65">
        <f t="shared" si="876"/>
        <v>0</v>
      </c>
      <c r="N414" s="72"/>
      <c r="O414" s="72"/>
      <c r="P414" s="72"/>
      <c r="Q414" s="72"/>
      <c r="R414" s="66">
        <f t="shared" si="875"/>
        <v>0</v>
      </c>
      <c r="S414" s="66"/>
      <c r="T414" s="66"/>
      <c r="U414" s="66"/>
    </row>
    <row r="415" spans="5:24" x14ac:dyDescent="0.25">
      <c r="E415" s="78" t="s">
        <v>113</v>
      </c>
      <c r="F415" s="65"/>
      <c r="G415" s="65"/>
      <c r="H415" s="65"/>
      <c r="I415" s="72"/>
      <c r="J415" s="72"/>
      <c r="K415" s="72"/>
      <c r="L415" s="72"/>
      <c r="M415" s="65">
        <f t="shared" si="876"/>
        <v>0</v>
      </c>
      <c r="N415" s="72"/>
      <c r="O415" s="72"/>
      <c r="P415" s="72"/>
      <c r="Q415" s="72"/>
      <c r="R415" s="66">
        <f t="shared" si="875"/>
        <v>0</v>
      </c>
      <c r="S415" s="66"/>
      <c r="T415" s="66"/>
      <c r="U415" s="66"/>
      <c r="X415" s="54"/>
    </row>
    <row r="416" spans="5:24" x14ac:dyDescent="0.25">
      <c r="E416" s="78" t="s">
        <v>117</v>
      </c>
      <c r="F416" s="65"/>
      <c r="G416" s="65"/>
      <c r="H416" s="65"/>
      <c r="I416" s="72"/>
      <c r="J416" s="72"/>
      <c r="K416" s="72"/>
      <c r="L416" s="72"/>
      <c r="M416" s="65">
        <f t="shared" si="876"/>
        <v>0</v>
      </c>
      <c r="N416" s="72"/>
      <c r="O416" s="72"/>
      <c r="P416" s="72"/>
      <c r="Q416" s="72"/>
      <c r="R416" s="66">
        <f t="shared" si="875"/>
        <v>0</v>
      </c>
      <c r="S416" s="66"/>
      <c r="T416" s="66"/>
      <c r="U416" s="66"/>
    </row>
    <row r="417" spans="5:21" x14ac:dyDescent="0.25">
      <c r="E417" s="78" t="s">
        <v>114</v>
      </c>
      <c r="F417" s="65"/>
      <c r="G417" s="65"/>
      <c r="H417" s="65"/>
      <c r="I417" s="72"/>
      <c r="J417" s="72"/>
      <c r="K417" s="72"/>
      <c r="L417" s="72"/>
      <c r="M417" s="65">
        <f t="shared" si="876"/>
        <v>0</v>
      </c>
      <c r="N417" s="72"/>
      <c r="O417" s="72"/>
      <c r="P417" s="72"/>
      <c r="Q417" s="72"/>
      <c r="R417" s="66">
        <f t="shared" si="875"/>
        <v>0</v>
      </c>
      <c r="S417" s="66"/>
      <c r="T417" s="66"/>
      <c r="U417" s="66"/>
    </row>
    <row r="418" spans="5:21" x14ac:dyDescent="0.25">
      <c r="E418" s="78" t="s">
        <v>115</v>
      </c>
      <c r="F418" s="65"/>
      <c r="G418" s="65"/>
      <c r="H418" s="65"/>
      <c r="I418" s="72"/>
      <c r="J418" s="72"/>
      <c r="K418" s="72"/>
      <c r="L418" s="72"/>
      <c r="M418" s="65">
        <f t="shared" si="876"/>
        <v>0</v>
      </c>
      <c r="N418" s="72"/>
      <c r="O418" s="72"/>
      <c r="P418" s="72"/>
      <c r="Q418" s="72"/>
      <c r="R418" s="66">
        <f t="shared" si="875"/>
        <v>0</v>
      </c>
      <c r="S418" s="66"/>
      <c r="T418" s="66"/>
      <c r="U418" s="66"/>
    </row>
    <row r="419" spans="5:21" x14ac:dyDescent="0.25">
      <c r="E419" s="78" t="s">
        <v>118</v>
      </c>
      <c r="F419" s="65"/>
      <c r="G419" s="65"/>
      <c r="H419" s="65"/>
      <c r="I419" s="72"/>
      <c r="J419" s="72"/>
      <c r="K419" s="72"/>
      <c r="L419" s="72"/>
      <c r="M419" s="65">
        <f t="shared" si="876"/>
        <v>0</v>
      </c>
      <c r="N419" s="72"/>
      <c r="O419" s="72"/>
      <c r="P419" s="72"/>
      <c r="Q419" s="72"/>
      <c r="R419" s="66">
        <f t="shared" si="875"/>
        <v>0</v>
      </c>
      <c r="S419" s="66"/>
      <c r="T419" s="66"/>
      <c r="U419" s="66"/>
    </row>
    <row r="420" spans="5:21" x14ac:dyDescent="0.25">
      <c r="E420" s="78" t="s">
        <v>119</v>
      </c>
      <c r="F420" s="65"/>
      <c r="G420" s="65"/>
      <c r="H420" s="65"/>
      <c r="I420" s="72"/>
      <c r="J420" s="72"/>
      <c r="K420" s="72"/>
      <c r="L420" s="72"/>
      <c r="M420" s="65">
        <f t="shared" si="876"/>
        <v>0</v>
      </c>
      <c r="N420" s="72"/>
      <c r="O420" s="72"/>
      <c r="P420" s="72"/>
      <c r="Q420" s="72"/>
      <c r="R420" s="66">
        <f t="shared" si="875"/>
        <v>0</v>
      </c>
      <c r="S420" s="66"/>
      <c r="T420" s="66"/>
      <c r="U420" s="66"/>
    </row>
    <row r="421" spans="5:21" x14ac:dyDescent="0.25">
      <c r="E421" s="78" t="s">
        <v>77</v>
      </c>
      <c r="F421" s="65"/>
      <c r="G421" s="65"/>
      <c r="H421" s="65"/>
      <c r="I421" s="72"/>
      <c r="J421" s="72"/>
      <c r="K421" s="72"/>
      <c r="L421" s="72"/>
      <c r="M421" s="65">
        <f t="shared" si="876"/>
        <v>0</v>
      </c>
      <c r="N421" s="72"/>
      <c r="O421" s="72"/>
      <c r="P421" s="72"/>
      <c r="Q421" s="72"/>
      <c r="R421" s="66">
        <f t="shared" si="875"/>
        <v>0</v>
      </c>
      <c r="S421" s="66"/>
      <c r="T421" s="66"/>
      <c r="U421" s="66"/>
    </row>
    <row r="422" spans="5:21" ht="15.75" thickBot="1" x14ac:dyDescent="0.3">
      <c r="E422" s="8" t="s">
        <v>42</v>
      </c>
      <c r="F422" s="67">
        <f>SUM(F412:F421)</f>
        <v>0</v>
      </c>
      <c r="G422" s="67">
        <f t="shared" ref="G422:U422" si="877">SUM(G412:G421)</f>
        <v>0</v>
      </c>
      <c r="H422" s="67">
        <f t="shared" si="877"/>
        <v>0</v>
      </c>
      <c r="I422" s="43">
        <f t="shared" si="877"/>
        <v>0</v>
      </c>
      <c r="J422" s="43">
        <f t="shared" si="877"/>
        <v>0</v>
      </c>
      <c r="K422" s="43">
        <f t="shared" si="877"/>
        <v>0</v>
      </c>
      <c r="L422" s="43">
        <f t="shared" si="877"/>
        <v>0</v>
      </c>
      <c r="M422" s="68">
        <f t="shared" si="877"/>
        <v>0</v>
      </c>
      <c r="N422" s="43">
        <f t="shared" si="877"/>
        <v>0</v>
      </c>
      <c r="O422" s="43">
        <f t="shared" si="877"/>
        <v>0</v>
      </c>
      <c r="P422" s="43">
        <f t="shared" si="877"/>
        <v>0</v>
      </c>
      <c r="Q422" s="43">
        <f t="shared" si="877"/>
        <v>0</v>
      </c>
      <c r="R422" s="69">
        <f t="shared" si="877"/>
        <v>0</v>
      </c>
      <c r="S422" s="69">
        <f t="shared" si="877"/>
        <v>0</v>
      </c>
      <c r="T422" s="69">
        <f t="shared" si="877"/>
        <v>0</v>
      </c>
      <c r="U422" s="69">
        <f t="shared" si="877"/>
        <v>0</v>
      </c>
    </row>
    <row r="423" spans="5:21" ht="15.75" thickTop="1" x14ac:dyDescent="0.25">
      <c r="M423" s="3"/>
    </row>
    <row r="424" spans="5:21" x14ac:dyDescent="0.25">
      <c r="M424" s="3"/>
    </row>
    <row r="425" spans="5:21" x14ac:dyDescent="0.25">
      <c r="M425" s="3"/>
    </row>
    <row r="426" spans="5:21" x14ac:dyDescent="0.25">
      <c r="E426" s="4" t="s">
        <v>133</v>
      </c>
    </row>
    <row r="427" spans="5:21" x14ac:dyDescent="0.25">
      <c r="E427" s="6" t="s">
        <v>25</v>
      </c>
    </row>
    <row r="429" spans="5:21" x14ac:dyDescent="0.25">
      <c r="F429" s="12">
        <f>Inputs!$C$7</f>
        <v>2023</v>
      </c>
      <c r="G429" s="12">
        <f>Inputs!$C$8</f>
        <v>2024</v>
      </c>
      <c r="H429" s="12">
        <f>Inputs!$C$9</f>
        <v>2025</v>
      </c>
      <c r="I429" s="13" t="s">
        <v>1</v>
      </c>
      <c r="J429" s="13" t="s">
        <v>2</v>
      </c>
      <c r="K429" s="13" t="s">
        <v>3</v>
      </c>
      <c r="L429" s="13" t="s">
        <v>4</v>
      </c>
      <c r="M429" s="13">
        <f>Inputs!$C$10</f>
        <v>2026</v>
      </c>
      <c r="N429" s="14" t="s">
        <v>1</v>
      </c>
      <c r="O429" s="14" t="s">
        <v>2</v>
      </c>
      <c r="P429" s="14" t="s">
        <v>3</v>
      </c>
      <c r="Q429" s="14" t="s">
        <v>4</v>
      </c>
      <c r="R429" s="15">
        <f>Inputs!$C$11</f>
        <v>2027</v>
      </c>
      <c r="S429" s="16">
        <f>Inputs!$C$12</f>
        <v>2028</v>
      </c>
      <c r="T429" s="16">
        <f>Inputs!$C$13</f>
        <v>2029</v>
      </c>
      <c r="U429" s="16">
        <f>Inputs!$C$14</f>
        <v>2030</v>
      </c>
    </row>
    <row r="430" spans="5:21" x14ac:dyDescent="0.25">
      <c r="F430" s="71" t="s">
        <v>63</v>
      </c>
      <c r="G430" s="71" t="s">
        <v>63</v>
      </c>
      <c r="H430" s="71" t="s">
        <v>63</v>
      </c>
      <c r="I430" s="71" t="s">
        <v>63</v>
      </c>
      <c r="J430" s="71" t="s">
        <v>63</v>
      </c>
      <c r="K430" s="71" t="s">
        <v>63</v>
      </c>
      <c r="L430" s="71" t="s">
        <v>63</v>
      </c>
      <c r="M430" s="71" t="s">
        <v>63</v>
      </c>
      <c r="N430" s="71" t="s">
        <v>63</v>
      </c>
      <c r="O430" s="71" t="s">
        <v>63</v>
      </c>
      <c r="P430" s="71" t="s">
        <v>63</v>
      </c>
      <c r="Q430" s="71" t="s">
        <v>63</v>
      </c>
      <c r="R430" s="71" t="s">
        <v>63</v>
      </c>
      <c r="S430" s="71" t="s">
        <v>63</v>
      </c>
      <c r="T430" s="71" t="s">
        <v>63</v>
      </c>
      <c r="U430" s="71" t="s">
        <v>63</v>
      </c>
    </row>
    <row r="431" spans="5:21" x14ac:dyDescent="0.25">
      <c r="E431" s="78" t="s">
        <v>120</v>
      </c>
      <c r="F431" s="65"/>
      <c r="G431" s="65"/>
      <c r="H431" s="65"/>
      <c r="I431" s="72"/>
      <c r="J431" s="72"/>
      <c r="K431" s="72"/>
      <c r="L431" s="72"/>
      <c r="M431" s="65">
        <f>L431</f>
        <v>0</v>
      </c>
      <c r="N431" s="72"/>
      <c r="O431" s="72"/>
      <c r="P431" s="72"/>
      <c r="Q431" s="72"/>
      <c r="R431" s="66">
        <f t="shared" ref="R431:R440" si="878">Q431</f>
        <v>0</v>
      </c>
      <c r="S431" s="66"/>
      <c r="T431" s="66"/>
      <c r="U431" s="66"/>
    </row>
    <row r="432" spans="5:21" x14ac:dyDescent="0.25">
      <c r="E432" s="78" t="s">
        <v>122</v>
      </c>
      <c r="F432" s="65"/>
      <c r="G432" s="65"/>
      <c r="H432" s="65"/>
      <c r="I432" s="72"/>
      <c r="J432" s="72"/>
      <c r="K432" s="72"/>
      <c r="L432" s="72"/>
      <c r="M432" s="65">
        <f t="shared" ref="M432:M440" si="879">L432</f>
        <v>0</v>
      </c>
      <c r="N432" s="72"/>
      <c r="O432" s="72"/>
      <c r="P432" s="72"/>
      <c r="Q432" s="72"/>
      <c r="R432" s="66">
        <f t="shared" si="878"/>
        <v>0</v>
      </c>
      <c r="S432" s="66"/>
      <c r="T432" s="66"/>
      <c r="U432" s="66"/>
    </row>
    <row r="433" spans="5:21" x14ac:dyDescent="0.25">
      <c r="E433" s="78" t="s">
        <v>123</v>
      </c>
      <c r="F433" s="65"/>
      <c r="G433" s="65"/>
      <c r="H433" s="65"/>
      <c r="I433" s="72"/>
      <c r="J433" s="72"/>
      <c r="K433" s="72"/>
      <c r="L433" s="72"/>
      <c r="M433" s="65">
        <f t="shared" si="879"/>
        <v>0</v>
      </c>
      <c r="N433" s="72"/>
      <c r="O433" s="72"/>
      <c r="P433" s="72"/>
      <c r="Q433" s="72"/>
      <c r="R433" s="66">
        <f t="shared" si="878"/>
        <v>0</v>
      </c>
      <c r="S433" s="66"/>
      <c r="T433" s="66"/>
      <c r="U433" s="66"/>
    </row>
    <row r="434" spans="5:21" x14ac:dyDescent="0.25">
      <c r="E434" s="78" t="s">
        <v>121</v>
      </c>
      <c r="F434" s="65"/>
      <c r="G434" s="65"/>
      <c r="H434" s="65"/>
      <c r="I434" s="72"/>
      <c r="J434" s="72"/>
      <c r="K434" s="72"/>
      <c r="L434" s="72"/>
      <c r="M434" s="65">
        <f t="shared" si="879"/>
        <v>0</v>
      </c>
      <c r="N434" s="72"/>
      <c r="O434" s="72"/>
      <c r="P434" s="72"/>
      <c r="Q434" s="72"/>
      <c r="R434" s="66">
        <f t="shared" si="878"/>
        <v>0</v>
      </c>
      <c r="S434" s="66"/>
      <c r="T434" s="66"/>
      <c r="U434" s="66"/>
    </row>
    <row r="435" spans="5:21" x14ac:dyDescent="0.25">
      <c r="E435" s="78" t="s">
        <v>41</v>
      </c>
      <c r="F435" s="65"/>
      <c r="G435" s="65"/>
      <c r="H435" s="65"/>
      <c r="I435" s="72"/>
      <c r="J435" s="72"/>
      <c r="K435" s="72"/>
      <c r="L435" s="72"/>
      <c r="M435" s="65">
        <f t="shared" si="879"/>
        <v>0</v>
      </c>
      <c r="N435" s="72"/>
      <c r="O435" s="72"/>
      <c r="P435" s="72"/>
      <c r="Q435" s="72"/>
      <c r="R435" s="66">
        <f t="shared" si="878"/>
        <v>0</v>
      </c>
      <c r="S435" s="66"/>
      <c r="T435" s="66"/>
      <c r="U435" s="66"/>
    </row>
    <row r="436" spans="5:21" x14ac:dyDescent="0.25">
      <c r="E436" s="78" t="s">
        <v>124</v>
      </c>
      <c r="F436" s="65"/>
      <c r="G436" s="65"/>
      <c r="H436" s="65"/>
      <c r="I436" s="72"/>
      <c r="J436" s="72"/>
      <c r="K436" s="72"/>
      <c r="L436" s="72"/>
      <c r="M436" s="65">
        <f t="shared" si="879"/>
        <v>0</v>
      </c>
      <c r="N436" s="72"/>
      <c r="O436" s="72"/>
      <c r="P436" s="72"/>
      <c r="Q436" s="72"/>
      <c r="R436" s="66">
        <f t="shared" si="878"/>
        <v>0</v>
      </c>
      <c r="S436" s="66"/>
      <c r="T436" s="66"/>
      <c r="U436" s="66"/>
    </row>
    <row r="437" spans="5:21" x14ac:dyDescent="0.25">
      <c r="E437" s="78" t="s">
        <v>77</v>
      </c>
      <c r="F437" s="65"/>
      <c r="G437" s="65"/>
      <c r="H437" s="65"/>
      <c r="I437" s="72"/>
      <c r="J437" s="72"/>
      <c r="K437" s="72"/>
      <c r="L437" s="72"/>
      <c r="M437" s="65">
        <f t="shared" si="879"/>
        <v>0</v>
      </c>
      <c r="N437" s="72"/>
      <c r="O437" s="72"/>
      <c r="P437" s="72"/>
      <c r="Q437" s="72"/>
      <c r="R437" s="66">
        <f t="shared" si="878"/>
        <v>0</v>
      </c>
      <c r="S437" s="66"/>
      <c r="T437" s="66"/>
      <c r="U437" s="66"/>
    </row>
    <row r="438" spans="5:21" x14ac:dyDescent="0.25">
      <c r="E438" s="78" t="s">
        <v>77</v>
      </c>
      <c r="F438" s="65"/>
      <c r="G438" s="65"/>
      <c r="H438" s="65"/>
      <c r="I438" s="72"/>
      <c r="J438" s="72"/>
      <c r="K438" s="72"/>
      <c r="L438" s="72"/>
      <c r="M438" s="65">
        <f t="shared" si="879"/>
        <v>0</v>
      </c>
      <c r="N438" s="72"/>
      <c r="O438" s="72"/>
      <c r="P438" s="72"/>
      <c r="Q438" s="72"/>
      <c r="R438" s="66">
        <f t="shared" si="878"/>
        <v>0</v>
      </c>
      <c r="S438" s="66"/>
      <c r="T438" s="66"/>
      <c r="U438" s="66"/>
    </row>
    <row r="439" spans="5:21" x14ac:dyDescent="0.25">
      <c r="E439" s="78" t="s">
        <v>77</v>
      </c>
      <c r="F439" s="65"/>
      <c r="G439" s="65"/>
      <c r="H439" s="65"/>
      <c r="I439" s="72"/>
      <c r="J439" s="72"/>
      <c r="K439" s="72"/>
      <c r="L439" s="72"/>
      <c r="M439" s="65">
        <f t="shared" si="879"/>
        <v>0</v>
      </c>
      <c r="N439" s="72"/>
      <c r="O439" s="72"/>
      <c r="P439" s="72"/>
      <c r="Q439" s="72"/>
      <c r="R439" s="66">
        <f t="shared" si="878"/>
        <v>0</v>
      </c>
      <c r="S439" s="66"/>
      <c r="T439" s="66"/>
      <c r="U439" s="66"/>
    </row>
    <row r="440" spans="5:21" x14ac:dyDescent="0.25">
      <c r="E440" s="78" t="s">
        <v>77</v>
      </c>
      <c r="F440" s="65"/>
      <c r="G440" s="65"/>
      <c r="H440" s="65"/>
      <c r="I440" s="72"/>
      <c r="J440" s="72"/>
      <c r="K440" s="72"/>
      <c r="L440" s="72"/>
      <c r="M440" s="65">
        <f t="shared" si="879"/>
        <v>0</v>
      </c>
      <c r="N440" s="72"/>
      <c r="O440" s="72"/>
      <c r="P440" s="72"/>
      <c r="Q440" s="72"/>
      <c r="R440" s="66">
        <f t="shared" si="878"/>
        <v>0</v>
      </c>
      <c r="S440" s="66"/>
      <c r="T440" s="66"/>
      <c r="U440" s="66"/>
    </row>
    <row r="441" spans="5:21" ht="15.75" thickBot="1" x14ac:dyDescent="0.3">
      <c r="E441" s="8" t="s">
        <v>125</v>
      </c>
      <c r="F441" s="67">
        <f>SUM(F431:F440)</f>
        <v>0</v>
      </c>
      <c r="G441" s="67">
        <f t="shared" ref="G441:U441" si="880">SUM(G431:G440)</f>
        <v>0</v>
      </c>
      <c r="H441" s="67">
        <f t="shared" si="880"/>
        <v>0</v>
      </c>
      <c r="I441" s="43">
        <f t="shared" si="880"/>
        <v>0</v>
      </c>
      <c r="J441" s="43">
        <f t="shared" si="880"/>
        <v>0</v>
      </c>
      <c r="K441" s="43">
        <f t="shared" si="880"/>
        <v>0</v>
      </c>
      <c r="L441" s="43">
        <f t="shared" si="880"/>
        <v>0</v>
      </c>
      <c r="M441" s="68">
        <f t="shared" si="880"/>
        <v>0</v>
      </c>
      <c r="N441" s="43">
        <f t="shared" si="880"/>
        <v>0</v>
      </c>
      <c r="O441" s="43">
        <f t="shared" si="880"/>
        <v>0</v>
      </c>
      <c r="P441" s="43">
        <f t="shared" si="880"/>
        <v>0</v>
      </c>
      <c r="Q441" s="43">
        <f t="shared" si="880"/>
        <v>0</v>
      </c>
      <c r="R441" s="69">
        <f t="shared" si="880"/>
        <v>0</v>
      </c>
      <c r="S441" s="69">
        <f t="shared" si="880"/>
        <v>0</v>
      </c>
      <c r="T441" s="69">
        <f t="shared" si="880"/>
        <v>0</v>
      </c>
      <c r="U441" s="69">
        <f t="shared" si="880"/>
        <v>0</v>
      </c>
    </row>
    <row r="442" spans="5:21" ht="15.75" thickTop="1" x14ac:dyDescent="0.25"/>
    <row r="445" spans="5:21" x14ac:dyDescent="0.25">
      <c r="E445" s="4" t="s">
        <v>128</v>
      </c>
    </row>
    <row r="446" spans="5:21" x14ac:dyDescent="0.25">
      <c r="E446" s="6" t="s">
        <v>25</v>
      </c>
    </row>
    <row r="448" spans="5:21" x14ac:dyDescent="0.25">
      <c r="F448" s="12">
        <f>Inputs!$C$7</f>
        <v>2023</v>
      </c>
      <c r="G448" s="12">
        <f>Inputs!$C$8</f>
        <v>2024</v>
      </c>
      <c r="H448" s="12">
        <f>Inputs!$C$9</f>
        <v>2025</v>
      </c>
      <c r="I448" s="13" t="s">
        <v>1</v>
      </c>
      <c r="J448" s="13" t="s">
        <v>2</v>
      </c>
      <c r="K448" s="13" t="s">
        <v>3</v>
      </c>
      <c r="L448" s="13" t="s">
        <v>4</v>
      </c>
      <c r="M448" s="13">
        <f>Inputs!$C$10</f>
        <v>2026</v>
      </c>
      <c r="N448" s="14" t="s">
        <v>1</v>
      </c>
      <c r="O448" s="14" t="s">
        <v>2</v>
      </c>
      <c r="P448" s="14" t="s">
        <v>3</v>
      </c>
      <c r="Q448" s="14" t="s">
        <v>4</v>
      </c>
      <c r="R448" s="15">
        <f>Inputs!$C$11</f>
        <v>2027</v>
      </c>
      <c r="S448" s="16">
        <f>Inputs!$C$12</f>
        <v>2028</v>
      </c>
      <c r="T448" s="16">
        <f>Inputs!$C$13</f>
        <v>2029</v>
      </c>
      <c r="U448" s="16">
        <f>Inputs!$C$14</f>
        <v>2030</v>
      </c>
    </row>
    <row r="449" spans="5:21" x14ac:dyDescent="0.25">
      <c r="F449" s="71" t="s">
        <v>63</v>
      </c>
      <c r="G449" s="71" t="s">
        <v>63</v>
      </c>
      <c r="H449" s="71" t="s">
        <v>63</v>
      </c>
      <c r="I449" s="71" t="s">
        <v>63</v>
      </c>
      <c r="J449" s="71" t="s">
        <v>63</v>
      </c>
      <c r="K449" s="71" t="s">
        <v>63</v>
      </c>
      <c r="L449" s="71" t="s">
        <v>63</v>
      </c>
      <c r="M449" s="71" t="s">
        <v>63</v>
      </c>
      <c r="N449" s="71" t="s">
        <v>63</v>
      </c>
      <c r="O449" s="71" t="s">
        <v>63</v>
      </c>
      <c r="P449" s="71" t="s">
        <v>63</v>
      </c>
      <c r="Q449" s="71" t="s">
        <v>63</v>
      </c>
      <c r="R449" s="71" t="s">
        <v>63</v>
      </c>
      <c r="S449" s="71" t="s">
        <v>63</v>
      </c>
      <c r="T449" s="71" t="s">
        <v>63</v>
      </c>
      <c r="U449" s="71" t="s">
        <v>63</v>
      </c>
    </row>
    <row r="450" spans="5:21" x14ac:dyDescent="0.25">
      <c r="E450" s="78" t="s">
        <v>43</v>
      </c>
      <c r="F450" s="65"/>
      <c r="G450" s="65"/>
      <c r="H450" s="65"/>
      <c r="I450" s="72"/>
      <c r="J450" s="72"/>
      <c r="K450" s="72"/>
      <c r="L450" s="72"/>
      <c r="M450" s="65">
        <f>L450</f>
        <v>0</v>
      </c>
      <c r="N450" s="72"/>
      <c r="O450" s="72"/>
      <c r="P450" s="72"/>
      <c r="Q450" s="72"/>
      <c r="R450" s="66">
        <f t="shared" ref="R450:R459" si="881">Q450</f>
        <v>0</v>
      </c>
      <c r="S450" s="66"/>
      <c r="T450" s="66"/>
      <c r="U450" s="66"/>
    </row>
    <row r="451" spans="5:21" x14ac:dyDescent="0.25">
      <c r="E451" s="78" t="s">
        <v>126</v>
      </c>
      <c r="F451" s="65"/>
      <c r="G451" s="65"/>
      <c r="H451" s="65"/>
      <c r="I451" s="72"/>
      <c r="J451" s="72"/>
      <c r="K451" s="72"/>
      <c r="L451" s="72"/>
      <c r="M451" s="65">
        <f t="shared" ref="M451:M459" si="882">L451</f>
        <v>0</v>
      </c>
      <c r="N451" s="72"/>
      <c r="O451" s="72"/>
      <c r="P451" s="72"/>
      <c r="Q451" s="72"/>
      <c r="R451" s="66">
        <f t="shared" si="881"/>
        <v>0</v>
      </c>
      <c r="S451" s="66"/>
      <c r="T451" s="66"/>
      <c r="U451" s="66"/>
    </row>
    <row r="452" spans="5:21" x14ac:dyDescent="0.25">
      <c r="E452" s="78" t="s">
        <v>127</v>
      </c>
      <c r="F452" s="65"/>
      <c r="G452" s="65"/>
      <c r="H452" s="65"/>
      <c r="I452" s="72"/>
      <c r="J452" s="72"/>
      <c r="K452" s="72"/>
      <c r="L452" s="72"/>
      <c r="M452" s="65">
        <f t="shared" si="882"/>
        <v>0</v>
      </c>
      <c r="N452" s="72"/>
      <c r="O452" s="72"/>
      <c r="P452" s="72"/>
      <c r="Q452" s="72"/>
      <c r="R452" s="66">
        <f t="shared" si="881"/>
        <v>0</v>
      </c>
      <c r="S452" s="66"/>
      <c r="T452" s="66"/>
      <c r="U452" s="66"/>
    </row>
    <row r="453" spans="5:21" x14ac:dyDescent="0.25">
      <c r="E453" s="78" t="s">
        <v>44</v>
      </c>
      <c r="F453" s="65"/>
      <c r="G453" s="65"/>
      <c r="H453" s="65"/>
      <c r="I453" s="72"/>
      <c r="J453" s="72"/>
      <c r="K453" s="72"/>
      <c r="L453" s="72"/>
      <c r="M453" s="65">
        <f t="shared" si="882"/>
        <v>0</v>
      </c>
      <c r="N453" s="72"/>
      <c r="O453" s="72"/>
      <c r="P453" s="72"/>
      <c r="Q453" s="72"/>
      <c r="R453" s="66">
        <f t="shared" si="881"/>
        <v>0</v>
      </c>
      <c r="S453" s="66"/>
      <c r="T453" s="66"/>
      <c r="U453" s="66"/>
    </row>
    <row r="454" spans="5:21" x14ac:dyDescent="0.25">
      <c r="E454" s="78" t="s">
        <v>77</v>
      </c>
      <c r="F454" s="65"/>
      <c r="G454" s="65"/>
      <c r="H454" s="65"/>
      <c r="I454" s="72"/>
      <c r="J454" s="72"/>
      <c r="K454" s="72"/>
      <c r="L454" s="72"/>
      <c r="M454" s="65">
        <f t="shared" si="882"/>
        <v>0</v>
      </c>
      <c r="N454" s="72"/>
      <c r="O454" s="72"/>
      <c r="P454" s="72"/>
      <c r="Q454" s="72"/>
      <c r="R454" s="66">
        <f t="shared" si="881"/>
        <v>0</v>
      </c>
      <c r="S454" s="66"/>
      <c r="T454" s="66"/>
      <c r="U454" s="66"/>
    </row>
    <row r="455" spans="5:21" x14ac:dyDescent="0.25">
      <c r="E455" s="78" t="s">
        <v>77</v>
      </c>
      <c r="F455" s="65"/>
      <c r="G455" s="65"/>
      <c r="H455" s="65"/>
      <c r="I455" s="72"/>
      <c r="J455" s="72"/>
      <c r="K455" s="72"/>
      <c r="L455" s="72"/>
      <c r="M455" s="65">
        <f t="shared" si="882"/>
        <v>0</v>
      </c>
      <c r="N455" s="72"/>
      <c r="O455" s="72"/>
      <c r="P455" s="72"/>
      <c r="Q455" s="72"/>
      <c r="R455" s="66">
        <f t="shared" si="881"/>
        <v>0</v>
      </c>
      <c r="S455" s="66"/>
      <c r="T455" s="66"/>
      <c r="U455" s="66"/>
    </row>
    <row r="456" spans="5:21" x14ac:dyDescent="0.25">
      <c r="E456" s="78" t="s">
        <v>77</v>
      </c>
      <c r="F456" s="65"/>
      <c r="G456" s="65"/>
      <c r="H456" s="65"/>
      <c r="I456" s="72"/>
      <c r="J456" s="72"/>
      <c r="K456" s="72"/>
      <c r="L456" s="72"/>
      <c r="M456" s="65">
        <f t="shared" si="882"/>
        <v>0</v>
      </c>
      <c r="N456" s="72"/>
      <c r="O456" s="72"/>
      <c r="P456" s="72"/>
      <c r="Q456" s="72"/>
      <c r="R456" s="66">
        <f t="shared" si="881"/>
        <v>0</v>
      </c>
      <c r="S456" s="66"/>
      <c r="T456" s="66"/>
      <c r="U456" s="66"/>
    </row>
    <row r="457" spans="5:21" x14ac:dyDescent="0.25">
      <c r="E457" s="78" t="s">
        <v>77</v>
      </c>
      <c r="F457" s="65"/>
      <c r="G457" s="65"/>
      <c r="H457" s="65"/>
      <c r="I457" s="72"/>
      <c r="J457" s="72"/>
      <c r="K457" s="72"/>
      <c r="L457" s="72"/>
      <c r="M457" s="65">
        <f t="shared" si="882"/>
        <v>0</v>
      </c>
      <c r="N457" s="72"/>
      <c r="O457" s="72"/>
      <c r="P457" s="72"/>
      <c r="Q457" s="72"/>
      <c r="R457" s="66">
        <f t="shared" si="881"/>
        <v>0</v>
      </c>
      <c r="S457" s="66"/>
      <c r="T457" s="66"/>
      <c r="U457" s="66"/>
    </row>
    <row r="458" spans="5:21" x14ac:dyDescent="0.25">
      <c r="E458" s="78" t="s">
        <v>77</v>
      </c>
      <c r="F458" s="65"/>
      <c r="G458" s="65"/>
      <c r="H458" s="65"/>
      <c r="I458" s="72"/>
      <c r="J458" s="72"/>
      <c r="K458" s="72"/>
      <c r="L458" s="72"/>
      <c r="M458" s="65">
        <f t="shared" si="882"/>
        <v>0</v>
      </c>
      <c r="N458" s="72"/>
      <c r="O458" s="72"/>
      <c r="P458" s="72"/>
      <c r="Q458" s="72"/>
      <c r="R458" s="66">
        <f t="shared" si="881"/>
        <v>0</v>
      </c>
      <c r="S458" s="66"/>
      <c r="T458" s="66"/>
      <c r="U458" s="66"/>
    </row>
    <row r="459" spans="5:21" x14ac:dyDescent="0.25">
      <c r="E459" s="78" t="s">
        <v>77</v>
      </c>
      <c r="F459" s="65"/>
      <c r="G459" s="65"/>
      <c r="H459" s="65"/>
      <c r="I459" s="72"/>
      <c r="J459" s="72"/>
      <c r="K459" s="72"/>
      <c r="L459" s="72"/>
      <c r="M459" s="65">
        <f t="shared" si="882"/>
        <v>0</v>
      </c>
      <c r="N459" s="72"/>
      <c r="O459" s="72"/>
      <c r="P459" s="72"/>
      <c r="Q459" s="72"/>
      <c r="R459" s="66">
        <f t="shared" si="881"/>
        <v>0</v>
      </c>
      <c r="S459" s="66"/>
      <c r="T459" s="66"/>
      <c r="U459" s="66"/>
    </row>
    <row r="460" spans="5:21" ht="15.75" thickBot="1" x14ac:dyDescent="0.3">
      <c r="E460" s="8" t="s">
        <v>131</v>
      </c>
      <c r="F460" s="67">
        <f>SUM(F450:F459)</f>
        <v>0</v>
      </c>
      <c r="G460" s="67">
        <f t="shared" ref="G460:U460" si="883">SUM(G450:G459)</f>
        <v>0</v>
      </c>
      <c r="H460" s="67">
        <f t="shared" si="883"/>
        <v>0</v>
      </c>
      <c r="I460" s="43">
        <f t="shared" si="883"/>
        <v>0</v>
      </c>
      <c r="J460" s="43">
        <f t="shared" si="883"/>
        <v>0</v>
      </c>
      <c r="K460" s="43">
        <f t="shared" si="883"/>
        <v>0</v>
      </c>
      <c r="L460" s="43">
        <f t="shared" si="883"/>
        <v>0</v>
      </c>
      <c r="M460" s="68">
        <f t="shared" si="883"/>
        <v>0</v>
      </c>
      <c r="N460" s="43">
        <f t="shared" si="883"/>
        <v>0</v>
      </c>
      <c r="O460" s="43">
        <f t="shared" si="883"/>
        <v>0</v>
      </c>
      <c r="P460" s="43">
        <f t="shared" si="883"/>
        <v>0</v>
      </c>
      <c r="Q460" s="43">
        <f t="shared" si="883"/>
        <v>0</v>
      </c>
      <c r="R460" s="69">
        <f t="shared" si="883"/>
        <v>0</v>
      </c>
      <c r="S460" s="69">
        <f t="shared" si="883"/>
        <v>0</v>
      </c>
      <c r="T460" s="69">
        <f t="shared" si="883"/>
        <v>0</v>
      </c>
      <c r="U460" s="69">
        <f t="shared" si="883"/>
        <v>0</v>
      </c>
    </row>
    <row r="461" spans="5:21" ht="15.75" thickTop="1" x14ac:dyDescent="0.25"/>
    <row r="464" spans="5:21" x14ac:dyDescent="0.25">
      <c r="E464" s="4" t="s">
        <v>109</v>
      </c>
    </row>
    <row r="465" spans="5:21" x14ac:dyDescent="0.25">
      <c r="E465" s="6" t="s">
        <v>25</v>
      </c>
    </row>
    <row r="467" spans="5:21" x14ac:dyDescent="0.25">
      <c r="F467" s="12">
        <f>Inputs!$C$7</f>
        <v>2023</v>
      </c>
      <c r="G467" s="12">
        <f>Inputs!$C$8</f>
        <v>2024</v>
      </c>
      <c r="H467" s="12">
        <f>Inputs!$C$9</f>
        <v>2025</v>
      </c>
      <c r="I467" s="13" t="s">
        <v>1</v>
      </c>
      <c r="J467" s="13" t="s">
        <v>2</v>
      </c>
      <c r="K467" s="13" t="s">
        <v>3</v>
      </c>
      <c r="L467" s="13" t="s">
        <v>4</v>
      </c>
      <c r="M467" s="13">
        <f>Inputs!$C$10</f>
        <v>2026</v>
      </c>
      <c r="N467" s="14" t="s">
        <v>1</v>
      </c>
      <c r="O467" s="14" t="s">
        <v>2</v>
      </c>
      <c r="P467" s="14" t="s">
        <v>3</v>
      </c>
      <c r="Q467" s="14" t="s">
        <v>4</v>
      </c>
      <c r="R467" s="15">
        <f>Inputs!$C$11</f>
        <v>2027</v>
      </c>
      <c r="S467" s="16">
        <f>Inputs!$C$12</f>
        <v>2028</v>
      </c>
      <c r="T467" s="16">
        <f>Inputs!$C$13</f>
        <v>2029</v>
      </c>
      <c r="U467" s="16">
        <f>Inputs!$C$14</f>
        <v>2030</v>
      </c>
    </row>
    <row r="468" spans="5:21" x14ac:dyDescent="0.25">
      <c r="F468" s="71" t="s">
        <v>63</v>
      </c>
      <c r="G468" s="71" t="s">
        <v>63</v>
      </c>
      <c r="H468" s="71" t="s">
        <v>63</v>
      </c>
      <c r="I468" s="71" t="s">
        <v>63</v>
      </c>
      <c r="J468" s="71" t="s">
        <v>63</v>
      </c>
      <c r="K468" s="71" t="s">
        <v>63</v>
      </c>
      <c r="L468" s="71" t="s">
        <v>63</v>
      </c>
      <c r="M468" s="71" t="s">
        <v>63</v>
      </c>
      <c r="N468" s="71" t="s">
        <v>63</v>
      </c>
      <c r="O468" s="71" t="s">
        <v>63</v>
      </c>
      <c r="P468" s="71" t="s">
        <v>63</v>
      </c>
      <c r="Q468" s="71" t="s">
        <v>63</v>
      </c>
      <c r="R468" s="71" t="s">
        <v>63</v>
      </c>
      <c r="S468" s="71" t="s">
        <v>63</v>
      </c>
      <c r="T468" s="71" t="s">
        <v>63</v>
      </c>
      <c r="U468" s="71" t="s">
        <v>63</v>
      </c>
    </row>
    <row r="469" spans="5:21" x14ac:dyDescent="0.25">
      <c r="E469" s="78" t="s">
        <v>129</v>
      </c>
      <c r="F469" s="65"/>
      <c r="G469" s="65"/>
      <c r="H469" s="65"/>
      <c r="I469" s="72"/>
      <c r="J469" s="72"/>
      <c r="K469" s="72"/>
      <c r="L469" s="72"/>
      <c r="M469" s="65">
        <f>L469</f>
        <v>0</v>
      </c>
      <c r="N469" s="72"/>
      <c r="O469" s="72"/>
      <c r="P469" s="72"/>
      <c r="Q469" s="72"/>
      <c r="R469" s="66">
        <f t="shared" ref="R469:R478" si="884">Q469</f>
        <v>0</v>
      </c>
      <c r="S469" s="66"/>
      <c r="T469" s="66"/>
      <c r="U469" s="66"/>
    </row>
    <row r="470" spans="5:21" x14ac:dyDescent="0.25">
      <c r="E470" s="78" t="s">
        <v>77</v>
      </c>
      <c r="F470" s="65"/>
      <c r="G470" s="65"/>
      <c r="H470" s="65"/>
      <c r="I470" s="72"/>
      <c r="J470" s="72"/>
      <c r="K470" s="72"/>
      <c r="L470" s="72"/>
      <c r="M470" s="65">
        <f t="shared" ref="M470:M478" si="885">L470</f>
        <v>0</v>
      </c>
      <c r="N470" s="72"/>
      <c r="O470" s="72"/>
      <c r="P470" s="72"/>
      <c r="Q470" s="72"/>
      <c r="R470" s="66">
        <f t="shared" si="884"/>
        <v>0</v>
      </c>
      <c r="S470" s="66"/>
      <c r="T470" s="66"/>
      <c r="U470" s="66"/>
    </row>
    <row r="471" spans="5:21" x14ac:dyDescent="0.25">
      <c r="E471" s="78" t="s">
        <v>77</v>
      </c>
      <c r="F471" s="65"/>
      <c r="G471" s="65"/>
      <c r="H471" s="65"/>
      <c r="I471" s="72"/>
      <c r="J471" s="72"/>
      <c r="K471" s="72"/>
      <c r="L471" s="72"/>
      <c r="M471" s="65">
        <f t="shared" si="885"/>
        <v>0</v>
      </c>
      <c r="N471" s="72"/>
      <c r="O471" s="72"/>
      <c r="P471" s="72"/>
      <c r="Q471" s="72"/>
      <c r="R471" s="66">
        <f t="shared" si="884"/>
        <v>0</v>
      </c>
      <c r="S471" s="66"/>
      <c r="T471" s="66"/>
      <c r="U471" s="66"/>
    </row>
    <row r="472" spans="5:21" x14ac:dyDescent="0.25">
      <c r="E472" s="78" t="s">
        <v>77</v>
      </c>
      <c r="F472" s="65"/>
      <c r="G472" s="65"/>
      <c r="H472" s="65"/>
      <c r="I472" s="72"/>
      <c r="J472" s="72"/>
      <c r="K472" s="72"/>
      <c r="L472" s="72"/>
      <c r="M472" s="65">
        <f t="shared" si="885"/>
        <v>0</v>
      </c>
      <c r="N472" s="72"/>
      <c r="O472" s="72"/>
      <c r="P472" s="72"/>
      <c r="Q472" s="72"/>
      <c r="R472" s="66">
        <f t="shared" si="884"/>
        <v>0</v>
      </c>
      <c r="S472" s="66"/>
      <c r="T472" s="66"/>
      <c r="U472" s="66"/>
    </row>
    <row r="473" spans="5:21" x14ac:dyDescent="0.25">
      <c r="E473" s="78" t="s">
        <v>77</v>
      </c>
      <c r="F473" s="65"/>
      <c r="G473" s="65"/>
      <c r="H473" s="65"/>
      <c r="I473" s="72"/>
      <c r="J473" s="72"/>
      <c r="K473" s="72"/>
      <c r="L473" s="72"/>
      <c r="M473" s="65">
        <f t="shared" si="885"/>
        <v>0</v>
      </c>
      <c r="N473" s="72"/>
      <c r="O473" s="72"/>
      <c r="P473" s="72"/>
      <c r="Q473" s="72"/>
      <c r="R473" s="66">
        <f t="shared" si="884"/>
        <v>0</v>
      </c>
      <c r="S473" s="66"/>
      <c r="T473" s="66"/>
      <c r="U473" s="66"/>
    </row>
    <row r="474" spans="5:21" x14ac:dyDescent="0.25">
      <c r="E474" s="78" t="s">
        <v>77</v>
      </c>
      <c r="F474" s="65"/>
      <c r="G474" s="65"/>
      <c r="H474" s="65"/>
      <c r="I474" s="72"/>
      <c r="J474" s="72"/>
      <c r="K474" s="72"/>
      <c r="L474" s="72"/>
      <c r="M474" s="65">
        <f t="shared" si="885"/>
        <v>0</v>
      </c>
      <c r="N474" s="72"/>
      <c r="O474" s="72"/>
      <c r="P474" s="72"/>
      <c r="Q474" s="72"/>
      <c r="R474" s="66">
        <f t="shared" si="884"/>
        <v>0</v>
      </c>
      <c r="S474" s="66"/>
      <c r="T474" s="66"/>
      <c r="U474" s="66"/>
    </row>
    <row r="475" spans="5:21" x14ac:dyDescent="0.25">
      <c r="E475" s="78" t="s">
        <v>77</v>
      </c>
      <c r="F475" s="65"/>
      <c r="G475" s="65"/>
      <c r="H475" s="65"/>
      <c r="I475" s="72"/>
      <c r="J475" s="72"/>
      <c r="K475" s="72"/>
      <c r="L475" s="72"/>
      <c r="M475" s="65">
        <f t="shared" si="885"/>
        <v>0</v>
      </c>
      <c r="N475" s="72"/>
      <c r="O475" s="72"/>
      <c r="P475" s="72"/>
      <c r="Q475" s="72"/>
      <c r="R475" s="66">
        <f t="shared" si="884"/>
        <v>0</v>
      </c>
      <c r="S475" s="66"/>
      <c r="T475" s="66"/>
      <c r="U475" s="66"/>
    </row>
    <row r="476" spans="5:21" x14ac:dyDescent="0.25">
      <c r="E476" s="78" t="s">
        <v>77</v>
      </c>
      <c r="F476" s="65"/>
      <c r="G476" s="65"/>
      <c r="H476" s="65"/>
      <c r="I476" s="72"/>
      <c r="J476" s="72"/>
      <c r="K476" s="72"/>
      <c r="L476" s="72"/>
      <c r="M476" s="65">
        <f t="shared" si="885"/>
        <v>0</v>
      </c>
      <c r="N476" s="72"/>
      <c r="O476" s="72"/>
      <c r="P476" s="72"/>
      <c r="Q476" s="72"/>
      <c r="R476" s="66">
        <f t="shared" si="884"/>
        <v>0</v>
      </c>
      <c r="S476" s="66"/>
      <c r="T476" s="66"/>
      <c r="U476" s="66"/>
    </row>
    <row r="477" spans="5:21" x14ac:dyDescent="0.25">
      <c r="E477" s="78" t="s">
        <v>77</v>
      </c>
      <c r="F477" s="65"/>
      <c r="G477" s="65"/>
      <c r="H477" s="65"/>
      <c r="I477" s="72"/>
      <c r="J477" s="72"/>
      <c r="K477" s="72"/>
      <c r="L477" s="72"/>
      <c r="M477" s="65">
        <f t="shared" si="885"/>
        <v>0</v>
      </c>
      <c r="N477" s="72"/>
      <c r="O477" s="72"/>
      <c r="P477" s="72"/>
      <c r="Q477" s="72"/>
      <c r="R477" s="66">
        <f t="shared" si="884"/>
        <v>0</v>
      </c>
      <c r="S477" s="66"/>
      <c r="T477" s="66"/>
      <c r="U477" s="66"/>
    </row>
    <row r="478" spans="5:21" x14ac:dyDescent="0.25">
      <c r="E478" s="78" t="s">
        <v>77</v>
      </c>
      <c r="F478" s="65"/>
      <c r="G478" s="65"/>
      <c r="H478" s="65"/>
      <c r="I478" s="72"/>
      <c r="J478" s="72"/>
      <c r="K478" s="72"/>
      <c r="L478" s="72"/>
      <c r="M478" s="65">
        <f t="shared" si="885"/>
        <v>0</v>
      </c>
      <c r="N478" s="72"/>
      <c r="O478" s="72"/>
      <c r="P478" s="72"/>
      <c r="Q478" s="72"/>
      <c r="R478" s="66">
        <f t="shared" si="884"/>
        <v>0</v>
      </c>
      <c r="S478" s="66"/>
      <c r="T478" s="66"/>
      <c r="U478" s="66"/>
    </row>
    <row r="479" spans="5:21" ht="15.75" thickBot="1" x14ac:dyDescent="0.3">
      <c r="E479" s="8" t="s">
        <v>130</v>
      </c>
      <c r="F479" s="67">
        <f>SUM(F469:F478)</f>
        <v>0</v>
      </c>
      <c r="G479" s="67">
        <f t="shared" ref="G479:U479" si="886">SUM(G469:G478)</f>
        <v>0</v>
      </c>
      <c r="H479" s="67">
        <f t="shared" si="886"/>
        <v>0</v>
      </c>
      <c r="I479" s="43">
        <f t="shared" si="886"/>
        <v>0</v>
      </c>
      <c r="J479" s="43">
        <f t="shared" si="886"/>
        <v>0</v>
      </c>
      <c r="K479" s="43">
        <f t="shared" si="886"/>
        <v>0</v>
      </c>
      <c r="L479" s="43">
        <f t="shared" si="886"/>
        <v>0</v>
      </c>
      <c r="M479" s="68">
        <f t="shared" si="886"/>
        <v>0</v>
      </c>
      <c r="N479" s="43">
        <f t="shared" si="886"/>
        <v>0</v>
      </c>
      <c r="O479" s="43">
        <f t="shared" si="886"/>
        <v>0</v>
      </c>
      <c r="P479" s="43">
        <f t="shared" si="886"/>
        <v>0</v>
      </c>
      <c r="Q479" s="43">
        <f t="shared" si="886"/>
        <v>0</v>
      </c>
      <c r="R479" s="69">
        <f t="shared" si="886"/>
        <v>0</v>
      </c>
      <c r="S479" s="69">
        <f t="shared" si="886"/>
        <v>0</v>
      </c>
      <c r="T479" s="69">
        <f t="shared" si="886"/>
        <v>0</v>
      </c>
      <c r="U479" s="69">
        <f t="shared" si="886"/>
        <v>0</v>
      </c>
    </row>
    <row r="480" spans="5:21" ht="15.75" thickTop="1" x14ac:dyDescent="0.25">
      <c r="F480" s="24"/>
      <c r="G480" s="25"/>
      <c r="H480" s="25"/>
      <c r="I480" s="25"/>
      <c r="J480" s="25"/>
      <c r="K480" s="25"/>
      <c r="L480" s="25"/>
      <c r="M480" s="25"/>
      <c r="N480" s="25"/>
      <c r="O480" s="25"/>
      <c r="P480" s="25"/>
      <c r="Q480" s="25"/>
      <c r="R480" s="25"/>
      <c r="S480" s="25"/>
      <c r="T480" s="25"/>
      <c r="U480" s="2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A67D5-A802-4EFD-A846-2F158249B505}">
  <sheetPr>
    <tabColor theme="9" tint="0.79998168889431442"/>
  </sheetPr>
  <dimension ref="B3:AJ141"/>
  <sheetViews>
    <sheetView showGridLines="0" zoomScale="80" zoomScaleNormal="80" workbookViewId="0">
      <selection activeCell="AC140" sqref="AC140"/>
    </sheetView>
  </sheetViews>
  <sheetFormatPr defaultRowHeight="15" outlineLevelRow="1" outlineLevelCol="1" x14ac:dyDescent="0.25"/>
  <cols>
    <col min="1" max="1" width="3.85546875" customWidth="1"/>
    <col min="2" max="2" width="5.28515625" customWidth="1"/>
    <col min="3" max="3" width="4.5703125" customWidth="1"/>
    <col min="4" max="4" width="3.85546875" customWidth="1"/>
    <col min="5" max="5" width="38.7109375" customWidth="1"/>
    <col min="6" max="8" width="7.7109375" customWidth="1"/>
    <col min="9" max="12" width="7.7109375" customWidth="1" outlineLevel="1"/>
    <col min="13" max="13" width="7.7109375" customWidth="1"/>
    <col min="14" max="17" width="7.7109375" customWidth="1" outlineLevel="1"/>
    <col min="18" max="21" width="8.5703125" bestFit="1" customWidth="1"/>
    <col min="23" max="23" width="40.28515625" customWidth="1"/>
  </cols>
  <sheetData>
    <row r="3" spans="2:36" ht="18.75" x14ac:dyDescent="0.3">
      <c r="B3" s="4" t="s">
        <v>34</v>
      </c>
      <c r="C3" s="4" t="s">
        <v>387</v>
      </c>
      <c r="E3" s="53" t="str">
        <f>"Scenario 1: "&amp;Inputs!B22</f>
        <v>Scenario 1: Scenario 1</v>
      </c>
      <c r="F3" s="49"/>
      <c r="G3" s="49"/>
      <c r="H3" s="49"/>
      <c r="I3" s="49"/>
      <c r="J3" s="49"/>
      <c r="K3" s="49"/>
      <c r="L3" s="49"/>
      <c r="M3" s="49"/>
      <c r="N3" s="49"/>
      <c r="O3" s="49"/>
      <c r="P3" s="49"/>
      <c r="Q3" s="49"/>
      <c r="R3" s="49"/>
      <c r="S3" s="49"/>
      <c r="T3" s="49"/>
      <c r="U3" s="49"/>
    </row>
    <row r="4" spans="2:36" hidden="1" outlineLevel="1" x14ac:dyDescent="0.25">
      <c r="E4" s="52" t="str">
        <f>Inputs!C22</f>
        <v>Scenario 1 Description</v>
      </c>
    </row>
    <row r="5" spans="2:36" hidden="1" outlineLevel="1" x14ac:dyDescent="0.25"/>
    <row r="6" spans="2:36" hidden="1" outlineLevel="1" x14ac:dyDescent="0.25"/>
    <row r="7" spans="2:36" hidden="1" outlineLevel="1" x14ac:dyDescent="0.25">
      <c r="E7" s="4" t="s">
        <v>137</v>
      </c>
      <c r="W7" s="4" t="str">
        <f>E7</f>
        <v>Tax Impact</v>
      </c>
    </row>
    <row r="8" spans="2:36" hidden="1" outlineLevel="1" x14ac:dyDescent="0.25">
      <c r="E8" s="6" t="s">
        <v>25</v>
      </c>
      <c r="W8" s="61" t="s">
        <v>62</v>
      </c>
    </row>
    <row r="9" spans="2:36" hidden="1" outlineLevel="1" x14ac:dyDescent="0.25"/>
    <row r="10" spans="2:36" hidden="1" outlineLevel="1" x14ac:dyDescent="0.25">
      <c r="F10" s="12">
        <f>Inputs!$C$7</f>
        <v>2023</v>
      </c>
      <c r="G10" s="12">
        <f>Inputs!$C$8</f>
        <v>2024</v>
      </c>
      <c r="H10" s="12">
        <f>Inputs!$C$9</f>
        <v>2025</v>
      </c>
      <c r="I10" s="13" t="s">
        <v>1</v>
      </c>
      <c r="J10" s="13" t="s">
        <v>2</v>
      </c>
      <c r="K10" s="13" t="s">
        <v>3</v>
      </c>
      <c r="L10" s="13" t="s">
        <v>4</v>
      </c>
      <c r="M10" s="13">
        <f>Inputs!$C$10</f>
        <v>2026</v>
      </c>
      <c r="N10" s="14" t="s">
        <v>1</v>
      </c>
      <c r="O10" s="14" t="s">
        <v>2</v>
      </c>
      <c r="P10" s="14" t="s">
        <v>3</v>
      </c>
      <c r="Q10" s="14" t="s">
        <v>4</v>
      </c>
      <c r="R10" s="15">
        <f>Inputs!$C$11</f>
        <v>2027</v>
      </c>
      <c r="S10" s="16">
        <f>Inputs!$C$12</f>
        <v>2028</v>
      </c>
      <c r="T10" s="16">
        <f>Inputs!$C$13</f>
        <v>2029</v>
      </c>
      <c r="U10" s="16">
        <f>Inputs!$C$14</f>
        <v>2030</v>
      </c>
      <c r="X10" s="13" t="s">
        <v>1</v>
      </c>
      <c r="Y10" s="13" t="s">
        <v>2</v>
      </c>
      <c r="Z10" s="13" t="s">
        <v>3</v>
      </c>
      <c r="AA10" s="13" t="s">
        <v>4</v>
      </c>
      <c r="AB10" s="13">
        <f>Inputs!$C$10</f>
        <v>2026</v>
      </c>
      <c r="AC10" s="14" t="s">
        <v>1</v>
      </c>
      <c r="AD10" s="14" t="s">
        <v>2</v>
      </c>
      <c r="AE10" s="14" t="s">
        <v>3</v>
      </c>
      <c r="AF10" s="14" t="s">
        <v>4</v>
      </c>
      <c r="AG10" s="15">
        <f>Inputs!$C$11</f>
        <v>2027</v>
      </c>
      <c r="AH10" s="16">
        <f>Inputs!$C$12</f>
        <v>2028</v>
      </c>
      <c r="AI10" s="16">
        <f>Inputs!$C$13</f>
        <v>2029</v>
      </c>
      <c r="AJ10" s="16">
        <f>Inputs!$C$14</f>
        <v>2030</v>
      </c>
    </row>
    <row r="11" spans="2:36" hidden="1" outlineLevel="1" x14ac:dyDescent="0.25">
      <c r="F11" s="71" t="s">
        <v>63</v>
      </c>
      <c r="G11" s="71" t="s">
        <v>63</v>
      </c>
      <c r="H11" s="71" t="s">
        <v>63</v>
      </c>
      <c r="I11" s="71" t="s">
        <v>63</v>
      </c>
      <c r="J11" s="71" t="s">
        <v>63</v>
      </c>
      <c r="K11" s="71" t="s">
        <v>63</v>
      </c>
      <c r="L11" s="71" t="s">
        <v>63</v>
      </c>
      <c r="M11" s="71" t="s">
        <v>63</v>
      </c>
      <c r="N11" s="71" t="s">
        <v>63</v>
      </c>
      <c r="O11" s="71" t="s">
        <v>63</v>
      </c>
      <c r="P11" s="71" t="s">
        <v>63</v>
      </c>
      <c r="Q11" s="71" t="s">
        <v>63</v>
      </c>
      <c r="R11" s="71" t="s">
        <v>63</v>
      </c>
      <c r="S11" s="71" t="s">
        <v>63</v>
      </c>
      <c r="T11" s="71" t="s">
        <v>63</v>
      </c>
      <c r="U11" s="71" t="s">
        <v>63</v>
      </c>
      <c r="X11" s="63" t="s">
        <v>30</v>
      </c>
      <c r="Y11" s="63" t="s">
        <v>30</v>
      </c>
      <c r="Z11" s="63" t="s">
        <v>30</v>
      </c>
      <c r="AA11" s="63" t="s">
        <v>30</v>
      </c>
      <c r="AB11" s="62"/>
      <c r="AC11" s="63" t="s">
        <v>30</v>
      </c>
      <c r="AD11" s="63" t="s">
        <v>30</v>
      </c>
      <c r="AE11" s="63" t="s">
        <v>30</v>
      </c>
      <c r="AF11" s="63" t="s">
        <v>30</v>
      </c>
      <c r="AG11" s="62"/>
      <c r="AH11" s="63" t="s">
        <v>30</v>
      </c>
      <c r="AI11" s="63" t="s">
        <v>30</v>
      </c>
      <c r="AJ11" s="63" t="s">
        <v>30</v>
      </c>
    </row>
    <row r="12" spans="2:36" hidden="1" outlineLevel="1" x14ac:dyDescent="0.25">
      <c r="B12" s="229" t="s">
        <v>195</v>
      </c>
      <c r="C12" s="229" t="s">
        <v>195</v>
      </c>
      <c r="E12" s="78" t="s">
        <v>138</v>
      </c>
      <c r="F12" s="21">
        <f>F127</f>
        <v>0</v>
      </c>
      <c r="G12" s="21">
        <f t="shared" ref="G12:H12" si="0">G127</f>
        <v>0</v>
      </c>
      <c r="H12" s="21">
        <f t="shared" si="0"/>
        <v>0</v>
      </c>
      <c r="I12" s="85">
        <f t="shared" ref="I12:I21" si="1">IF(X12="",I127,X12)</f>
        <v>0</v>
      </c>
      <c r="J12" s="85">
        <f t="shared" ref="J12:J21" si="2">IF(Y12="",J127,Y12)</f>
        <v>0</v>
      </c>
      <c r="K12" s="85">
        <f t="shared" ref="K12:K21" si="3">IF(Z12="",K127,Z12)</f>
        <v>0</v>
      </c>
      <c r="L12" s="85">
        <f t="shared" ref="L12:L21" si="4">IF(AA12="",L127,AA12)</f>
        <v>0</v>
      </c>
      <c r="M12" s="17">
        <f t="shared" ref="M12:M21" si="5">SUM(I12:L12)</f>
        <v>0</v>
      </c>
      <c r="N12" s="85">
        <f t="shared" ref="N12:N21" si="6">IF(AC12="",N127,AC12)</f>
        <v>0</v>
      </c>
      <c r="O12" s="85">
        <f t="shared" ref="O12:O21" si="7">IF(AD12="",O127,AD12)</f>
        <v>0</v>
      </c>
      <c r="P12" s="85">
        <f t="shared" ref="P12:P21" si="8">IF(AE12="",P127,AE12)</f>
        <v>0</v>
      </c>
      <c r="Q12" s="85">
        <f t="shared" ref="Q12:Q21" si="9">IF(AF12="",Q127,AF12)</f>
        <v>0</v>
      </c>
      <c r="R12" s="22">
        <f t="shared" ref="R12:R21" si="10">SUM(N12:Q12)</f>
        <v>0</v>
      </c>
      <c r="S12" s="23">
        <f t="shared" ref="S12:S21" si="11">IF(AH12="",S127,AH12)</f>
        <v>0</v>
      </c>
      <c r="T12" s="23">
        <f t="shared" ref="T12:T21" si="12">IF(AI12="",T127,AI12)</f>
        <v>0</v>
      </c>
      <c r="U12" s="23">
        <f t="shared" ref="U12:U21" si="13">IF(AJ12="",U127,AJ12)</f>
        <v>0</v>
      </c>
      <c r="W12" s="78" t="str">
        <f>E12</f>
        <v>Corp Tax on EBT</v>
      </c>
      <c r="X12" s="64"/>
      <c r="Y12" s="64"/>
      <c r="Z12" s="64"/>
      <c r="AA12" s="64"/>
      <c r="AB12" s="60"/>
      <c r="AC12" s="64"/>
      <c r="AD12" s="64"/>
      <c r="AE12" s="64"/>
      <c r="AF12" s="64"/>
      <c r="AG12" s="60"/>
      <c r="AH12" s="64"/>
      <c r="AI12" s="64"/>
      <c r="AJ12" s="64"/>
    </row>
    <row r="13" spans="2:36" hidden="1" outlineLevel="1" x14ac:dyDescent="0.25">
      <c r="B13" s="229" t="s">
        <v>195</v>
      </c>
      <c r="C13" s="229" t="s">
        <v>195</v>
      </c>
      <c r="E13" s="78" t="s">
        <v>139</v>
      </c>
      <c r="F13" s="21">
        <f t="shared" ref="F13:H21" si="14">F128</f>
        <v>0</v>
      </c>
      <c r="G13" s="21">
        <f t="shared" si="14"/>
        <v>0</v>
      </c>
      <c r="H13" s="21">
        <f t="shared" si="14"/>
        <v>0</v>
      </c>
      <c r="I13" s="85">
        <f t="shared" si="1"/>
        <v>0</v>
      </c>
      <c r="J13" s="85">
        <f t="shared" si="2"/>
        <v>0</v>
      </c>
      <c r="K13" s="85">
        <f t="shared" si="3"/>
        <v>0</v>
      </c>
      <c r="L13" s="85">
        <f t="shared" si="4"/>
        <v>0</v>
      </c>
      <c r="M13" s="17">
        <f t="shared" si="5"/>
        <v>0</v>
      </c>
      <c r="N13" s="85">
        <f t="shared" si="6"/>
        <v>0</v>
      </c>
      <c r="O13" s="85">
        <f t="shared" si="7"/>
        <v>0</v>
      </c>
      <c r="P13" s="85">
        <f t="shared" si="8"/>
        <v>0</v>
      </c>
      <c r="Q13" s="85">
        <f t="shared" si="9"/>
        <v>0</v>
      </c>
      <c r="R13" s="22">
        <f t="shared" si="10"/>
        <v>0</v>
      </c>
      <c r="S13" s="23">
        <f t="shared" si="11"/>
        <v>0</v>
      </c>
      <c r="T13" s="23">
        <f t="shared" si="12"/>
        <v>0</v>
      </c>
      <c r="U13" s="23">
        <f t="shared" si="13"/>
        <v>0</v>
      </c>
      <c r="W13" s="78" t="str">
        <f t="shared" ref="W13:W21" si="15">E13</f>
        <v>Tax Credits Available</v>
      </c>
      <c r="X13" s="64"/>
      <c r="Y13" s="64"/>
      <c r="Z13" s="64"/>
      <c r="AA13" s="64"/>
      <c r="AB13" s="60"/>
      <c r="AC13" s="64"/>
      <c r="AD13" s="64"/>
      <c r="AE13" s="64"/>
      <c r="AF13" s="64"/>
      <c r="AG13" s="60"/>
      <c r="AH13" s="64"/>
      <c r="AI13" s="64"/>
      <c r="AJ13" s="64"/>
    </row>
    <row r="14" spans="2:36" hidden="1" outlineLevel="1" x14ac:dyDescent="0.25">
      <c r="B14" s="229" t="s">
        <v>195</v>
      </c>
      <c r="C14" s="229" t="s">
        <v>195</v>
      </c>
      <c r="E14" s="78" t="s">
        <v>140</v>
      </c>
      <c r="F14" s="21">
        <f t="shared" si="14"/>
        <v>0</v>
      </c>
      <c r="G14" s="21">
        <f t="shared" si="14"/>
        <v>0</v>
      </c>
      <c r="H14" s="21">
        <f t="shared" si="14"/>
        <v>0</v>
      </c>
      <c r="I14" s="85">
        <f t="shared" si="1"/>
        <v>0</v>
      </c>
      <c r="J14" s="85">
        <f t="shared" si="2"/>
        <v>0</v>
      </c>
      <c r="K14" s="85">
        <f t="shared" si="3"/>
        <v>0</v>
      </c>
      <c r="L14" s="85">
        <f t="shared" si="4"/>
        <v>0</v>
      </c>
      <c r="M14" s="17">
        <f t="shared" si="5"/>
        <v>0</v>
      </c>
      <c r="N14" s="85">
        <f t="shared" si="6"/>
        <v>0</v>
      </c>
      <c r="O14" s="85">
        <f t="shared" si="7"/>
        <v>0</v>
      </c>
      <c r="P14" s="85">
        <f t="shared" si="8"/>
        <v>0</v>
      </c>
      <c r="Q14" s="85">
        <f t="shared" si="9"/>
        <v>0</v>
      </c>
      <c r="R14" s="22">
        <f t="shared" si="10"/>
        <v>0</v>
      </c>
      <c r="S14" s="23">
        <f t="shared" si="11"/>
        <v>0</v>
      </c>
      <c r="T14" s="23">
        <f t="shared" si="12"/>
        <v>0</v>
      </c>
      <c r="U14" s="23">
        <f t="shared" si="13"/>
        <v>0</v>
      </c>
      <c r="W14" s="78" t="str">
        <f t="shared" si="15"/>
        <v>Other Tax Impact</v>
      </c>
      <c r="X14" s="64"/>
      <c r="Y14" s="64"/>
      <c r="Z14" s="64"/>
      <c r="AA14" s="64"/>
      <c r="AB14" s="60"/>
      <c r="AC14" s="64"/>
      <c r="AD14" s="64"/>
      <c r="AE14" s="64"/>
      <c r="AF14" s="64"/>
      <c r="AG14" s="60"/>
      <c r="AH14" s="64"/>
      <c r="AI14" s="64"/>
      <c r="AJ14" s="64"/>
    </row>
    <row r="15" spans="2:36" hidden="1" outlineLevel="1" x14ac:dyDescent="0.25">
      <c r="B15" s="229" t="s">
        <v>195</v>
      </c>
      <c r="C15" s="229" t="s">
        <v>195</v>
      </c>
      <c r="E15" s="78" t="s">
        <v>140</v>
      </c>
      <c r="F15" s="21">
        <f t="shared" si="14"/>
        <v>0</v>
      </c>
      <c r="G15" s="21">
        <f t="shared" si="14"/>
        <v>0</v>
      </c>
      <c r="H15" s="21">
        <f t="shared" si="14"/>
        <v>0</v>
      </c>
      <c r="I15" s="85">
        <f t="shared" si="1"/>
        <v>0</v>
      </c>
      <c r="J15" s="85">
        <f t="shared" si="2"/>
        <v>0</v>
      </c>
      <c r="K15" s="85">
        <f t="shared" si="3"/>
        <v>0</v>
      </c>
      <c r="L15" s="85">
        <f t="shared" si="4"/>
        <v>0</v>
      </c>
      <c r="M15" s="17">
        <f t="shared" si="5"/>
        <v>0</v>
      </c>
      <c r="N15" s="85">
        <f t="shared" si="6"/>
        <v>0</v>
      </c>
      <c r="O15" s="85">
        <f t="shared" si="7"/>
        <v>0</v>
      </c>
      <c r="P15" s="85">
        <f t="shared" si="8"/>
        <v>0</v>
      </c>
      <c r="Q15" s="85">
        <f t="shared" si="9"/>
        <v>0</v>
      </c>
      <c r="R15" s="22">
        <f t="shared" si="10"/>
        <v>0</v>
      </c>
      <c r="S15" s="23">
        <f t="shared" si="11"/>
        <v>0</v>
      </c>
      <c r="T15" s="23">
        <f t="shared" si="12"/>
        <v>0</v>
      </c>
      <c r="U15" s="23">
        <f t="shared" si="13"/>
        <v>0</v>
      </c>
      <c r="W15" s="78" t="str">
        <f t="shared" si="15"/>
        <v>Other Tax Impact</v>
      </c>
      <c r="X15" s="64"/>
      <c r="Y15" s="64"/>
      <c r="Z15" s="64"/>
      <c r="AA15" s="64"/>
      <c r="AB15" s="60"/>
      <c r="AC15" s="64"/>
      <c r="AD15" s="64"/>
      <c r="AE15" s="64"/>
      <c r="AF15" s="64"/>
      <c r="AG15" s="60"/>
      <c r="AH15" s="64"/>
      <c r="AI15" s="64"/>
      <c r="AJ15" s="64"/>
    </row>
    <row r="16" spans="2:36" hidden="1" outlineLevel="1" x14ac:dyDescent="0.25">
      <c r="B16" s="229" t="s">
        <v>195</v>
      </c>
      <c r="C16" s="229" t="s">
        <v>195</v>
      </c>
      <c r="E16" s="78" t="s">
        <v>140</v>
      </c>
      <c r="F16" s="21">
        <f t="shared" si="14"/>
        <v>0</v>
      </c>
      <c r="G16" s="21">
        <f t="shared" si="14"/>
        <v>0</v>
      </c>
      <c r="H16" s="21">
        <f t="shared" si="14"/>
        <v>0</v>
      </c>
      <c r="I16" s="85">
        <f t="shared" si="1"/>
        <v>0</v>
      </c>
      <c r="J16" s="85">
        <f t="shared" si="2"/>
        <v>0</v>
      </c>
      <c r="K16" s="85">
        <f t="shared" si="3"/>
        <v>0</v>
      </c>
      <c r="L16" s="85">
        <f t="shared" si="4"/>
        <v>0</v>
      </c>
      <c r="M16" s="17">
        <f t="shared" si="5"/>
        <v>0</v>
      </c>
      <c r="N16" s="85">
        <f t="shared" si="6"/>
        <v>0</v>
      </c>
      <c r="O16" s="85">
        <f t="shared" si="7"/>
        <v>0</v>
      </c>
      <c r="P16" s="85">
        <f t="shared" si="8"/>
        <v>0</v>
      </c>
      <c r="Q16" s="85">
        <f t="shared" si="9"/>
        <v>0</v>
      </c>
      <c r="R16" s="22">
        <f t="shared" si="10"/>
        <v>0</v>
      </c>
      <c r="S16" s="23">
        <f t="shared" si="11"/>
        <v>0</v>
      </c>
      <c r="T16" s="23">
        <f t="shared" si="12"/>
        <v>0</v>
      </c>
      <c r="U16" s="23">
        <f t="shared" si="13"/>
        <v>0</v>
      </c>
      <c r="W16" s="78" t="str">
        <f t="shared" si="15"/>
        <v>Other Tax Impact</v>
      </c>
      <c r="X16" s="64"/>
      <c r="Y16" s="64"/>
      <c r="Z16" s="64"/>
      <c r="AA16" s="64"/>
      <c r="AB16" s="60"/>
      <c r="AC16" s="64"/>
      <c r="AD16" s="64"/>
      <c r="AE16" s="64"/>
      <c r="AF16" s="64"/>
      <c r="AG16" s="60"/>
      <c r="AH16" s="64"/>
      <c r="AI16" s="64"/>
      <c r="AJ16" s="64"/>
    </row>
    <row r="17" spans="2:36" hidden="1" outlineLevel="1" x14ac:dyDescent="0.25">
      <c r="B17" s="229" t="s">
        <v>195</v>
      </c>
      <c r="C17" s="229" t="s">
        <v>195</v>
      </c>
      <c r="E17" s="78" t="s">
        <v>140</v>
      </c>
      <c r="F17" s="21">
        <f t="shared" si="14"/>
        <v>0</v>
      </c>
      <c r="G17" s="21">
        <f t="shared" si="14"/>
        <v>0</v>
      </c>
      <c r="H17" s="21">
        <f t="shared" si="14"/>
        <v>0</v>
      </c>
      <c r="I17" s="85">
        <f t="shared" si="1"/>
        <v>0</v>
      </c>
      <c r="J17" s="85">
        <f t="shared" si="2"/>
        <v>0</v>
      </c>
      <c r="K17" s="85">
        <f t="shared" si="3"/>
        <v>0</v>
      </c>
      <c r="L17" s="85">
        <f t="shared" si="4"/>
        <v>0</v>
      </c>
      <c r="M17" s="17">
        <f t="shared" si="5"/>
        <v>0</v>
      </c>
      <c r="N17" s="85">
        <f t="shared" si="6"/>
        <v>0</v>
      </c>
      <c r="O17" s="85">
        <f t="shared" si="7"/>
        <v>0</v>
      </c>
      <c r="P17" s="85">
        <f t="shared" si="8"/>
        <v>0</v>
      </c>
      <c r="Q17" s="85">
        <f t="shared" si="9"/>
        <v>0</v>
      </c>
      <c r="R17" s="22">
        <f t="shared" si="10"/>
        <v>0</v>
      </c>
      <c r="S17" s="23">
        <f t="shared" si="11"/>
        <v>0</v>
      </c>
      <c r="T17" s="23">
        <f t="shared" si="12"/>
        <v>0</v>
      </c>
      <c r="U17" s="23">
        <f t="shared" si="13"/>
        <v>0</v>
      </c>
      <c r="W17" s="78" t="str">
        <f t="shared" si="15"/>
        <v>Other Tax Impact</v>
      </c>
      <c r="X17" s="64"/>
      <c r="Y17" s="64"/>
      <c r="Z17" s="64"/>
      <c r="AA17" s="64"/>
      <c r="AB17" s="60"/>
      <c r="AC17" s="64"/>
      <c r="AD17" s="64"/>
      <c r="AE17" s="64"/>
      <c r="AF17" s="64"/>
      <c r="AG17" s="60"/>
      <c r="AH17" s="64"/>
      <c r="AI17" s="64"/>
      <c r="AJ17" s="64"/>
    </row>
    <row r="18" spans="2:36" hidden="1" outlineLevel="1" x14ac:dyDescent="0.25">
      <c r="B18" s="229" t="s">
        <v>195</v>
      </c>
      <c r="C18" s="229" t="s">
        <v>195</v>
      </c>
      <c r="E18" s="78" t="s">
        <v>140</v>
      </c>
      <c r="F18" s="21">
        <f t="shared" si="14"/>
        <v>0</v>
      </c>
      <c r="G18" s="21">
        <f t="shared" si="14"/>
        <v>0</v>
      </c>
      <c r="H18" s="21">
        <f t="shared" si="14"/>
        <v>0</v>
      </c>
      <c r="I18" s="85">
        <f t="shared" si="1"/>
        <v>0</v>
      </c>
      <c r="J18" s="85">
        <f t="shared" si="2"/>
        <v>0</v>
      </c>
      <c r="K18" s="85">
        <f t="shared" si="3"/>
        <v>0</v>
      </c>
      <c r="L18" s="85">
        <f t="shared" si="4"/>
        <v>0</v>
      </c>
      <c r="M18" s="17">
        <f t="shared" si="5"/>
        <v>0</v>
      </c>
      <c r="N18" s="85">
        <f t="shared" si="6"/>
        <v>0</v>
      </c>
      <c r="O18" s="85">
        <f t="shared" si="7"/>
        <v>0</v>
      </c>
      <c r="P18" s="85">
        <f t="shared" si="8"/>
        <v>0</v>
      </c>
      <c r="Q18" s="85">
        <f t="shared" si="9"/>
        <v>0</v>
      </c>
      <c r="R18" s="22">
        <f t="shared" si="10"/>
        <v>0</v>
      </c>
      <c r="S18" s="23">
        <f t="shared" si="11"/>
        <v>0</v>
      </c>
      <c r="T18" s="23">
        <f t="shared" si="12"/>
        <v>0</v>
      </c>
      <c r="U18" s="23">
        <f t="shared" si="13"/>
        <v>0</v>
      </c>
      <c r="W18" s="78" t="str">
        <f t="shared" si="15"/>
        <v>Other Tax Impact</v>
      </c>
      <c r="X18" s="64"/>
      <c r="Y18" s="64"/>
      <c r="Z18" s="64"/>
      <c r="AA18" s="64"/>
      <c r="AB18" s="60"/>
      <c r="AC18" s="64"/>
      <c r="AD18" s="64"/>
      <c r="AE18" s="64"/>
      <c r="AF18" s="64"/>
      <c r="AG18" s="60"/>
      <c r="AH18" s="64"/>
      <c r="AI18" s="64"/>
      <c r="AJ18" s="64"/>
    </row>
    <row r="19" spans="2:36" hidden="1" outlineLevel="1" x14ac:dyDescent="0.25">
      <c r="B19" s="229" t="s">
        <v>195</v>
      </c>
      <c r="C19" s="229" t="s">
        <v>195</v>
      </c>
      <c r="E19" s="78" t="s">
        <v>140</v>
      </c>
      <c r="F19" s="21">
        <f t="shared" si="14"/>
        <v>0</v>
      </c>
      <c r="G19" s="21">
        <f t="shared" si="14"/>
        <v>0</v>
      </c>
      <c r="H19" s="21">
        <f t="shared" si="14"/>
        <v>0</v>
      </c>
      <c r="I19" s="85">
        <f t="shared" si="1"/>
        <v>0</v>
      </c>
      <c r="J19" s="85">
        <f t="shared" si="2"/>
        <v>0</v>
      </c>
      <c r="K19" s="85">
        <f t="shared" si="3"/>
        <v>0</v>
      </c>
      <c r="L19" s="85">
        <f t="shared" si="4"/>
        <v>0</v>
      </c>
      <c r="M19" s="17">
        <f t="shared" si="5"/>
        <v>0</v>
      </c>
      <c r="N19" s="85">
        <f t="shared" si="6"/>
        <v>0</v>
      </c>
      <c r="O19" s="85">
        <f t="shared" si="7"/>
        <v>0</v>
      </c>
      <c r="P19" s="85">
        <f t="shared" si="8"/>
        <v>0</v>
      </c>
      <c r="Q19" s="85">
        <f t="shared" si="9"/>
        <v>0</v>
      </c>
      <c r="R19" s="22">
        <f t="shared" si="10"/>
        <v>0</v>
      </c>
      <c r="S19" s="23">
        <f t="shared" si="11"/>
        <v>0</v>
      </c>
      <c r="T19" s="23">
        <f t="shared" si="12"/>
        <v>0</v>
      </c>
      <c r="U19" s="23">
        <f t="shared" si="13"/>
        <v>0</v>
      </c>
      <c r="W19" s="78" t="str">
        <f t="shared" si="15"/>
        <v>Other Tax Impact</v>
      </c>
      <c r="X19" s="64"/>
      <c r="Y19" s="64"/>
      <c r="Z19" s="64"/>
      <c r="AA19" s="64"/>
      <c r="AB19" s="60"/>
      <c r="AC19" s="64"/>
      <c r="AD19" s="64"/>
      <c r="AE19" s="64"/>
      <c r="AF19" s="64"/>
      <c r="AG19" s="60"/>
      <c r="AH19" s="64"/>
      <c r="AI19" s="64"/>
      <c r="AJ19" s="64"/>
    </row>
    <row r="20" spans="2:36" hidden="1" outlineLevel="1" x14ac:dyDescent="0.25">
      <c r="B20" s="229" t="s">
        <v>195</v>
      </c>
      <c r="C20" s="229" t="s">
        <v>195</v>
      </c>
      <c r="E20" s="78" t="s">
        <v>140</v>
      </c>
      <c r="F20" s="21">
        <f t="shared" si="14"/>
        <v>0</v>
      </c>
      <c r="G20" s="21">
        <f t="shared" si="14"/>
        <v>0</v>
      </c>
      <c r="H20" s="21">
        <f t="shared" si="14"/>
        <v>0</v>
      </c>
      <c r="I20" s="85">
        <f t="shared" si="1"/>
        <v>0</v>
      </c>
      <c r="J20" s="85">
        <f t="shared" si="2"/>
        <v>0</v>
      </c>
      <c r="K20" s="85">
        <f t="shared" si="3"/>
        <v>0</v>
      </c>
      <c r="L20" s="85">
        <f t="shared" si="4"/>
        <v>0</v>
      </c>
      <c r="M20" s="17">
        <f t="shared" si="5"/>
        <v>0</v>
      </c>
      <c r="N20" s="85">
        <f t="shared" si="6"/>
        <v>0</v>
      </c>
      <c r="O20" s="85">
        <f t="shared" si="7"/>
        <v>0</v>
      </c>
      <c r="P20" s="85">
        <f t="shared" si="8"/>
        <v>0</v>
      </c>
      <c r="Q20" s="85">
        <f t="shared" si="9"/>
        <v>0</v>
      </c>
      <c r="R20" s="22">
        <f t="shared" si="10"/>
        <v>0</v>
      </c>
      <c r="S20" s="23">
        <f t="shared" si="11"/>
        <v>0</v>
      </c>
      <c r="T20" s="23">
        <f t="shared" si="12"/>
        <v>0</v>
      </c>
      <c r="U20" s="23">
        <f t="shared" si="13"/>
        <v>0</v>
      </c>
      <c r="W20" s="78" t="str">
        <f t="shared" si="15"/>
        <v>Other Tax Impact</v>
      </c>
      <c r="X20" s="64"/>
      <c r="Y20" s="64"/>
      <c r="Z20" s="64"/>
      <c r="AA20" s="64"/>
      <c r="AB20" s="60"/>
      <c r="AC20" s="64"/>
      <c r="AD20" s="64"/>
      <c r="AE20" s="64"/>
      <c r="AF20" s="64"/>
      <c r="AG20" s="60"/>
      <c r="AH20" s="64"/>
      <c r="AI20" s="64"/>
      <c r="AJ20" s="64"/>
    </row>
    <row r="21" spans="2:36" hidden="1" outlineLevel="1" x14ac:dyDescent="0.25">
      <c r="B21" s="229" t="s">
        <v>195</v>
      </c>
      <c r="C21" s="229" t="s">
        <v>195</v>
      </c>
      <c r="E21" s="78" t="s">
        <v>140</v>
      </c>
      <c r="F21" s="21">
        <f t="shared" si="14"/>
        <v>0</v>
      </c>
      <c r="G21" s="21">
        <f t="shared" si="14"/>
        <v>0</v>
      </c>
      <c r="H21" s="21">
        <f t="shared" si="14"/>
        <v>0</v>
      </c>
      <c r="I21" s="85">
        <f t="shared" si="1"/>
        <v>0</v>
      </c>
      <c r="J21" s="85">
        <f t="shared" si="2"/>
        <v>0</v>
      </c>
      <c r="K21" s="85">
        <f t="shared" si="3"/>
        <v>0</v>
      </c>
      <c r="L21" s="85">
        <f t="shared" si="4"/>
        <v>0</v>
      </c>
      <c r="M21" s="17">
        <f t="shared" si="5"/>
        <v>0</v>
      </c>
      <c r="N21" s="85">
        <f t="shared" si="6"/>
        <v>0</v>
      </c>
      <c r="O21" s="85">
        <f t="shared" si="7"/>
        <v>0</v>
      </c>
      <c r="P21" s="85">
        <f t="shared" si="8"/>
        <v>0</v>
      </c>
      <c r="Q21" s="85">
        <f t="shared" si="9"/>
        <v>0</v>
      </c>
      <c r="R21" s="22">
        <f t="shared" si="10"/>
        <v>0</v>
      </c>
      <c r="S21" s="23">
        <f t="shared" si="11"/>
        <v>0</v>
      </c>
      <c r="T21" s="23">
        <f t="shared" si="12"/>
        <v>0</v>
      </c>
      <c r="U21" s="23">
        <f t="shared" si="13"/>
        <v>0</v>
      </c>
      <c r="W21" s="78" t="str">
        <f t="shared" si="15"/>
        <v>Other Tax Impact</v>
      </c>
      <c r="X21" s="64"/>
      <c r="Y21" s="64"/>
      <c r="Z21" s="64"/>
      <c r="AA21" s="64"/>
      <c r="AB21" s="60"/>
      <c r="AC21" s="64"/>
      <c r="AD21" s="64"/>
      <c r="AE21" s="64"/>
      <c r="AF21" s="64"/>
      <c r="AG21" s="60"/>
      <c r="AH21" s="64"/>
      <c r="AI21" s="64"/>
      <c r="AJ21" s="64"/>
    </row>
    <row r="22" spans="2:36" ht="15.75" hidden="1" outlineLevel="1" thickBot="1" x14ac:dyDescent="0.3">
      <c r="E22" s="8" t="s">
        <v>27</v>
      </c>
      <c r="F22" s="9">
        <f>SUM(F12:F21)</f>
        <v>0</v>
      </c>
      <c r="G22" s="9">
        <f t="shared" ref="G22:U22" si="16">SUM(G12:G21)</f>
        <v>0</v>
      </c>
      <c r="H22" s="9">
        <f t="shared" si="16"/>
        <v>0</v>
      </c>
      <c r="I22" s="86">
        <f t="shared" si="16"/>
        <v>0</v>
      </c>
      <c r="J22" s="86">
        <f t="shared" si="16"/>
        <v>0</v>
      </c>
      <c r="K22" s="86">
        <f t="shared" si="16"/>
        <v>0</v>
      </c>
      <c r="L22" s="86">
        <f t="shared" si="16"/>
        <v>0</v>
      </c>
      <c r="M22" s="18">
        <f t="shared" si="16"/>
        <v>0</v>
      </c>
      <c r="N22" s="86">
        <f t="shared" si="16"/>
        <v>0</v>
      </c>
      <c r="O22" s="86">
        <f t="shared" si="16"/>
        <v>0</v>
      </c>
      <c r="P22" s="86">
        <f t="shared" si="16"/>
        <v>0</v>
      </c>
      <c r="Q22" s="86">
        <f t="shared" si="16"/>
        <v>0</v>
      </c>
      <c r="R22" s="19">
        <f t="shared" si="16"/>
        <v>0</v>
      </c>
      <c r="S22" s="20">
        <f t="shared" si="16"/>
        <v>0</v>
      </c>
      <c r="T22" s="20">
        <f t="shared" si="16"/>
        <v>0</v>
      </c>
      <c r="U22" s="20">
        <f t="shared" si="16"/>
        <v>0</v>
      </c>
    </row>
    <row r="23" spans="2:36" ht="15.75" hidden="1" outlineLevel="1" thickTop="1" x14ac:dyDescent="0.25">
      <c r="M23" s="3"/>
    </row>
    <row r="24" spans="2:36" hidden="1" outlineLevel="1" x14ac:dyDescent="0.25">
      <c r="M24" s="3"/>
    </row>
    <row r="25" spans="2:36" hidden="1" outlineLevel="1" x14ac:dyDescent="0.25">
      <c r="M25" s="3"/>
    </row>
    <row r="26" spans="2:36" ht="18.75" collapsed="1" x14ac:dyDescent="0.3">
      <c r="B26" s="4" t="s">
        <v>34</v>
      </c>
      <c r="C26" s="4" t="s">
        <v>387</v>
      </c>
      <c r="E26" s="53" t="str">
        <f>"Scenario 2: "&amp;Inputs!B23</f>
        <v>Scenario 2: Scenario 2</v>
      </c>
      <c r="F26" s="49"/>
      <c r="G26" s="49"/>
      <c r="H26" s="49"/>
      <c r="I26" s="49"/>
      <c r="J26" s="49"/>
      <c r="K26" s="49"/>
      <c r="L26" s="49"/>
      <c r="M26" s="49"/>
      <c r="N26" s="49"/>
      <c r="O26" s="49"/>
      <c r="P26" s="49"/>
      <c r="Q26" s="49"/>
      <c r="R26" s="49"/>
      <c r="S26" s="49"/>
      <c r="T26" s="49"/>
      <c r="U26" s="49"/>
    </row>
    <row r="27" spans="2:36" hidden="1" outlineLevel="1" x14ac:dyDescent="0.25">
      <c r="E27" s="52" t="str">
        <f>Inputs!C23</f>
        <v>Scenario 2 Description</v>
      </c>
    </row>
    <row r="28" spans="2:36" hidden="1" outlineLevel="1" x14ac:dyDescent="0.25"/>
    <row r="29" spans="2:36" hidden="1" outlineLevel="1" x14ac:dyDescent="0.25"/>
    <row r="30" spans="2:36" hidden="1" outlineLevel="1" x14ac:dyDescent="0.25">
      <c r="E30" s="4" t="s">
        <v>137</v>
      </c>
      <c r="W30" s="4" t="str">
        <f>E30</f>
        <v>Tax Impact</v>
      </c>
    </row>
    <row r="31" spans="2:36" hidden="1" outlineLevel="1" x14ac:dyDescent="0.25">
      <c r="E31" s="6" t="s">
        <v>25</v>
      </c>
      <c r="W31" s="61" t="s">
        <v>62</v>
      </c>
    </row>
    <row r="32" spans="2:36" hidden="1" outlineLevel="1" x14ac:dyDescent="0.25"/>
    <row r="33" spans="2:36" hidden="1" outlineLevel="1" x14ac:dyDescent="0.25">
      <c r="F33" s="12">
        <f>Inputs!$C$7</f>
        <v>2023</v>
      </c>
      <c r="G33" s="12">
        <f>Inputs!$C$8</f>
        <v>2024</v>
      </c>
      <c r="H33" s="12">
        <f>Inputs!$C$9</f>
        <v>2025</v>
      </c>
      <c r="I33" s="13" t="s">
        <v>1</v>
      </c>
      <c r="J33" s="13" t="s">
        <v>2</v>
      </c>
      <c r="K33" s="13" t="s">
        <v>3</v>
      </c>
      <c r="L33" s="13" t="s">
        <v>4</v>
      </c>
      <c r="M33" s="13">
        <f>Inputs!$C$10</f>
        <v>2026</v>
      </c>
      <c r="N33" s="14" t="s">
        <v>1</v>
      </c>
      <c r="O33" s="14" t="s">
        <v>2</v>
      </c>
      <c r="P33" s="14" t="s">
        <v>3</v>
      </c>
      <c r="Q33" s="14" t="s">
        <v>4</v>
      </c>
      <c r="R33" s="15">
        <f>Inputs!$C$11</f>
        <v>2027</v>
      </c>
      <c r="S33" s="16">
        <f>Inputs!$C$12</f>
        <v>2028</v>
      </c>
      <c r="T33" s="16">
        <f>Inputs!$C$13</f>
        <v>2029</v>
      </c>
      <c r="U33" s="16">
        <f>Inputs!$C$14</f>
        <v>2030</v>
      </c>
      <c r="X33" s="13" t="s">
        <v>1</v>
      </c>
      <c r="Y33" s="13" t="s">
        <v>2</v>
      </c>
      <c r="Z33" s="13" t="s">
        <v>3</v>
      </c>
      <c r="AA33" s="13" t="s">
        <v>4</v>
      </c>
      <c r="AB33" s="13">
        <f>Inputs!$C$10</f>
        <v>2026</v>
      </c>
      <c r="AC33" s="14" t="s">
        <v>1</v>
      </c>
      <c r="AD33" s="14" t="s">
        <v>2</v>
      </c>
      <c r="AE33" s="14" t="s">
        <v>3</v>
      </c>
      <c r="AF33" s="14" t="s">
        <v>4</v>
      </c>
      <c r="AG33" s="15">
        <f>Inputs!$C$11</f>
        <v>2027</v>
      </c>
      <c r="AH33" s="16">
        <f>Inputs!$C$12</f>
        <v>2028</v>
      </c>
      <c r="AI33" s="16">
        <f>Inputs!$C$13</f>
        <v>2029</v>
      </c>
      <c r="AJ33" s="16">
        <f>Inputs!$C$14</f>
        <v>2030</v>
      </c>
    </row>
    <row r="34" spans="2:36" hidden="1" outlineLevel="1" x14ac:dyDescent="0.25">
      <c r="F34" s="71" t="s">
        <v>63</v>
      </c>
      <c r="G34" s="71" t="s">
        <v>63</v>
      </c>
      <c r="H34" s="71" t="s">
        <v>63</v>
      </c>
      <c r="I34" s="71" t="s">
        <v>63</v>
      </c>
      <c r="J34" s="71" t="s">
        <v>63</v>
      </c>
      <c r="K34" s="71" t="s">
        <v>63</v>
      </c>
      <c r="L34" s="71" t="s">
        <v>63</v>
      </c>
      <c r="M34" s="71" t="s">
        <v>63</v>
      </c>
      <c r="N34" s="71" t="s">
        <v>63</v>
      </c>
      <c r="O34" s="71" t="s">
        <v>63</v>
      </c>
      <c r="P34" s="71" t="s">
        <v>63</v>
      </c>
      <c r="Q34" s="71" t="s">
        <v>63</v>
      </c>
      <c r="R34" s="71" t="s">
        <v>63</v>
      </c>
      <c r="S34" s="71" t="s">
        <v>63</v>
      </c>
      <c r="T34" s="71" t="s">
        <v>63</v>
      </c>
      <c r="U34" s="71" t="s">
        <v>63</v>
      </c>
      <c r="X34" s="63" t="s">
        <v>30</v>
      </c>
      <c r="Y34" s="63" t="s">
        <v>30</v>
      </c>
      <c r="Z34" s="63" t="s">
        <v>30</v>
      </c>
      <c r="AA34" s="63" t="s">
        <v>30</v>
      </c>
      <c r="AB34" s="62"/>
      <c r="AC34" s="63" t="s">
        <v>30</v>
      </c>
      <c r="AD34" s="63" t="s">
        <v>30</v>
      </c>
      <c r="AE34" s="63" t="s">
        <v>30</v>
      </c>
      <c r="AF34" s="63" t="s">
        <v>30</v>
      </c>
      <c r="AG34" s="62"/>
      <c r="AH34" s="63" t="s">
        <v>30</v>
      </c>
      <c r="AI34" s="63" t="s">
        <v>30</v>
      </c>
      <c r="AJ34" s="63" t="s">
        <v>30</v>
      </c>
    </row>
    <row r="35" spans="2:36" hidden="1" outlineLevel="1" x14ac:dyDescent="0.25">
      <c r="B35" s="229" t="s">
        <v>195</v>
      </c>
      <c r="C35" s="229" t="s">
        <v>195</v>
      </c>
      <c r="E35" s="78" t="s">
        <v>138</v>
      </c>
      <c r="F35" s="21">
        <f>F127</f>
        <v>0</v>
      </c>
      <c r="G35" s="21">
        <f t="shared" ref="G35:H35" si="17">G127</f>
        <v>0</v>
      </c>
      <c r="H35" s="21">
        <f t="shared" si="17"/>
        <v>0</v>
      </c>
      <c r="I35" s="85">
        <f t="shared" ref="I35:I44" si="18">IF(X35="",I127,X35)</f>
        <v>0</v>
      </c>
      <c r="J35" s="85">
        <f t="shared" ref="J35:J44" si="19">IF(Y35="",J127,Y35)</f>
        <v>0</v>
      </c>
      <c r="K35" s="85">
        <f t="shared" ref="K35:K44" si="20">IF(Z35="",K127,Z35)</f>
        <v>0</v>
      </c>
      <c r="L35" s="85">
        <f t="shared" ref="L35:L44" si="21">IF(AA35="",L127,AA35)</f>
        <v>0</v>
      </c>
      <c r="M35" s="17">
        <f t="shared" ref="M35:M44" si="22">SUM(I35:L35)</f>
        <v>0</v>
      </c>
      <c r="N35" s="85">
        <f t="shared" ref="N35:N44" si="23">IF(AC35="",N127,AC35)</f>
        <v>0</v>
      </c>
      <c r="O35" s="85">
        <f t="shared" ref="O35:O44" si="24">IF(AD35="",O127,AD35)</f>
        <v>0</v>
      </c>
      <c r="P35" s="85">
        <f t="shared" ref="P35:P44" si="25">IF(AE35="",P127,AE35)</f>
        <v>0</v>
      </c>
      <c r="Q35" s="85">
        <f t="shared" ref="Q35:Q44" si="26">IF(AF35="",Q127,AF35)</f>
        <v>0</v>
      </c>
      <c r="R35" s="22">
        <f t="shared" ref="R35:R44" si="27">SUM(N35:Q35)</f>
        <v>0</v>
      </c>
      <c r="S35" s="23">
        <f t="shared" ref="S35:S44" si="28">IF(AH35="",S127,AH35)</f>
        <v>0</v>
      </c>
      <c r="T35" s="23">
        <f t="shared" ref="T35:T44" si="29">IF(AI35="",T127,AI35)</f>
        <v>0</v>
      </c>
      <c r="U35" s="23">
        <f t="shared" ref="U35:U44" si="30">IF(AJ35="",U127,AJ35)</f>
        <v>0</v>
      </c>
      <c r="W35" s="78" t="str">
        <f>E35</f>
        <v>Corp Tax on EBT</v>
      </c>
      <c r="X35" s="64"/>
      <c r="Y35" s="64"/>
      <c r="Z35" s="64"/>
      <c r="AA35" s="64"/>
      <c r="AB35" s="60"/>
      <c r="AC35" s="64"/>
      <c r="AD35" s="64"/>
      <c r="AE35" s="64"/>
      <c r="AF35" s="64"/>
      <c r="AG35" s="60"/>
      <c r="AH35" s="64"/>
      <c r="AI35" s="64"/>
      <c r="AJ35" s="64"/>
    </row>
    <row r="36" spans="2:36" hidden="1" outlineLevel="1" x14ac:dyDescent="0.25">
      <c r="B36" s="229" t="s">
        <v>195</v>
      </c>
      <c r="C36" s="229" t="s">
        <v>195</v>
      </c>
      <c r="E36" s="78" t="s">
        <v>139</v>
      </c>
      <c r="F36" s="21">
        <f t="shared" ref="F36:H44" si="31">F128</f>
        <v>0</v>
      </c>
      <c r="G36" s="21">
        <f t="shared" si="31"/>
        <v>0</v>
      </c>
      <c r="H36" s="21">
        <f t="shared" si="31"/>
        <v>0</v>
      </c>
      <c r="I36" s="85">
        <f t="shared" si="18"/>
        <v>0</v>
      </c>
      <c r="J36" s="85">
        <f t="shared" si="19"/>
        <v>0</v>
      </c>
      <c r="K36" s="85">
        <f t="shared" si="20"/>
        <v>0</v>
      </c>
      <c r="L36" s="85">
        <f t="shared" si="21"/>
        <v>0</v>
      </c>
      <c r="M36" s="17">
        <f t="shared" si="22"/>
        <v>0</v>
      </c>
      <c r="N36" s="85">
        <f t="shared" si="23"/>
        <v>0</v>
      </c>
      <c r="O36" s="85">
        <f t="shared" si="24"/>
        <v>0</v>
      </c>
      <c r="P36" s="85">
        <f t="shared" si="25"/>
        <v>0</v>
      </c>
      <c r="Q36" s="85">
        <f t="shared" si="26"/>
        <v>0</v>
      </c>
      <c r="R36" s="22">
        <f t="shared" si="27"/>
        <v>0</v>
      </c>
      <c r="S36" s="23">
        <f t="shared" si="28"/>
        <v>0</v>
      </c>
      <c r="T36" s="23">
        <f t="shared" si="29"/>
        <v>0</v>
      </c>
      <c r="U36" s="23">
        <f t="shared" si="30"/>
        <v>0</v>
      </c>
      <c r="W36" s="78" t="str">
        <f t="shared" ref="W36:W44" si="32">E36</f>
        <v>Tax Credits Available</v>
      </c>
      <c r="X36" s="64"/>
      <c r="Y36" s="64"/>
      <c r="Z36" s="64"/>
      <c r="AA36" s="64"/>
      <c r="AB36" s="60"/>
      <c r="AC36" s="64"/>
      <c r="AD36" s="64"/>
      <c r="AE36" s="64"/>
      <c r="AF36" s="64"/>
      <c r="AG36" s="60"/>
      <c r="AH36" s="64"/>
      <c r="AI36" s="64"/>
      <c r="AJ36" s="64"/>
    </row>
    <row r="37" spans="2:36" hidden="1" outlineLevel="1" x14ac:dyDescent="0.25">
      <c r="B37" s="229" t="s">
        <v>195</v>
      </c>
      <c r="C37" s="229" t="s">
        <v>195</v>
      </c>
      <c r="E37" s="78" t="s">
        <v>140</v>
      </c>
      <c r="F37" s="21">
        <f t="shared" si="31"/>
        <v>0</v>
      </c>
      <c r="G37" s="21">
        <f t="shared" si="31"/>
        <v>0</v>
      </c>
      <c r="H37" s="21">
        <f t="shared" si="31"/>
        <v>0</v>
      </c>
      <c r="I37" s="85">
        <f t="shared" si="18"/>
        <v>0</v>
      </c>
      <c r="J37" s="85">
        <f t="shared" si="19"/>
        <v>0</v>
      </c>
      <c r="K37" s="85">
        <f t="shared" si="20"/>
        <v>0</v>
      </c>
      <c r="L37" s="85">
        <f t="shared" si="21"/>
        <v>0</v>
      </c>
      <c r="M37" s="17">
        <f t="shared" si="22"/>
        <v>0</v>
      </c>
      <c r="N37" s="85">
        <f t="shared" si="23"/>
        <v>0</v>
      </c>
      <c r="O37" s="85">
        <f t="shared" si="24"/>
        <v>0</v>
      </c>
      <c r="P37" s="85">
        <f t="shared" si="25"/>
        <v>0</v>
      </c>
      <c r="Q37" s="85">
        <f t="shared" si="26"/>
        <v>0</v>
      </c>
      <c r="R37" s="22">
        <f t="shared" si="27"/>
        <v>0</v>
      </c>
      <c r="S37" s="23">
        <f t="shared" si="28"/>
        <v>0</v>
      </c>
      <c r="T37" s="23">
        <f t="shared" si="29"/>
        <v>0</v>
      </c>
      <c r="U37" s="23">
        <f t="shared" si="30"/>
        <v>0</v>
      </c>
      <c r="W37" s="78" t="str">
        <f t="shared" si="32"/>
        <v>Other Tax Impact</v>
      </c>
      <c r="X37" s="64"/>
      <c r="Y37" s="64"/>
      <c r="Z37" s="64"/>
      <c r="AA37" s="64"/>
      <c r="AB37" s="60"/>
      <c r="AC37" s="64"/>
      <c r="AD37" s="64"/>
      <c r="AE37" s="64"/>
      <c r="AF37" s="64"/>
      <c r="AG37" s="60"/>
      <c r="AH37" s="64"/>
      <c r="AI37" s="64"/>
      <c r="AJ37" s="64"/>
    </row>
    <row r="38" spans="2:36" hidden="1" outlineLevel="1" x14ac:dyDescent="0.25">
      <c r="B38" s="229" t="s">
        <v>195</v>
      </c>
      <c r="C38" s="229" t="s">
        <v>195</v>
      </c>
      <c r="E38" s="78" t="s">
        <v>140</v>
      </c>
      <c r="F38" s="21">
        <f t="shared" si="31"/>
        <v>0</v>
      </c>
      <c r="G38" s="21">
        <f t="shared" si="31"/>
        <v>0</v>
      </c>
      <c r="H38" s="21">
        <f t="shared" si="31"/>
        <v>0</v>
      </c>
      <c r="I38" s="85">
        <f t="shared" si="18"/>
        <v>0</v>
      </c>
      <c r="J38" s="85">
        <f t="shared" si="19"/>
        <v>0</v>
      </c>
      <c r="K38" s="85">
        <f t="shared" si="20"/>
        <v>0</v>
      </c>
      <c r="L38" s="85">
        <f t="shared" si="21"/>
        <v>0</v>
      </c>
      <c r="M38" s="17">
        <f t="shared" si="22"/>
        <v>0</v>
      </c>
      <c r="N38" s="85">
        <f t="shared" si="23"/>
        <v>0</v>
      </c>
      <c r="O38" s="85">
        <f t="shared" si="24"/>
        <v>0</v>
      </c>
      <c r="P38" s="85">
        <f t="shared" si="25"/>
        <v>0</v>
      </c>
      <c r="Q38" s="85">
        <f t="shared" si="26"/>
        <v>0</v>
      </c>
      <c r="R38" s="22">
        <f t="shared" si="27"/>
        <v>0</v>
      </c>
      <c r="S38" s="23">
        <f t="shared" si="28"/>
        <v>0</v>
      </c>
      <c r="T38" s="23">
        <f t="shared" si="29"/>
        <v>0</v>
      </c>
      <c r="U38" s="23">
        <f t="shared" si="30"/>
        <v>0</v>
      </c>
      <c r="W38" s="78" t="str">
        <f t="shared" si="32"/>
        <v>Other Tax Impact</v>
      </c>
      <c r="X38" s="64"/>
      <c r="Y38" s="64"/>
      <c r="Z38" s="64"/>
      <c r="AA38" s="64"/>
      <c r="AB38" s="60"/>
      <c r="AC38" s="64"/>
      <c r="AD38" s="64"/>
      <c r="AE38" s="64"/>
      <c r="AF38" s="64"/>
      <c r="AG38" s="60"/>
      <c r="AH38" s="64"/>
      <c r="AI38" s="64"/>
      <c r="AJ38" s="64"/>
    </row>
    <row r="39" spans="2:36" hidden="1" outlineLevel="1" x14ac:dyDescent="0.25">
      <c r="B39" s="229" t="s">
        <v>195</v>
      </c>
      <c r="C39" s="229" t="s">
        <v>195</v>
      </c>
      <c r="E39" s="78" t="s">
        <v>140</v>
      </c>
      <c r="F39" s="21">
        <f t="shared" si="31"/>
        <v>0</v>
      </c>
      <c r="G39" s="21">
        <f t="shared" si="31"/>
        <v>0</v>
      </c>
      <c r="H39" s="21">
        <f t="shared" si="31"/>
        <v>0</v>
      </c>
      <c r="I39" s="85">
        <f t="shared" si="18"/>
        <v>0</v>
      </c>
      <c r="J39" s="85">
        <f t="shared" si="19"/>
        <v>0</v>
      </c>
      <c r="K39" s="85">
        <f t="shared" si="20"/>
        <v>0</v>
      </c>
      <c r="L39" s="85">
        <f t="shared" si="21"/>
        <v>0</v>
      </c>
      <c r="M39" s="17">
        <f t="shared" si="22"/>
        <v>0</v>
      </c>
      <c r="N39" s="85">
        <f t="shared" si="23"/>
        <v>0</v>
      </c>
      <c r="O39" s="85">
        <f t="shared" si="24"/>
        <v>0</v>
      </c>
      <c r="P39" s="85">
        <f t="shared" si="25"/>
        <v>0</v>
      </c>
      <c r="Q39" s="85">
        <f t="shared" si="26"/>
        <v>0</v>
      </c>
      <c r="R39" s="22">
        <f t="shared" si="27"/>
        <v>0</v>
      </c>
      <c r="S39" s="23">
        <f t="shared" si="28"/>
        <v>0</v>
      </c>
      <c r="T39" s="23">
        <f t="shared" si="29"/>
        <v>0</v>
      </c>
      <c r="U39" s="23">
        <f t="shared" si="30"/>
        <v>0</v>
      </c>
      <c r="W39" s="78" t="str">
        <f t="shared" si="32"/>
        <v>Other Tax Impact</v>
      </c>
      <c r="X39" s="64"/>
      <c r="Y39" s="64"/>
      <c r="Z39" s="64"/>
      <c r="AA39" s="64"/>
      <c r="AB39" s="60"/>
      <c r="AC39" s="64"/>
      <c r="AD39" s="64"/>
      <c r="AE39" s="64"/>
      <c r="AF39" s="64"/>
      <c r="AG39" s="60"/>
      <c r="AH39" s="64"/>
      <c r="AI39" s="64"/>
      <c r="AJ39" s="64"/>
    </row>
    <row r="40" spans="2:36" hidden="1" outlineLevel="1" x14ac:dyDescent="0.25">
      <c r="B40" s="229" t="s">
        <v>195</v>
      </c>
      <c r="C40" s="229" t="s">
        <v>195</v>
      </c>
      <c r="E40" s="78" t="s">
        <v>140</v>
      </c>
      <c r="F40" s="21">
        <f t="shared" si="31"/>
        <v>0</v>
      </c>
      <c r="G40" s="21">
        <f t="shared" si="31"/>
        <v>0</v>
      </c>
      <c r="H40" s="21">
        <f t="shared" si="31"/>
        <v>0</v>
      </c>
      <c r="I40" s="85">
        <f t="shared" si="18"/>
        <v>0</v>
      </c>
      <c r="J40" s="85">
        <f t="shared" si="19"/>
        <v>0</v>
      </c>
      <c r="K40" s="85">
        <f t="shared" si="20"/>
        <v>0</v>
      </c>
      <c r="L40" s="85">
        <f t="shared" si="21"/>
        <v>0</v>
      </c>
      <c r="M40" s="17">
        <f t="shared" si="22"/>
        <v>0</v>
      </c>
      <c r="N40" s="85">
        <f t="shared" si="23"/>
        <v>0</v>
      </c>
      <c r="O40" s="85">
        <f t="shared" si="24"/>
        <v>0</v>
      </c>
      <c r="P40" s="85">
        <f t="shared" si="25"/>
        <v>0</v>
      </c>
      <c r="Q40" s="85">
        <f t="shared" si="26"/>
        <v>0</v>
      </c>
      <c r="R40" s="22">
        <f t="shared" si="27"/>
        <v>0</v>
      </c>
      <c r="S40" s="23">
        <f t="shared" si="28"/>
        <v>0</v>
      </c>
      <c r="T40" s="23">
        <f t="shared" si="29"/>
        <v>0</v>
      </c>
      <c r="U40" s="23">
        <f t="shared" si="30"/>
        <v>0</v>
      </c>
      <c r="W40" s="78" t="str">
        <f t="shared" si="32"/>
        <v>Other Tax Impact</v>
      </c>
      <c r="X40" s="64"/>
      <c r="Y40" s="64"/>
      <c r="Z40" s="64"/>
      <c r="AA40" s="64"/>
      <c r="AB40" s="60"/>
      <c r="AC40" s="64"/>
      <c r="AD40" s="64"/>
      <c r="AE40" s="64"/>
      <c r="AF40" s="64"/>
      <c r="AG40" s="60"/>
      <c r="AH40" s="64"/>
      <c r="AI40" s="64"/>
      <c r="AJ40" s="64"/>
    </row>
    <row r="41" spans="2:36" hidden="1" outlineLevel="1" x14ac:dyDescent="0.25">
      <c r="B41" s="229" t="s">
        <v>195</v>
      </c>
      <c r="C41" s="229" t="s">
        <v>195</v>
      </c>
      <c r="E41" s="78" t="s">
        <v>140</v>
      </c>
      <c r="F41" s="21">
        <f t="shared" si="31"/>
        <v>0</v>
      </c>
      <c r="G41" s="21">
        <f t="shared" si="31"/>
        <v>0</v>
      </c>
      <c r="H41" s="21">
        <f t="shared" si="31"/>
        <v>0</v>
      </c>
      <c r="I41" s="85">
        <f t="shared" si="18"/>
        <v>0</v>
      </c>
      <c r="J41" s="85">
        <f t="shared" si="19"/>
        <v>0</v>
      </c>
      <c r="K41" s="85">
        <f t="shared" si="20"/>
        <v>0</v>
      </c>
      <c r="L41" s="85">
        <f t="shared" si="21"/>
        <v>0</v>
      </c>
      <c r="M41" s="17">
        <f t="shared" si="22"/>
        <v>0</v>
      </c>
      <c r="N41" s="85">
        <f t="shared" si="23"/>
        <v>0</v>
      </c>
      <c r="O41" s="85">
        <f t="shared" si="24"/>
        <v>0</v>
      </c>
      <c r="P41" s="85">
        <f t="shared" si="25"/>
        <v>0</v>
      </c>
      <c r="Q41" s="85">
        <f t="shared" si="26"/>
        <v>0</v>
      </c>
      <c r="R41" s="22">
        <f t="shared" si="27"/>
        <v>0</v>
      </c>
      <c r="S41" s="23">
        <f t="shared" si="28"/>
        <v>0</v>
      </c>
      <c r="T41" s="23">
        <f t="shared" si="29"/>
        <v>0</v>
      </c>
      <c r="U41" s="23">
        <f t="shared" si="30"/>
        <v>0</v>
      </c>
      <c r="W41" s="78" t="str">
        <f t="shared" si="32"/>
        <v>Other Tax Impact</v>
      </c>
      <c r="X41" s="64"/>
      <c r="Y41" s="64"/>
      <c r="Z41" s="64"/>
      <c r="AA41" s="64"/>
      <c r="AB41" s="60"/>
      <c r="AC41" s="64"/>
      <c r="AD41" s="64"/>
      <c r="AE41" s="64"/>
      <c r="AF41" s="64"/>
      <c r="AG41" s="60"/>
      <c r="AH41" s="64"/>
      <c r="AI41" s="64"/>
      <c r="AJ41" s="64"/>
    </row>
    <row r="42" spans="2:36" hidden="1" outlineLevel="1" x14ac:dyDescent="0.25">
      <c r="B42" s="229" t="s">
        <v>195</v>
      </c>
      <c r="C42" s="229" t="s">
        <v>195</v>
      </c>
      <c r="E42" s="78" t="s">
        <v>140</v>
      </c>
      <c r="F42" s="21">
        <f t="shared" si="31"/>
        <v>0</v>
      </c>
      <c r="G42" s="21">
        <f t="shared" si="31"/>
        <v>0</v>
      </c>
      <c r="H42" s="21">
        <f t="shared" si="31"/>
        <v>0</v>
      </c>
      <c r="I42" s="85">
        <f t="shared" si="18"/>
        <v>0</v>
      </c>
      <c r="J42" s="85">
        <f t="shared" si="19"/>
        <v>0</v>
      </c>
      <c r="K42" s="85">
        <f t="shared" si="20"/>
        <v>0</v>
      </c>
      <c r="L42" s="85">
        <f t="shared" si="21"/>
        <v>0</v>
      </c>
      <c r="M42" s="17">
        <f t="shared" si="22"/>
        <v>0</v>
      </c>
      <c r="N42" s="85">
        <f t="shared" si="23"/>
        <v>0</v>
      </c>
      <c r="O42" s="85">
        <f t="shared" si="24"/>
        <v>0</v>
      </c>
      <c r="P42" s="85">
        <f t="shared" si="25"/>
        <v>0</v>
      </c>
      <c r="Q42" s="85">
        <f t="shared" si="26"/>
        <v>0</v>
      </c>
      <c r="R42" s="22">
        <f t="shared" si="27"/>
        <v>0</v>
      </c>
      <c r="S42" s="23">
        <f t="shared" si="28"/>
        <v>0</v>
      </c>
      <c r="T42" s="23">
        <f t="shared" si="29"/>
        <v>0</v>
      </c>
      <c r="U42" s="23">
        <f t="shared" si="30"/>
        <v>0</v>
      </c>
      <c r="W42" s="78" t="str">
        <f t="shared" si="32"/>
        <v>Other Tax Impact</v>
      </c>
      <c r="X42" s="64"/>
      <c r="Y42" s="64"/>
      <c r="Z42" s="64"/>
      <c r="AA42" s="64"/>
      <c r="AB42" s="60"/>
      <c r="AC42" s="64"/>
      <c r="AD42" s="64"/>
      <c r="AE42" s="64"/>
      <c r="AF42" s="64"/>
      <c r="AG42" s="60"/>
      <c r="AH42" s="64"/>
      <c r="AI42" s="64"/>
      <c r="AJ42" s="64"/>
    </row>
    <row r="43" spans="2:36" hidden="1" outlineLevel="1" x14ac:dyDescent="0.25">
      <c r="B43" s="229" t="s">
        <v>195</v>
      </c>
      <c r="C43" s="229" t="s">
        <v>195</v>
      </c>
      <c r="E43" s="78" t="s">
        <v>140</v>
      </c>
      <c r="F43" s="21">
        <f t="shared" si="31"/>
        <v>0</v>
      </c>
      <c r="G43" s="21">
        <f t="shared" si="31"/>
        <v>0</v>
      </c>
      <c r="H43" s="21">
        <f t="shared" si="31"/>
        <v>0</v>
      </c>
      <c r="I43" s="85">
        <f t="shared" si="18"/>
        <v>0</v>
      </c>
      <c r="J43" s="85">
        <f t="shared" si="19"/>
        <v>0</v>
      </c>
      <c r="K43" s="85">
        <f t="shared" si="20"/>
        <v>0</v>
      </c>
      <c r="L43" s="85">
        <f t="shared" si="21"/>
        <v>0</v>
      </c>
      <c r="M43" s="17">
        <f t="shared" si="22"/>
        <v>0</v>
      </c>
      <c r="N43" s="85">
        <f t="shared" si="23"/>
        <v>0</v>
      </c>
      <c r="O43" s="85">
        <f t="shared" si="24"/>
        <v>0</v>
      </c>
      <c r="P43" s="85">
        <f t="shared" si="25"/>
        <v>0</v>
      </c>
      <c r="Q43" s="85">
        <f t="shared" si="26"/>
        <v>0</v>
      </c>
      <c r="R43" s="22">
        <f t="shared" si="27"/>
        <v>0</v>
      </c>
      <c r="S43" s="23">
        <f t="shared" si="28"/>
        <v>0</v>
      </c>
      <c r="T43" s="23">
        <f t="shared" si="29"/>
        <v>0</v>
      </c>
      <c r="U43" s="23">
        <f t="shared" si="30"/>
        <v>0</v>
      </c>
      <c r="W43" s="78" t="str">
        <f t="shared" si="32"/>
        <v>Other Tax Impact</v>
      </c>
      <c r="X43" s="64"/>
      <c r="Y43" s="64"/>
      <c r="Z43" s="64"/>
      <c r="AA43" s="64"/>
      <c r="AB43" s="60"/>
      <c r="AC43" s="64"/>
      <c r="AD43" s="64"/>
      <c r="AE43" s="64"/>
      <c r="AF43" s="64"/>
      <c r="AG43" s="60"/>
      <c r="AH43" s="64"/>
      <c r="AI43" s="64"/>
      <c r="AJ43" s="64"/>
    </row>
    <row r="44" spans="2:36" hidden="1" outlineLevel="1" x14ac:dyDescent="0.25">
      <c r="B44" s="229" t="s">
        <v>195</v>
      </c>
      <c r="C44" s="229" t="s">
        <v>195</v>
      </c>
      <c r="E44" s="78" t="s">
        <v>140</v>
      </c>
      <c r="F44" s="21">
        <f t="shared" si="31"/>
        <v>0</v>
      </c>
      <c r="G44" s="21">
        <f t="shared" si="31"/>
        <v>0</v>
      </c>
      <c r="H44" s="21">
        <f t="shared" si="31"/>
        <v>0</v>
      </c>
      <c r="I44" s="85">
        <f t="shared" si="18"/>
        <v>0</v>
      </c>
      <c r="J44" s="85">
        <f t="shared" si="19"/>
        <v>0</v>
      </c>
      <c r="K44" s="85">
        <f t="shared" si="20"/>
        <v>0</v>
      </c>
      <c r="L44" s="85">
        <f t="shared" si="21"/>
        <v>0</v>
      </c>
      <c r="M44" s="17">
        <f t="shared" si="22"/>
        <v>0</v>
      </c>
      <c r="N44" s="85">
        <f t="shared" si="23"/>
        <v>0</v>
      </c>
      <c r="O44" s="85">
        <f t="shared" si="24"/>
        <v>0</v>
      </c>
      <c r="P44" s="85">
        <f t="shared" si="25"/>
        <v>0</v>
      </c>
      <c r="Q44" s="85">
        <f t="shared" si="26"/>
        <v>0</v>
      </c>
      <c r="R44" s="22">
        <f t="shared" si="27"/>
        <v>0</v>
      </c>
      <c r="S44" s="23">
        <f t="shared" si="28"/>
        <v>0</v>
      </c>
      <c r="T44" s="23">
        <f t="shared" si="29"/>
        <v>0</v>
      </c>
      <c r="U44" s="23">
        <f t="shared" si="30"/>
        <v>0</v>
      </c>
      <c r="W44" s="78" t="str">
        <f t="shared" si="32"/>
        <v>Other Tax Impact</v>
      </c>
      <c r="X44" s="64"/>
      <c r="Y44" s="64"/>
      <c r="Z44" s="64"/>
      <c r="AA44" s="64"/>
      <c r="AB44" s="60"/>
      <c r="AC44" s="64"/>
      <c r="AD44" s="64"/>
      <c r="AE44" s="64"/>
      <c r="AF44" s="64"/>
      <c r="AG44" s="60"/>
      <c r="AH44" s="64"/>
      <c r="AI44" s="64"/>
      <c r="AJ44" s="64"/>
    </row>
    <row r="45" spans="2:36" ht="15.75" hidden="1" outlineLevel="1" thickBot="1" x14ac:dyDescent="0.3">
      <c r="E45" s="8" t="s">
        <v>27</v>
      </c>
      <c r="F45" s="9">
        <f>SUM(F35:F44)</f>
        <v>0</v>
      </c>
      <c r="G45" s="9">
        <f t="shared" ref="G45:U45" si="33">SUM(G35:G44)</f>
        <v>0</v>
      </c>
      <c r="H45" s="9">
        <f t="shared" si="33"/>
        <v>0</v>
      </c>
      <c r="I45" s="86">
        <f t="shared" si="33"/>
        <v>0</v>
      </c>
      <c r="J45" s="86">
        <f t="shared" si="33"/>
        <v>0</v>
      </c>
      <c r="K45" s="86">
        <f t="shared" si="33"/>
        <v>0</v>
      </c>
      <c r="L45" s="86">
        <f t="shared" si="33"/>
        <v>0</v>
      </c>
      <c r="M45" s="18">
        <f t="shared" si="33"/>
        <v>0</v>
      </c>
      <c r="N45" s="86">
        <f t="shared" si="33"/>
        <v>0</v>
      </c>
      <c r="O45" s="86">
        <f t="shared" si="33"/>
        <v>0</v>
      </c>
      <c r="P45" s="86">
        <f t="shared" si="33"/>
        <v>0</v>
      </c>
      <c r="Q45" s="86">
        <f t="shared" si="33"/>
        <v>0</v>
      </c>
      <c r="R45" s="19">
        <f t="shared" si="33"/>
        <v>0</v>
      </c>
      <c r="S45" s="20">
        <f t="shared" si="33"/>
        <v>0</v>
      </c>
      <c r="T45" s="20">
        <f t="shared" si="33"/>
        <v>0</v>
      </c>
      <c r="U45" s="20">
        <f t="shared" si="33"/>
        <v>0</v>
      </c>
    </row>
    <row r="46" spans="2:36" ht="15.75" hidden="1" outlineLevel="1" thickTop="1" x14ac:dyDescent="0.25">
      <c r="M46" s="3"/>
    </row>
    <row r="47" spans="2:36" hidden="1" outlineLevel="1" x14ac:dyDescent="0.25">
      <c r="M47" s="3"/>
    </row>
    <row r="48" spans="2:36" hidden="1" outlineLevel="1" x14ac:dyDescent="0.25">
      <c r="M48" s="3"/>
    </row>
    <row r="49" spans="2:36" ht="18.75" collapsed="1" x14ac:dyDescent="0.3">
      <c r="B49" s="4" t="s">
        <v>34</v>
      </c>
      <c r="C49" s="4" t="s">
        <v>387</v>
      </c>
      <c r="E49" s="53" t="str">
        <f>"Scenario 3: "&amp;Inputs!B24</f>
        <v>Scenario 3: Scenario 3</v>
      </c>
      <c r="F49" s="49"/>
      <c r="G49" s="49"/>
      <c r="H49" s="49"/>
      <c r="I49" s="49"/>
      <c r="J49" s="49"/>
      <c r="K49" s="49"/>
      <c r="L49" s="49"/>
      <c r="M49" s="49"/>
      <c r="N49" s="49"/>
      <c r="O49" s="49"/>
      <c r="P49" s="49"/>
      <c r="Q49" s="49"/>
      <c r="R49" s="49"/>
      <c r="S49" s="49"/>
      <c r="T49" s="49"/>
      <c r="U49" s="49"/>
    </row>
    <row r="50" spans="2:36" hidden="1" outlineLevel="1" x14ac:dyDescent="0.25">
      <c r="E50" s="52" t="str">
        <f>Inputs!C24</f>
        <v>Scenario 3 Description</v>
      </c>
    </row>
    <row r="51" spans="2:36" hidden="1" outlineLevel="1" x14ac:dyDescent="0.25"/>
    <row r="52" spans="2:36" hidden="1" outlineLevel="1" x14ac:dyDescent="0.25"/>
    <row r="53" spans="2:36" hidden="1" outlineLevel="1" x14ac:dyDescent="0.25">
      <c r="E53" s="4" t="s">
        <v>137</v>
      </c>
      <c r="W53" s="4" t="str">
        <f>E53</f>
        <v>Tax Impact</v>
      </c>
    </row>
    <row r="54" spans="2:36" hidden="1" outlineLevel="1" x14ac:dyDescent="0.25">
      <c r="E54" s="6" t="s">
        <v>25</v>
      </c>
      <c r="W54" s="61" t="s">
        <v>62</v>
      </c>
    </row>
    <row r="55" spans="2:36" hidden="1" outlineLevel="1" x14ac:dyDescent="0.25"/>
    <row r="56" spans="2:36" hidden="1" outlineLevel="1" x14ac:dyDescent="0.25">
      <c r="F56" s="12">
        <f>Inputs!$C$7</f>
        <v>2023</v>
      </c>
      <c r="G56" s="12">
        <f>Inputs!$C$8</f>
        <v>2024</v>
      </c>
      <c r="H56" s="12">
        <f>Inputs!$C$9</f>
        <v>2025</v>
      </c>
      <c r="I56" s="13" t="s">
        <v>1</v>
      </c>
      <c r="J56" s="13" t="s">
        <v>2</v>
      </c>
      <c r="K56" s="13" t="s">
        <v>3</v>
      </c>
      <c r="L56" s="13" t="s">
        <v>4</v>
      </c>
      <c r="M56" s="13">
        <f>Inputs!$C$10</f>
        <v>2026</v>
      </c>
      <c r="N56" s="14" t="s">
        <v>1</v>
      </c>
      <c r="O56" s="14" t="s">
        <v>2</v>
      </c>
      <c r="P56" s="14" t="s">
        <v>3</v>
      </c>
      <c r="Q56" s="14" t="s">
        <v>4</v>
      </c>
      <c r="R56" s="15">
        <f>Inputs!$C$11</f>
        <v>2027</v>
      </c>
      <c r="S56" s="16">
        <f>Inputs!$C$12</f>
        <v>2028</v>
      </c>
      <c r="T56" s="16">
        <f>Inputs!$C$13</f>
        <v>2029</v>
      </c>
      <c r="U56" s="16">
        <f>Inputs!$C$14</f>
        <v>2030</v>
      </c>
      <c r="X56" s="13" t="s">
        <v>1</v>
      </c>
      <c r="Y56" s="13" t="s">
        <v>2</v>
      </c>
      <c r="Z56" s="13" t="s">
        <v>3</v>
      </c>
      <c r="AA56" s="13" t="s">
        <v>4</v>
      </c>
      <c r="AB56" s="13">
        <f>Inputs!$C$10</f>
        <v>2026</v>
      </c>
      <c r="AC56" s="14" t="s">
        <v>1</v>
      </c>
      <c r="AD56" s="14" t="s">
        <v>2</v>
      </c>
      <c r="AE56" s="14" t="s">
        <v>3</v>
      </c>
      <c r="AF56" s="14" t="s">
        <v>4</v>
      </c>
      <c r="AG56" s="15">
        <f>Inputs!$C$11</f>
        <v>2027</v>
      </c>
      <c r="AH56" s="16">
        <f>Inputs!$C$12</f>
        <v>2028</v>
      </c>
      <c r="AI56" s="16">
        <f>Inputs!$C$13</f>
        <v>2029</v>
      </c>
      <c r="AJ56" s="16">
        <f>Inputs!$C$14</f>
        <v>2030</v>
      </c>
    </row>
    <row r="57" spans="2:36" hidden="1" outlineLevel="1" x14ac:dyDescent="0.25">
      <c r="F57" s="71" t="s">
        <v>63</v>
      </c>
      <c r="G57" s="71" t="s">
        <v>63</v>
      </c>
      <c r="H57" s="71" t="s">
        <v>63</v>
      </c>
      <c r="I57" s="71" t="s">
        <v>63</v>
      </c>
      <c r="J57" s="71" t="s">
        <v>63</v>
      </c>
      <c r="K57" s="71" t="s">
        <v>63</v>
      </c>
      <c r="L57" s="71" t="s">
        <v>63</v>
      </c>
      <c r="M57" s="71" t="s">
        <v>63</v>
      </c>
      <c r="N57" s="71" t="s">
        <v>63</v>
      </c>
      <c r="O57" s="71" t="s">
        <v>63</v>
      </c>
      <c r="P57" s="71" t="s">
        <v>63</v>
      </c>
      <c r="Q57" s="71" t="s">
        <v>63</v>
      </c>
      <c r="R57" s="71" t="s">
        <v>63</v>
      </c>
      <c r="S57" s="71" t="s">
        <v>63</v>
      </c>
      <c r="T57" s="71" t="s">
        <v>63</v>
      </c>
      <c r="U57" s="71" t="s">
        <v>63</v>
      </c>
      <c r="X57" s="63" t="s">
        <v>30</v>
      </c>
      <c r="Y57" s="63" t="s">
        <v>30</v>
      </c>
      <c r="Z57" s="63" t="s">
        <v>30</v>
      </c>
      <c r="AA57" s="63" t="s">
        <v>30</v>
      </c>
      <c r="AB57" s="62"/>
      <c r="AC57" s="63" t="s">
        <v>30</v>
      </c>
      <c r="AD57" s="63" t="s">
        <v>30</v>
      </c>
      <c r="AE57" s="63" t="s">
        <v>30</v>
      </c>
      <c r="AF57" s="63" t="s">
        <v>30</v>
      </c>
      <c r="AG57" s="62"/>
      <c r="AH57" s="63" t="s">
        <v>30</v>
      </c>
      <c r="AI57" s="63" t="s">
        <v>30</v>
      </c>
      <c r="AJ57" s="63" t="s">
        <v>30</v>
      </c>
    </row>
    <row r="58" spans="2:36" hidden="1" outlineLevel="1" x14ac:dyDescent="0.25">
      <c r="B58" s="229" t="s">
        <v>195</v>
      </c>
      <c r="C58" s="229" t="s">
        <v>195</v>
      </c>
      <c r="E58" s="78" t="s">
        <v>138</v>
      </c>
      <c r="F58" s="21">
        <f>F127</f>
        <v>0</v>
      </c>
      <c r="G58" s="21">
        <f t="shared" ref="G58:H58" si="34">G127</f>
        <v>0</v>
      </c>
      <c r="H58" s="21">
        <f t="shared" si="34"/>
        <v>0</v>
      </c>
      <c r="I58" s="85">
        <f t="shared" ref="I58:I67" si="35">IF(X58="",I127,X58)</f>
        <v>0</v>
      </c>
      <c r="J58" s="85">
        <f t="shared" ref="J58:J67" si="36">IF(Y58="",J127,Y58)</f>
        <v>0</v>
      </c>
      <c r="K58" s="85">
        <f t="shared" ref="K58:K67" si="37">IF(Z58="",K127,Z58)</f>
        <v>0</v>
      </c>
      <c r="L58" s="85">
        <f t="shared" ref="L58:L67" si="38">IF(AA58="",L127,AA58)</f>
        <v>0</v>
      </c>
      <c r="M58" s="17">
        <f t="shared" ref="M58:M67" si="39">SUM(I58:L58)</f>
        <v>0</v>
      </c>
      <c r="N58" s="85">
        <f t="shared" ref="N58:N67" si="40">IF(AC58="",N127,AC58)</f>
        <v>0</v>
      </c>
      <c r="O58" s="85">
        <f t="shared" ref="O58:O67" si="41">IF(AD58="",O127,AD58)</f>
        <v>0</v>
      </c>
      <c r="P58" s="85">
        <f t="shared" ref="P58:P67" si="42">IF(AE58="",P127,AE58)</f>
        <v>0</v>
      </c>
      <c r="Q58" s="85">
        <f t="shared" ref="Q58:Q67" si="43">IF(AF58="",Q127,AF58)</f>
        <v>0</v>
      </c>
      <c r="R58" s="22">
        <f t="shared" ref="R58:R67" si="44">SUM(N58:Q58)</f>
        <v>0</v>
      </c>
      <c r="S58" s="23">
        <f t="shared" ref="S58:S67" si="45">IF(AH58="",S127,AH58)</f>
        <v>0</v>
      </c>
      <c r="T58" s="23">
        <f t="shared" ref="T58:T67" si="46">IF(AI58="",T127,AI58)</f>
        <v>0</v>
      </c>
      <c r="U58" s="23">
        <f t="shared" ref="U58:U67" si="47">IF(AJ58="",U127,AJ58)</f>
        <v>0</v>
      </c>
      <c r="W58" s="78" t="str">
        <f>E58</f>
        <v>Corp Tax on EBT</v>
      </c>
      <c r="X58" s="64"/>
      <c r="Y58" s="64"/>
      <c r="Z58" s="64"/>
      <c r="AA58" s="64"/>
      <c r="AB58" s="60"/>
      <c r="AC58" s="64"/>
      <c r="AD58" s="64"/>
      <c r="AE58" s="64"/>
      <c r="AF58" s="64"/>
      <c r="AG58" s="60"/>
      <c r="AH58" s="64"/>
      <c r="AI58" s="64"/>
      <c r="AJ58" s="64"/>
    </row>
    <row r="59" spans="2:36" hidden="1" outlineLevel="1" x14ac:dyDescent="0.25">
      <c r="B59" s="229" t="s">
        <v>195</v>
      </c>
      <c r="C59" s="229" t="s">
        <v>195</v>
      </c>
      <c r="E59" s="78" t="s">
        <v>139</v>
      </c>
      <c r="F59" s="21">
        <f t="shared" ref="F59:H67" si="48">F128</f>
        <v>0</v>
      </c>
      <c r="G59" s="21">
        <f t="shared" si="48"/>
        <v>0</v>
      </c>
      <c r="H59" s="21">
        <f t="shared" si="48"/>
        <v>0</v>
      </c>
      <c r="I59" s="85">
        <f t="shared" si="35"/>
        <v>0</v>
      </c>
      <c r="J59" s="85">
        <f t="shared" si="36"/>
        <v>0</v>
      </c>
      <c r="K59" s="85">
        <f t="shared" si="37"/>
        <v>0</v>
      </c>
      <c r="L59" s="85">
        <f t="shared" si="38"/>
        <v>0</v>
      </c>
      <c r="M59" s="17">
        <f t="shared" si="39"/>
        <v>0</v>
      </c>
      <c r="N59" s="85">
        <f t="shared" si="40"/>
        <v>0</v>
      </c>
      <c r="O59" s="85">
        <f t="shared" si="41"/>
        <v>0</v>
      </c>
      <c r="P59" s="85">
        <f t="shared" si="42"/>
        <v>0</v>
      </c>
      <c r="Q59" s="85">
        <f t="shared" si="43"/>
        <v>0</v>
      </c>
      <c r="R59" s="22">
        <f t="shared" si="44"/>
        <v>0</v>
      </c>
      <c r="S59" s="23">
        <f t="shared" si="45"/>
        <v>0</v>
      </c>
      <c r="T59" s="23">
        <f t="shared" si="46"/>
        <v>0</v>
      </c>
      <c r="U59" s="23">
        <f t="shared" si="47"/>
        <v>0</v>
      </c>
      <c r="W59" s="78" t="str">
        <f t="shared" ref="W59:W67" si="49">E59</f>
        <v>Tax Credits Available</v>
      </c>
      <c r="X59" s="64"/>
      <c r="Y59" s="64"/>
      <c r="Z59" s="64"/>
      <c r="AA59" s="64"/>
      <c r="AB59" s="60"/>
      <c r="AC59" s="64"/>
      <c r="AD59" s="64"/>
      <c r="AE59" s="64"/>
      <c r="AF59" s="64"/>
      <c r="AG59" s="60"/>
      <c r="AH59" s="64"/>
      <c r="AI59" s="64"/>
      <c r="AJ59" s="64"/>
    </row>
    <row r="60" spans="2:36" hidden="1" outlineLevel="1" x14ac:dyDescent="0.25">
      <c r="B60" s="229" t="s">
        <v>195</v>
      </c>
      <c r="C60" s="229" t="s">
        <v>195</v>
      </c>
      <c r="E60" s="78" t="s">
        <v>140</v>
      </c>
      <c r="F60" s="21">
        <f t="shared" si="48"/>
        <v>0</v>
      </c>
      <c r="G60" s="21">
        <f t="shared" si="48"/>
        <v>0</v>
      </c>
      <c r="H60" s="21">
        <f t="shared" si="48"/>
        <v>0</v>
      </c>
      <c r="I60" s="85">
        <f t="shared" si="35"/>
        <v>0</v>
      </c>
      <c r="J60" s="85">
        <f t="shared" si="36"/>
        <v>0</v>
      </c>
      <c r="K60" s="85">
        <f t="shared" si="37"/>
        <v>0</v>
      </c>
      <c r="L60" s="85">
        <f t="shared" si="38"/>
        <v>0</v>
      </c>
      <c r="M60" s="17">
        <f t="shared" si="39"/>
        <v>0</v>
      </c>
      <c r="N60" s="85">
        <f t="shared" si="40"/>
        <v>0</v>
      </c>
      <c r="O60" s="85">
        <f t="shared" si="41"/>
        <v>0</v>
      </c>
      <c r="P60" s="85">
        <f t="shared" si="42"/>
        <v>0</v>
      </c>
      <c r="Q60" s="85">
        <f t="shared" si="43"/>
        <v>0</v>
      </c>
      <c r="R60" s="22">
        <f t="shared" si="44"/>
        <v>0</v>
      </c>
      <c r="S60" s="23">
        <f t="shared" si="45"/>
        <v>0</v>
      </c>
      <c r="T60" s="23">
        <f t="shared" si="46"/>
        <v>0</v>
      </c>
      <c r="U60" s="23">
        <f t="shared" si="47"/>
        <v>0</v>
      </c>
      <c r="W60" s="78" t="str">
        <f t="shared" si="49"/>
        <v>Other Tax Impact</v>
      </c>
      <c r="X60" s="64"/>
      <c r="Y60" s="64"/>
      <c r="Z60" s="64"/>
      <c r="AA60" s="64"/>
      <c r="AB60" s="60"/>
      <c r="AC60" s="64"/>
      <c r="AD60" s="64"/>
      <c r="AE60" s="64"/>
      <c r="AF60" s="64"/>
      <c r="AG60" s="60"/>
      <c r="AH60" s="64"/>
      <c r="AI60" s="64"/>
      <c r="AJ60" s="64"/>
    </row>
    <row r="61" spans="2:36" hidden="1" outlineLevel="1" x14ac:dyDescent="0.25">
      <c r="B61" s="229" t="s">
        <v>195</v>
      </c>
      <c r="C61" s="229" t="s">
        <v>195</v>
      </c>
      <c r="E61" s="78" t="s">
        <v>140</v>
      </c>
      <c r="F61" s="21">
        <f t="shared" si="48"/>
        <v>0</v>
      </c>
      <c r="G61" s="21">
        <f t="shared" si="48"/>
        <v>0</v>
      </c>
      <c r="H61" s="21">
        <f t="shared" si="48"/>
        <v>0</v>
      </c>
      <c r="I61" s="85">
        <f t="shared" si="35"/>
        <v>0</v>
      </c>
      <c r="J61" s="85">
        <f t="shared" si="36"/>
        <v>0</v>
      </c>
      <c r="K61" s="85">
        <f t="shared" si="37"/>
        <v>0</v>
      </c>
      <c r="L61" s="85">
        <f t="shared" si="38"/>
        <v>0</v>
      </c>
      <c r="M61" s="17">
        <f t="shared" si="39"/>
        <v>0</v>
      </c>
      <c r="N61" s="85">
        <f t="shared" si="40"/>
        <v>0</v>
      </c>
      <c r="O61" s="85">
        <f t="shared" si="41"/>
        <v>0</v>
      </c>
      <c r="P61" s="85">
        <f t="shared" si="42"/>
        <v>0</v>
      </c>
      <c r="Q61" s="85">
        <f t="shared" si="43"/>
        <v>0</v>
      </c>
      <c r="R61" s="22">
        <f t="shared" si="44"/>
        <v>0</v>
      </c>
      <c r="S61" s="23">
        <f t="shared" si="45"/>
        <v>0</v>
      </c>
      <c r="T61" s="23">
        <f t="shared" si="46"/>
        <v>0</v>
      </c>
      <c r="U61" s="23">
        <f t="shared" si="47"/>
        <v>0</v>
      </c>
      <c r="W61" s="78" t="str">
        <f t="shared" si="49"/>
        <v>Other Tax Impact</v>
      </c>
      <c r="X61" s="64"/>
      <c r="Y61" s="64"/>
      <c r="Z61" s="64"/>
      <c r="AA61" s="64"/>
      <c r="AB61" s="60"/>
      <c r="AC61" s="64"/>
      <c r="AD61" s="64"/>
      <c r="AE61" s="64"/>
      <c r="AF61" s="64"/>
      <c r="AG61" s="60"/>
      <c r="AH61" s="64"/>
      <c r="AI61" s="64"/>
      <c r="AJ61" s="64"/>
    </row>
    <row r="62" spans="2:36" hidden="1" outlineLevel="1" x14ac:dyDescent="0.25">
      <c r="B62" s="229" t="s">
        <v>195</v>
      </c>
      <c r="C62" s="229" t="s">
        <v>195</v>
      </c>
      <c r="E62" s="78" t="s">
        <v>140</v>
      </c>
      <c r="F62" s="21">
        <f t="shared" si="48"/>
        <v>0</v>
      </c>
      <c r="G62" s="21">
        <f t="shared" si="48"/>
        <v>0</v>
      </c>
      <c r="H62" s="21">
        <f t="shared" si="48"/>
        <v>0</v>
      </c>
      <c r="I62" s="85">
        <f t="shared" si="35"/>
        <v>0</v>
      </c>
      <c r="J62" s="85">
        <f t="shared" si="36"/>
        <v>0</v>
      </c>
      <c r="K62" s="85">
        <f t="shared" si="37"/>
        <v>0</v>
      </c>
      <c r="L62" s="85">
        <f t="shared" si="38"/>
        <v>0</v>
      </c>
      <c r="M62" s="17">
        <f t="shared" si="39"/>
        <v>0</v>
      </c>
      <c r="N62" s="85">
        <f t="shared" si="40"/>
        <v>0</v>
      </c>
      <c r="O62" s="85">
        <f t="shared" si="41"/>
        <v>0</v>
      </c>
      <c r="P62" s="85">
        <f t="shared" si="42"/>
        <v>0</v>
      </c>
      <c r="Q62" s="85">
        <f t="shared" si="43"/>
        <v>0</v>
      </c>
      <c r="R62" s="22">
        <f t="shared" si="44"/>
        <v>0</v>
      </c>
      <c r="S62" s="23">
        <f t="shared" si="45"/>
        <v>0</v>
      </c>
      <c r="T62" s="23">
        <f t="shared" si="46"/>
        <v>0</v>
      </c>
      <c r="U62" s="23">
        <f t="shared" si="47"/>
        <v>0</v>
      </c>
      <c r="W62" s="78" t="str">
        <f t="shared" si="49"/>
        <v>Other Tax Impact</v>
      </c>
      <c r="X62" s="64"/>
      <c r="Y62" s="64"/>
      <c r="Z62" s="64"/>
      <c r="AA62" s="64"/>
      <c r="AB62" s="60"/>
      <c r="AC62" s="64"/>
      <c r="AD62" s="64"/>
      <c r="AE62" s="64"/>
      <c r="AF62" s="64"/>
      <c r="AG62" s="60"/>
      <c r="AH62" s="64"/>
      <c r="AI62" s="64"/>
      <c r="AJ62" s="64"/>
    </row>
    <row r="63" spans="2:36" hidden="1" outlineLevel="1" x14ac:dyDescent="0.25">
      <c r="B63" s="229" t="s">
        <v>195</v>
      </c>
      <c r="C63" s="229" t="s">
        <v>195</v>
      </c>
      <c r="E63" s="78" t="s">
        <v>140</v>
      </c>
      <c r="F63" s="21">
        <f t="shared" si="48"/>
        <v>0</v>
      </c>
      <c r="G63" s="21">
        <f t="shared" si="48"/>
        <v>0</v>
      </c>
      <c r="H63" s="21">
        <f t="shared" si="48"/>
        <v>0</v>
      </c>
      <c r="I63" s="85">
        <f t="shared" si="35"/>
        <v>0</v>
      </c>
      <c r="J63" s="85">
        <f t="shared" si="36"/>
        <v>0</v>
      </c>
      <c r="K63" s="85">
        <f t="shared" si="37"/>
        <v>0</v>
      </c>
      <c r="L63" s="85">
        <f t="shared" si="38"/>
        <v>0</v>
      </c>
      <c r="M63" s="17">
        <f t="shared" si="39"/>
        <v>0</v>
      </c>
      <c r="N63" s="85">
        <f t="shared" si="40"/>
        <v>0</v>
      </c>
      <c r="O63" s="85">
        <f t="shared" si="41"/>
        <v>0</v>
      </c>
      <c r="P63" s="85">
        <f t="shared" si="42"/>
        <v>0</v>
      </c>
      <c r="Q63" s="85">
        <f t="shared" si="43"/>
        <v>0</v>
      </c>
      <c r="R63" s="22">
        <f t="shared" si="44"/>
        <v>0</v>
      </c>
      <c r="S63" s="23">
        <f t="shared" si="45"/>
        <v>0</v>
      </c>
      <c r="T63" s="23">
        <f t="shared" si="46"/>
        <v>0</v>
      </c>
      <c r="U63" s="23">
        <f t="shared" si="47"/>
        <v>0</v>
      </c>
      <c r="W63" s="78" t="str">
        <f t="shared" si="49"/>
        <v>Other Tax Impact</v>
      </c>
      <c r="X63" s="64"/>
      <c r="Y63" s="64"/>
      <c r="Z63" s="64"/>
      <c r="AA63" s="64"/>
      <c r="AB63" s="60"/>
      <c r="AC63" s="64"/>
      <c r="AD63" s="64"/>
      <c r="AE63" s="64"/>
      <c r="AF63" s="64"/>
      <c r="AG63" s="60"/>
      <c r="AH63" s="64"/>
      <c r="AI63" s="64"/>
      <c r="AJ63" s="64"/>
    </row>
    <row r="64" spans="2:36" hidden="1" outlineLevel="1" x14ac:dyDescent="0.25">
      <c r="B64" s="229" t="s">
        <v>195</v>
      </c>
      <c r="C64" s="229" t="s">
        <v>195</v>
      </c>
      <c r="E64" s="78" t="s">
        <v>140</v>
      </c>
      <c r="F64" s="21">
        <f t="shared" si="48"/>
        <v>0</v>
      </c>
      <c r="G64" s="21">
        <f t="shared" si="48"/>
        <v>0</v>
      </c>
      <c r="H64" s="21">
        <f t="shared" si="48"/>
        <v>0</v>
      </c>
      <c r="I64" s="85">
        <f t="shared" si="35"/>
        <v>0</v>
      </c>
      <c r="J64" s="85">
        <f t="shared" si="36"/>
        <v>0</v>
      </c>
      <c r="K64" s="85">
        <f t="shared" si="37"/>
        <v>0</v>
      </c>
      <c r="L64" s="85">
        <f t="shared" si="38"/>
        <v>0</v>
      </c>
      <c r="M64" s="17">
        <f t="shared" si="39"/>
        <v>0</v>
      </c>
      <c r="N64" s="85">
        <f t="shared" si="40"/>
        <v>0</v>
      </c>
      <c r="O64" s="85">
        <f t="shared" si="41"/>
        <v>0</v>
      </c>
      <c r="P64" s="85">
        <f t="shared" si="42"/>
        <v>0</v>
      </c>
      <c r="Q64" s="85">
        <f t="shared" si="43"/>
        <v>0</v>
      </c>
      <c r="R64" s="22">
        <f t="shared" si="44"/>
        <v>0</v>
      </c>
      <c r="S64" s="23">
        <f t="shared" si="45"/>
        <v>0</v>
      </c>
      <c r="T64" s="23">
        <f t="shared" si="46"/>
        <v>0</v>
      </c>
      <c r="U64" s="23">
        <f t="shared" si="47"/>
        <v>0</v>
      </c>
      <c r="W64" s="78" t="str">
        <f t="shared" si="49"/>
        <v>Other Tax Impact</v>
      </c>
      <c r="X64" s="64"/>
      <c r="Y64" s="64"/>
      <c r="Z64" s="64"/>
      <c r="AA64" s="64"/>
      <c r="AB64" s="60"/>
      <c r="AC64" s="64"/>
      <c r="AD64" s="64"/>
      <c r="AE64" s="64"/>
      <c r="AF64" s="64"/>
      <c r="AG64" s="60"/>
      <c r="AH64" s="64"/>
      <c r="AI64" s="64"/>
      <c r="AJ64" s="64"/>
    </row>
    <row r="65" spans="2:36" hidden="1" outlineLevel="1" x14ac:dyDescent="0.25">
      <c r="B65" s="229" t="s">
        <v>195</v>
      </c>
      <c r="C65" s="229" t="s">
        <v>195</v>
      </c>
      <c r="E65" s="78" t="s">
        <v>140</v>
      </c>
      <c r="F65" s="21">
        <f t="shared" si="48"/>
        <v>0</v>
      </c>
      <c r="G65" s="21">
        <f t="shared" si="48"/>
        <v>0</v>
      </c>
      <c r="H65" s="21">
        <f t="shared" si="48"/>
        <v>0</v>
      </c>
      <c r="I65" s="85">
        <f t="shared" si="35"/>
        <v>0</v>
      </c>
      <c r="J65" s="85">
        <f t="shared" si="36"/>
        <v>0</v>
      </c>
      <c r="K65" s="85">
        <f t="shared" si="37"/>
        <v>0</v>
      </c>
      <c r="L65" s="85">
        <f t="shared" si="38"/>
        <v>0</v>
      </c>
      <c r="M65" s="17">
        <f t="shared" si="39"/>
        <v>0</v>
      </c>
      <c r="N65" s="85">
        <f t="shared" si="40"/>
        <v>0</v>
      </c>
      <c r="O65" s="85">
        <f t="shared" si="41"/>
        <v>0</v>
      </c>
      <c r="P65" s="85">
        <f t="shared" si="42"/>
        <v>0</v>
      </c>
      <c r="Q65" s="85">
        <f t="shared" si="43"/>
        <v>0</v>
      </c>
      <c r="R65" s="22">
        <f t="shared" si="44"/>
        <v>0</v>
      </c>
      <c r="S65" s="23">
        <f t="shared" si="45"/>
        <v>0</v>
      </c>
      <c r="T65" s="23">
        <f t="shared" si="46"/>
        <v>0</v>
      </c>
      <c r="U65" s="23">
        <f t="shared" si="47"/>
        <v>0</v>
      </c>
      <c r="W65" s="78" t="str">
        <f t="shared" si="49"/>
        <v>Other Tax Impact</v>
      </c>
      <c r="X65" s="64"/>
      <c r="Y65" s="64"/>
      <c r="Z65" s="64"/>
      <c r="AA65" s="64"/>
      <c r="AB65" s="60"/>
      <c r="AC65" s="64"/>
      <c r="AD65" s="64"/>
      <c r="AE65" s="64"/>
      <c r="AF65" s="64"/>
      <c r="AG65" s="60"/>
      <c r="AH65" s="64"/>
      <c r="AI65" s="64"/>
      <c r="AJ65" s="64"/>
    </row>
    <row r="66" spans="2:36" hidden="1" outlineLevel="1" x14ac:dyDescent="0.25">
      <c r="B66" s="229" t="s">
        <v>195</v>
      </c>
      <c r="C66" s="229" t="s">
        <v>195</v>
      </c>
      <c r="E66" s="78" t="s">
        <v>140</v>
      </c>
      <c r="F66" s="21">
        <f t="shared" si="48"/>
        <v>0</v>
      </c>
      <c r="G66" s="21">
        <f t="shared" si="48"/>
        <v>0</v>
      </c>
      <c r="H66" s="21">
        <f t="shared" si="48"/>
        <v>0</v>
      </c>
      <c r="I66" s="85">
        <f t="shared" si="35"/>
        <v>0</v>
      </c>
      <c r="J66" s="85">
        <f t="shared" si="36"/>
        <v>0</v>
      </c>
      <c r="K66" s="85">
        <f t="shared" si="37"/>
        <v>0</v>
      </c>
      <c r="L66" s="85">
        <f t="shared" si="38"/>
        <v>0</v>
      </c>
      <c r="M66" s="17">
        <f t="shared" si="39"/>
        <v>0</v>
      </c>
      <c r="N66" s="85">
        <f t="shared" si="40"/>
        <v>0</v>
      </c>
      <c r="O66" s="85">
        <f t="shared" si="41"/>
        <v>0</v>
      </c>
      <c r="P66" s="85">
        <f t="shared" si="42"/>
        <v>0</v>
      </c>
      <c r="Q66" s="85">
        <f t="shared" si="43"/>
        <v>0</v>
      </c>
      <c r="R66" s="22">
        <f t="shared" si="44"/>
        <v>0</v>
      </c>
      <c r="S66" s="23">
        <f t="shared" si="45"/>
        <v>0</v>
      </c>
      <c r="T66" s="23">
        <f t="shared" si="46"/>
        <v>0</v>
      </c>
      <c r="U66" s="23">
        <f t="shared" si="47"/>
        <v>0</v>
      </c>
      <c r="W66" s="78" t="str">
        <f t="shared" si="49"/>
        <v>Other Tax Impact</v>
      </c>
      <c r="X66" s="64"/>
      <c r="Y66" s="64"/>
      <c r="Z66" s="64"/>
      <c r="AA66" s="64"/>
      <c r="AB66" s="60"/>
      <c r="AC66" s="64"/>
      <c r="AD66" s="64"/>
      <c r="AE66" s="64"/>
      <c r="AF66" s="64"/>
      <c r="AG66" s="60"/>
      <c r="AH66" s="64"/>
      <c r="AI66" s="64"/>
      <c r="AJ66" s="64"/>
    </row>
    <row r="67" spans="2:36" hidden="1" outlineLevel="1" x14ac:dyDescent="0.25">
      <c r="B67" s="229" t="s">
        <v>195</v>
      </c>
      <c r="C67" s="229" t="s">
        <v>195</v>
      </c>
      <c r="E67" s="78" t="s">
        <v>140</v>
      </c>
      <c r="F67" s="21">
        <f t="shared" si="48"/>
        <v>0</v>
      </c>
      <c r="G67" s="21">
        <f t="shared" si="48"/>
        <v>0</v>
      </c>
      <c r="H67" s="21">
        <f t="shared" si="48"/>
        <v>0</v>
      </c>
      <c r="I67" s="85">
        <f t="shared" si="35"/>
        <v>0</v>
      </c>
      <c r="J67" s="85">
        <f t="shared" si="36"/>
        <v>0</v>
      </c>
      <c r="K67" s="85">
        <f t="shared" si="37"/>
        <v>0</v>
      </c>
      <c r="L67" s="85">
        <f t="shared" si="38"/>
        <v>0</v>
      </c>
      <c r="M67" s="17">
        <f t="shared" si="39"/>
        <v>0</v>
      </c>
      <c r="N67" s="85">
        <f t="shared" si="40"/>
        <v>0</v>
      </c>
      <c r="O67" s="85">
        <f t="shared" si="41"/>
        <v>0</v>
      </c>
      <c r="P67" s="85">
        <f t="shared" si="42"/>
        <v>0</v>
      </c>
      <c r="Q67" s="85">
        <f t="shared" si="43"/>
        <v>0</v>
      </c>
      <c r="R67" s="22">
        <f t="shared" si="44"/>
        <v>0</v>
      </c>
      <c r="S67" s="23">
        <f t="shared" si="45"/>
        <v>0</v>
      </c>
      <c r="T67" s="23">
        <f t="shared" si="46"/>
        <v>0</v>
      </c>
      <c r="U67" s="23">
        <f t="shared" si="47"/>
        <v>0</v>
      </c>
      <c r="W67" s="78" t="str">
        <f t="shared" si="49"/>
        <v>Other Tax Impact</v>
      </c>
      <c r="X67" s="64"/>
      <c r="Y67" s="64"/>
      <c r="Z67" s="64"/>
      <c r="AA67" s="64"/>
      <c r="AB67" s="60"/>
      <c r="AC67" s="64"/>
      <c r="AD67" s="64"/>
      <c r="AE67" s="64"/>
      <c r="AF67" s="64"/>
      <c r="AG67" s="60"/>
      <c r="AH67" s="64"/>
      <c r="AI67" s="64"/>
      <c r="AJ67" s="64"/>
    </row>
    <row r="68" spans="2:36" ht="15.75" hidden="1" outlineLevel="1" thickBot="1" x14ac:dyDescent="0.3">
      <c r="E68" s="8" t="s">
        <v>27</v>
      </c>
      <c r="F68" s="9">
        <f>SUM(F58:F67)</f>
        <v>0</v>
      </c>
      <c r="G68" s="9">
        <f t="shared" ref="G68:U68" si="50">SUM(G58:G67)</f>
        <v>0</v>
      </c>
      <c r="H68" s="9">
        <f t="shared" si="50"/>
        <v>0</v>
      </c>
      <c r="I68" s="86">
        <f t="shared" si="50"/>
        <v>0</v>
      </c>
      <c r="J68" s="86">
        <f t="shared" si="50"/>
        <v>0</v>
      </c>
      <c r="K68" s="86">
        <f t="shared" si="50"/>
        <v>0</v>
      </c>
      <c r="L68" s="86">
        <f t="shared" si="50"/>
        <v>0</v>
      </c>
      <c r="M68" s="18">
        <f t="shared" si="50"/>
        <v>0</v>
      </c>
      <c r="N68" s="86">
        <f t="shared" si="50"/>
        <v>0</v>
      </c>
      <c r="O68" s="86">
        <f t="shared" si="50"/>
        <v>0</v>
      </c>
      <c r="P68" s="86">
        <f t="shared" si="50"/>
        <v>0</v>
      </c>
      <c r="Q68" s="86">
        <f t="shared" si="50"/>
        <v>0</v>
      </c>
      <c r="R68" s="19">
        <f t="shared" si="50"/>
        <v>0</v>
      </c>
      <c r="S68" s="20">
        <f t="shared" si="50"/>
        <v>0</v>
      </c>
      <c r="T68" s="20">
        <f t="shared" si="50"/>
        <v>0</v>
      </c>
      <c r="U68" s="20">
        <f t="shared" si="50"/>
        <v>0</v>
      </c>
    </row>
    <row r="69" spans="2:36" ht="15.75" hidden="1" outlineLevel="1" thickTop="1" x14ac:dyDescent="0.25">
      <c r="M69" s="3"/>
    </row>
    <row r="70" spans="2:36" hidden="1" outlineLevel="1" x14ac:dyDescent="0.25">
      <c r="M70" s="3"/>
    </row>
    <row r="71" spans="2:36" hidden="1" outlineLevel="1" x14ac:dyDescent="0.25">
      <c r="M71" s="3"/>
    </row>
    <row r="72" spans="2:36" ht="18.75" collapsed="1" x14ac:dyDescent="0.3">
      <c r="B72" s="4" t="s">
        <v>34</v>
      </c>
      <c r="C72" s="4" t="s">
        <v>387</v>
      </c>
      <c r="E72" s="53" t="str">
        <f>"Scenario 4: "&amp;Inputs!B25</f>
        <v>Scenario 4: Scenario 4</v>
      </c>
      <c r="F72" s="49"/>
      <c r="G72" s="49"/>
      <c r="H72" s="49"/>
      <c r="I72" s="49"/>
      <c r="J72" s="49"/>
      <c r="K72" s="49"/>
      <c r="L72" s="49"/>
      <c r="M72" s="49"/>
      <c r="N72" s="49"/>
      <c r="O72" s="49"/>
      <c r="P72" s="49"/>
      <c r="Q72" s="49"/>
      <c r="R72" s="49"/>
      <c r="S72" s="49"/>
      <c r="T72" s="49"/>
      <c r="U72" s="49"/>
    </row>
    <row r="73" spans="2:36" hidden="1" outlineLevel="1" x14ac:dyDescent="0.25">
      <c r="E73" s="52" t="str">
        <f>Inputs!C25</f>
        <v>Scenario 4 Description</v>
      </c>
    </row>
    <row r="74" spans="2:36" hidden="1" outlineLevel="1" x14ac:dyDescent="0.25"/>
    <row r="75" spans="2:36" hidden="1" outlineLevel="1" x14ac:dyDescent="0.25"/>
    <row r="76" spans="2:36" hidden="1" outlineLevel="1" x14ac:dyDescent="0.25">
      <c r="E76" s="4" t="s">
        <v>137</v>
      </c>
      <c r="W76" s="4" t="str">
        <f>E76</f>
        <v>Tax Impact</v>
      </c>
    </row>
    <row r="77" spans="2:36" hidden="1" outlineLevel="1" x14ac:dyDescent="0.25">
      <c r="E77" s="6" t="s">
        <v>25</v>
      </c>
      <c r="W77" s="61" t="s">
        <v>62</v>
      </c>
    </row>
    <row r="78" spans="2:36" hidden="1" outlineLevel="1" x14ac:dyDescent="0.25"/>
    <row r="79" spans="2:36" hidden="1" outlineLevel="1" x14ac:dyDescent="0.25">
      <c r="F79" s="12">
        <f>Inputs!$C$7</f>
        <v>2023</v>
      </c>
      <c r="G79" s="12">
        <f>Inputs!$C$8</f>
        <v>2024</v>
      </c>
      <c r="H79" s="12">
        <f>Inputs!$C$9</f>
        <v>2025</v>
      </c>
      <c r="I79" s="13" t="s">
        <v>1</v>
      </c>
      <c r="J79" s="13" t="s">
        <v>2</v>
      </c>
      <c r="K79" s="13" t="s">
        <v>3</v>
      </c>
      <c r="L79" s="13" t="s">
        <v>4</v>
      </c>
      <c r="M79" s="13">
        <f>Inputs!$C$10</f>
        <v>2026</v>
      </c>
      <c r="N79" s="14" t="s">
        <v>1</v>
      </c>
      <c r="O79" s="14" t="s">
        <v>2</v>
      </c>
      <c r="P79" s="14" t="s">
        <v>3</v>
      </c>
      <c r="Q79" s="14" t="s">
        <v>4</v>
      </c>
      <c r="R79" s="15">
        <f>Inputs!$C$11</f>
        <v>2027</v>
      </c>
      <c r="S79" s="16">
        <f>Inputs!$C$12</f>
        <v>2028</v>
      </c>
      <c r="T79" s="16">
        <f>Inputs!$C$13</f>
        <v>2029</v>
      </c>
      <c r="U79" s="16">
        <f>Inputs!$C$14</f>
        <v>2030</v>
      </c>
      <c r="X79" s="13" t="s">
        <v>1</v>
      </c>
      <c r="Y79" s="13" t="s">
        <v>2</v>
      </c>
      <c r="Z79" s="13" t="s">
        <v>3</v>
      </c>
      <c r="AA79" s="13" t="s">
        <v>4</v>
      </c>
      <c r="AB79" s="13">
        <f>Inputs!$C$10</f>
        <v>2026</v>
      </c>
      <c r="AC79" s="14" t="s">
        <v>1</v>
      </c>
      <c r="AD79" s="14" t="s">
        <v>2</v>
      </c>
      <c r="AE79" s="14" t="s">
        <v>3</v>
      </c>
      <c r="AF79" s="14" t="s">
        <v>4</v>
      </c>
      <c r="AG79" s="15">
        <f>Inputs!$C$11</f>
        <v>2027</v>
      </c>
      <c r="AH79" s="16">
        <f>Inputs!$C$12</f>
        <v>2028</v>
      </c>
      <c r="AI79" s="16">
        <f>Inputs!$C$13</f>
        <v>2029</v>
      </c>
      <c r="AJ79" s="16">
        <f>Inputs!$C$14</f>
        <v>2030</v>
      </c>
    </row>
    <row r="80" spans="2:36" hidden="1" outlineLevel="1" x14ac:dyDescent="0.25">
      <c r="F80" s="71" t="s">
        <v>63</v>
      </c>
      <c r="G80" s="71" t="s">
        <v>63</v>
      </c>
      <c r="H80" s="71" t="s">
        <v>63</v>
      </c>
      <c r="I80" s="71" t="s">
        <v>63</v>
      </c>
      <c r="J80" s="71" t="s">
        <v>63</v>
      </c>
      <c r="K80" s="71" t="s">
        <v>63</v>
      </c>
      <c r="L80" s="71" t="s">
        <v>63</v>
      </c>
      <c r="M80" s="71" t="s">
        <v>63</v>
      </c>
      <c r="N80" s="71" t="s">
        <v>63</v>
      </c>
      <c r="O80" s="71" t="s">
        <v>63</v>
      </c>
      <c r="P80" s="71" t="s">
        <v>63</v>
      </c>
      <c r="Q80" s="71" t="s">
        <v>63</v>
      </c>
      <c r="R80" s="71" t="s">
        <v>63</v>
      </c>
      <c r="S80" s="71" t="s">
        <v>63</v>
      </c>
      <c r="T80" s="71" t="s">
        <v>63</v>
      </c>
      <c r="U80" s="71" t="s">
        <v>63</v>
      </c>
      <c r="X80" s="63" t="s">
        <v>30</v>
      </c>
      <c r="Y80" s="63" t="s">
        <v>30</v>
      </c>
      <c r="Z80" s="63" t="s">
        <v>30</v>
      </c>
      <c r="AA80" s="63" t="s">
        <v>30</v>
      </c>
      <c r="AB80" s="62"/>
      <c r="AC80" s="63" t="s">
        <v>30</v>
      </c>
      <c r="AD80" s="63" t="s">
        <v>30</v>
      </c>
      <c r="AE80" s="63" t="s">
        <v>30</v>
      </c>
      <c r="AF80" s="63" t="s">
        <v>30</v>
      </c>
      <c r="AG80" s="62"/>
      <c r="AH80" s="63" t="s">
        <v>30</v>
      </c>
      <c r="AI80" s="63" t="s">
        <v>30</v>
      </c>
      <c r="AJ80" s="63" t="s">
        <v>30</v>
      </c>
    </row>
    <row r="81" spans="2:36" hidden="1" outlineLevel="1" x14ac:dyDescent="0.25">
      <c r="B81" s="229" t="s">
        <v>195</v>
      </c>
      <c r="C81" s="229" t="s">
        <v>195</v>
      </c>
      <c r="E81" s="78" t="s">
        <v>138</v>
      </c>
      <c r="F81" s="21">
        <f>F127</f>
        <v>0</v>
      </c>
      <c r="G81" s="21">
        <f t="shared" ref="G81:H81" si="51">G127</f>
        <v>0</v>
      </c>
      <c r="H81" s="21">
        <f t="shared" si="51"/>
        <v>0</v>
      </c>
      <c r="I81" s="85">
        <f t="shared" ref="I81:I90" si="52">IF(X81="",I127,X81)</f>
        <v>0</v>
      </c>
      <c r="J81" s="85">
        <f t="shared" ref="J81:J90" si="53">IF(Y81="",J127,Y81)</f>
        <v>0</v>
      </c>
      <c r="K81" s="85">
        <f t="shared" ref="K81:K90" si="54">IF(Z81="",K127,Z81)</f>
        <v>0</v>
      </c>
      <c r="L81" s="85">
        <f t="shared" ref="L81:L90" si="55">IF(AA81="",L127,AA81)</f>
        <v>0</v>
      </c>
      <c r="M81" s="17">
        <f>SUM(I81:L81)</f>
        <v>0</v>
      </c>
      <c r="N81" s="85">
        <f t="shared" ref="N81:N90" si="56">IF(AC81="",N127,AC81)</f>
        <v>0</v>
      </c>
      <c r="O81" s="85">
        <f t="shared" ref="O81:O90" si="57">IF(AD81="",O127,AD81)</f>
        <v>0</v>
      </c>
      <c r="P81" s="85">
        <f t="shared" ref="P81:P90" si="58">IF(AE81="",P127,AE81)</f>
        <v>0</v>
      </c>
      <c r="Q81" s="85">
        <f t="shared" ref="Q81:Q90" si="59">IF(AF81="",Q127,AF81)</f>
        <v>0</v>
      </c>
      <c r="R81" s="22">
        <f>SUM(N81:Q81)</f>
        <v>0</v>
      </c>
      <c r="S81" s="23">
        <f t="shared" ref="S81:S90" si="60">IF(AH81="",S127,AH81)</f>
        <v>0</v>
      </c>
      <c r="T81" s="23">
        <f t="shared" ref="T81:T90" si="61">IF(AI81="",T127,AI81)</f>
        <v>0</v>
      </c>
      <c r="U81" s="23">
        <f t="shared" ref="U81:U90" si="62">IF(AJ81="",U127,AJ81)</f>
        <v>0</v>
      </c>
      <c r="W81" s="78" t="str">
        <f>E81</f>
        <v>Corp Tax on EBT</v>
      </c>
      <c r="X81" s="64"/>
      <c r="Y81" s="64"/>
      <c r="Z81" s="64"/>
      <c r="AA81" s="64"/>
      <c r="AB81" s="60"/>
      <c r="AC81" s="64"/>
      <c r="AD81" s="64"/>
      <c r="AE81" s="64"/>
      <c r="AF81" s="64"/>
      <c r="AG81" s="60"/>
      <c r="AH81" s="64"/>
      <c r="AI81" s="64"/>
      <c r="AJ81" s="64"/>
    </row>
    <row r="82" spans="2:36" hidden="1" outlineLevel="1" x14ac:dyDescent="0.25">
      <c r="B82" s="229" t="s">
        <v>195</v>
      </c>
      <c r="C82" s="229" t="s">
        <v>195</v>
      </c>
      <c r="E82" s="78" t="s">
        <v>139</v>
      </c>
      <c r="F82" s="21">
        <f t="shared" ref="F82:H90" si="63">F128</f>
        <v>0</v>
      </c>
      <c r="G82" s="21">
        <f t="shared" si="63"/>
        <v>0</v>
      </c>
      <c r="H82" s="21">
        <f t="shared" si="63"/>
        <v>0</v>
      </c>
      <c r="I82" s="85">
        <f t="shared" si="52"/>
        <v>0</v>
      </c>
      <c r="J82" s="85">
        <f t="shared" si="53"/>
        <v>0</v>
      </c>
      <c r="K82" s="85">
        <f t="shared" si="54"/>
        <v>0</v>
      </c>
      <c r="L82" s="85">
        <f t="shared" si="55"/>
        <v>0</v>
      </c>
      <c r="M82" s="17">
        <f t="shared" ref="M82:M90" si="64">SUM(I82:L82)</f>
        <v>0</v>
      </c>
      <c r="N82" s="85">
        <f t="shared" si="56"/>
        <v>0</v>
      </c>
      <c r="O82" s="85">
        <f t="shared" si="57"/>
        <v>0</v>
      </c>
      <c r="P82" s="85">
        <f t="shared" si="58"/>
        <v>0</v>
      </c>
      <c r="Q82" s="85">
        <f t="shared" si="59"/>
        <v>0</v>
      </c>
      <c r="R82" s="22">
        <f t="shared" ref="R82:R90" si="65">SUM(N82:Q82)</f>
        <v>0</v>
      </c>
      <c r="S82" s="23">
        <f t="shared" si="60"/>
        <v>0</v>
      </c>
      <c r="T82" s="23">
        <f t="shared" si="61"/>
        <v>0</v>
      </c>
      <c r="U82" s="23">
        <f t="shared" si="62"/>
        <v>0</v>
      </c>
      <c r="W82" s="78" t="str">
        <f t="shared" ref="W82:W90" si="66">E82</f>
        <v>Tax Credits Available</v>
      </c>
      <c r="X82" s="64"/>
      <c r="Y82" s="64"/>
      <c r="Z82" s="64"/>
      <c r="AA82" s="64"/>
      <c r="AB82" s="60"/>
      <c r="AC82" s="64"/>
      <c r="AD82" s="64"/>
      <c r="AE82" s="64"/>
      <c r="AF82" s="64"/>
      <c r="AG82" s="60"/>
      <c r="AH82" s="64"/>
      <c r="AI82" s="64"/>
      <c r="AJ82" s="64"/>
    </row>
    <row r="83" spans="2:36" hidden="1" outlineLevel="1" x14ac:dyDescent="0.25">
      <c r="B83" s="229" t="s">
        <v>195</v>
      </c>
      <c r="C83" s="229" t="s">
        <v>195</v>
      </c>
      <c r="E83" s="78" t="s">
        <v>140</v>
      </c>
      <c r="F83" s="21">
        <f t="shared" si="63"/>
        <v>0</v>
      </c>
      <c r="G83" s="21">
        <f t="shared" si="63"/>
        <v>0</v>
      </c>
      <c r="H83" s="21">
        <f t="shared" si="63"/>
        <v>0</v>
      </c>
      <c r="I83" s="85">
        <f t="shared" si="52"/>
        <v>0</v>
      </c>
      <c r="J83" s="85">
        <f t="shared" si="53"/>
        <v>0</v>
      </c>
      <c r="K83" s="85">
        <f t="shared" si="54"/>
        <v>0</v>
      </c>
      <c r="L83" s="85">
        <f t="shared" si="55"/>
        <v>0</v>
      </c>
      <c r="M83" s="17">
        <f t="shared" si="64"/>
        <v>0</v>
      </c>
      <c r="N83" s="85">
        <f t="shared" si="56"/>
        <v>0</v>
      </c>
      <c r="O83" s="85">
        <f t="shared" si="57"/>
        <v>0</v>
      </c>
      <c r="P83" s="85">
        <f t="shared" si="58"/>
        <v>0</v>
      </c>
      <c r="Q83" s="85">
        <f t="shared" si="59"/>
        <v>0</v>
      </c>
      <c r="R83" s="22">
        <f t="shared" si="65"/>
        <v>0</v>
      </c>
      <c r="S83" s="23">
        <f t="shared" si="60"/>
        <v>0</v>
      </c>
      <c r="T83" s="23">
        <f t="shared" si="61"/>
        <v>0</v>
      </c>
      <c r="U83" s="23">
        <f t="shared" si="62"/>
        <v>0</v>
      </c>
      <c r="W83" s="78" t="str">
        <f t="shared" si="66"/>
        <v>Other Tax Impact</v>
      </c>
      <c r="X83" s="64"/>
      <c r="Y83" s="64"/>
      <c r="Z83" s="64"/>
      <c r="AA83" s="64"/>
      <c r="AB83" s="60"/>
      <c r="AC83" s="64"/>
      <c r="AD83" s="64"/>
      <c r="AE83" s="64"/>
      <c r="AF83" s="64"/>
      <c r="AG83" s="60"/>
      <c r="AH83" s="64"/>
      <c r="AI83" s="64"/>
      <c r="AJ83" s="64"/>
    </row>
    <row r="84" spans="2:36" hidden="1" outlineLevel="1" x14ac:dyDescent="0.25">
      <c r="B84" s="229" t="s">
        <v>195</v>
      </c>
      <c r="C84" s="229" t="s">
        <v>195</v>
      </c>
      <c r="E84" s="78" t="s">
        <v>140</v>
      </c>
      <c r="F84" s="21">
        <f t="shared" si="63"/>
        <v>0</v>
      </c>
      <c r="G84" s="21">
        <f t="shared" si="63"/>
        <v>0</v>
      </c>
      <c r="H84" s="21">
        <f t="shared" si="63"/>
        <v>0</v>
      </c>
      <c r="I84" s="85">
        <f t="shared" si="52"/>
        <v>0</v>
      </c>
      <c r="J84" s="85">
        <f t="shared" si="53"/>
        <v>0</v>
      </c>
      <c r="K84" s="85">
        <f t="shared" si="54"/>
        <v>0</v>
      </c>
      <c r="L84" s="85">
        <f t="shared" si="55"/>
        <v>0</v>
      </c>
      <c r="M84" s="17">
        <f t="shared" si="64"/>
        <v>0</v>
      </c>
      <c r="N84" s="85">
        <f t="shared" si="56"/>
        <v>0</v>
      </c>
      <c r="O84" s="85">
        <f t="shared" si="57"/>
        <v>0</v>
      </c>
      <c r="P84" s="85">
        <f t="shared" si="58"/>
        <v>0</v>
      </c>
      <c r="Q84" s="85">
        <f t="shared" si="59"/>
        <v>0</v>
      </c>
      <c r="R84" s="22">
        <f t="shared" si="65"/>
        <v>0</v>
      </c>
      <c r="S84" s="23">
        <f t="shared" si="60"/>
        <v>0</v>
      </c>
      <c r="T84" s="23">
        <f t="shared" si="61"/>
        <v>0</v>
      </c>
      <c r="U84" s="23">
        <f t="shared" si="62"/>
        <v>0</v>
      </c>
      <c r="W84" s="78" t="str">
        <f t="shared" si="66"/>
        <v>Other Tax Impact</v>
      </c>
      <c r="X84" s="64"/>
      <c r="Y84" s="64"/>
      <c r="Z84" s="64"/>
      <c r="AA84" s="64"/>
      <c r="AB84" s="60"/>
      <c r="AC84" s="64"/>
      <c r="AD84" s="64"/>
      <c r="AE84" s="64"/>
      <c r="AF84" s="64"/>
      <c r="AG84" s="60"/>
      <c r="AH84" s="64"/>
      <c r="AI84" s="64"/>
      <c r="AJ84" s="64"/>
    </row>
    <row r="85" spans="2:36" hidden="1" outlineLevel="1" x14ac:dyDescent="0.25">
      <c r="B85" s="229" t="s">
        <v>195</v>
      </c>
      <c r="C85" s="229" t="s">
        <v>195</v>
      </c>
      <c r="E85" s="78" t="s">
        <v>140</v>
      </c>
      <c r="F85" s="21">
        <f t="shared" si="63"/>
        <v>0</v>
      </c>
      <c r="G85" s="21">
        <f t="shared" si="63"/>
        <v>0</v>
      </c>
      <c r="H85" s="21">
        <f t="shared" si="63"/>
        <v>0</v>
      </c>
      <c r="I85" s="85">
        <f t="shared" si="52"/>
        <v>0</v>
      </c>
      <c r="J85" s="85">
        <f t="shared" si="53"/>
        <v>0</v>
      </c>
      <c r="K85" s="85">
        <f t="shared" si="54"/>
        <v>0</v>
      </c>
      <c r="L85" s="85">
        <f t="shared" si="55"/>
        <v>0</v>
      </c>
      <c r="M85" s="17">
        <f t="shared" si="64"/>
        <v>0</v>
      </c>
      <c r="N85" s="85">
        <f t="shared" si="56"/>
        <v>0</v>
      </c>
      <c r="O85" s="85">
        <f t="shared" si="57"/>
        <v>0</v>
      </c>
      <c r="P85" s="85">
        <f t="shared" si="58"/>
        <v>0</v>
      </c>
      <c r="Q85" s="85">
        <f t="shared" si="59"/>
        <v>0</v>
      </c>
      <c r="R85" s="22">
        <f t="shared" si="65"/>
        <v>0</v>
      </c>
      <c r="S85" s="23">
        <f t="shared" si="60"/>
        <v>0</v>
      </c>
      <c r="T85" s="23">
        <f t="shared" si="61"/>
        <v>0</v>
      </c>
      <c r="U85" s="23">
        <f t="shared" si="62"/>
        <v>0</v>
      </c>
      <c r="W85" s="78" t="str">
        <f t="shared" si="66"/>
        <v>Other Tax Impact</v>
      </c>
      <c r="X85" s="64"/>
      <c r="Y85" s="64"/>
      <c r="Z85" s="64"/>
      <c r="AA85" s="64"/>
      <c r="AB85" s="60"/>
      <c r="AC85" s="64"/>
      <c r="AD85" s="64"/>
      <c r="AE85" s="64"/>
      <c r="AF85" s="64"/>
      <c r="AG85" s="60"/>
      <c r="AH85" s="64"/>
      <c r="AI85" s="64"/>
      <c r="AJ85" s="64"/>
    </row>
    <row r="86" spans="2:36" hidden="1" outlineLevel="1" x14ac:dyDescent="0.25">
      <c r="B86" s="229" t="s">
        <v>195</v>
      </c>
      <c r="C86" s="229" t="s">
        <v>195</v>
      </c>
      <c r="E86" s="78" t="s">
        <v>140</v>
      </c>
      <c r="F86" s="21">
        <f t="shared" si="63"/>
        <v>0</v>
      </c>
      <c r="G86" s="21">
        <f t="shared" si="63"/>
        <v>0</v>
      </c>
      <c r="H86" s="21">
        <f t="shared" si="63"/>
        <v>0</v>
      </c>
      <c r="I86" s="85">
        <f t="shared" si="52"/>
        <v>0</v>
      </c>
      <c r="J86" s="85">
        <f t="shared" si="53"/>
        <v>0</v>
      </c>
      <c r="K86" s="85">
        <f t="shared" si="54"/>
        <v>0</v>
      </c>
      <c r="L86" s="85">
        <f t="shared" si="55"/>
        <v>0</v>
      </c>
      <c r="M86" s="17">
        <f t="shared" si="64"/>
        <v>0</v>
      </c>
      <c r="N86" s="85">
        <f t="shared" si="56"/>
        <v>0</v>
      </c>
      <c r="O86" s="85">
        <f t="shared" si="57"/>
        <v>0</v>
      </c>
      <c r="P86" s="85">
        <f t="shared" si="58"/>
        <v>0</v>
      </c>
      <c r="Q86" s="85">
        <f t="shared" si="59"/>
        <v>0</v>
      </c>
      <c r="R86" s="22">
        <f t="shared" si="65"/>
        <v>0</v>
      </c>
      <c r="S86" s="23">
        <f t="shared" si="60"/>
        <v>0</v>
      </c>
      <c r="T86" s="23">
        <f t="shared" si="61"/>
        <v>0</v>
      </c>
      <c r="U86" s="23">
        <f t="shared" si="62"/>
        <v>0</v>
      </c>
      <c r="W86" s="78" t="str">
        <f t="shared" si="66"/>
        <v>Other Tax Impact</v>
      </c>
      <c r="X86" s="64"/>
      <c r="Y86" s="64"/>
      <c r="Z86" s="64"/>
      <c r="AA86" s="64"/>
      <c r="AB86" s="60"/>
      <c r="AC86" s="64"/>
      <c r="AD86" s="64"/>
      <c r="AE86" s="64"/>
      <c r="AF86" s="64"/>
      <c r="AG86" s="60"/>
      <c r="AH86" s="64"/>
      <c r="AI86" s="64"/>
      <c r="AJ86" s="64"/>
    </row>
    <row r="87" spans="2:36" hidden="1" outlineLevel="1" x14ac:dyDescent="0.25">
      <c r="B87" s="229" t="s">
        <v>195</v>
      </c>
      <c r="C87" s="229" t="s">
        <v>195</v>
      </c>
      <c r="E87" s="78" t="s">
        <v>140</v>
      </c>
      <c r="F87" s="21">
        <f t="shared" si="63"/>
        <v>0</v>
      </c>
      <c r="G87" s="21">
        <f t="shared" si="63"/>
        <v>0</v>
      </c>
      <c r="H87" s="21">
        <f t="shared" si="63"/>
        <v>0</v>
      </c>
      <c r="I87" s="85">
        <f t="shared" si="52"/>
        <v>0</v>
      </c>
      <c r="J87" s="85">
        <f t="shared" si="53"/>
        <v>0</v>
      </c>
      <c r="K87" s="85">
        <f t="shared" si="54"/>
        <v>0</v>
      </c>
      <c r="L87" s="85">
        <f t="shared" si="55"/>
        <v>0</v>
      </c>
      <c r="M87" s="17">
        <f t="shared" si="64"/>
        <v>0</v>
      </c>
      <c r="N87" s="85">
        <f t="shared" si="56"/>
        <v>0</v>
      </c>
      <c r="O87" s="85">
        <f t="shared" si="57"/>
        <v>0</v>
      </c>
      <c r="P87" s="85">
        <f t="shared" si="58"/>
        <v>0</v>
      </c>
      <c r="Q87" s="85">
        <f t="shared" si="59"/>
        <v>0</v>
      </c>
      <c r="R87" s="22">
        <f t="shared" si="65"/>
        <v>0</v>
      </c>
      <c r="S87" s="23">
        <f t="shared" si="60"/>
        <v>0</v>
      </c>
      <c r="T87" s="23">
        <f t="shared" si="61"/>
        <v>0</v>
      </c>
      <c r="U87" s="23">
        <f t="shared" si="62"/>
        <v>0</v>
      </c>
      <c r="W87" s="78" t="str">
        <f t="shared" si="66"/>
        <v>Other Tax Impact</v>
      </c>
      <c r="X87" s="64"/>
      <c r="Y87" s="64"/>
      <c r="Z87" s="64"/>
      <c r="AA87" s="64"/>
      <c r="AB87" s="60"/>
      <c r="AC87" s="64"/>
      <c r="AD87" s="64"/>
      <c r="AE87" s="64"/>
      <c r="AF87" s="64"/>
      <c r="AG87" s="60"/>
      <c r="AH87" s="64"/>
      <c r="AI87" s="64"/>
      <c r="AJ87" s="64"/>
    </row>
    <row r="88" spans="2:36" hidden="1" outlineLevel="1" x14ac:dyDescent="0.25">
      <c r="B88" s="229" t="s">
        <v>195</v>
      </c>
      <c r="C88" s="229" t="s">
        <v>195</v>
      </c>
      <c r="E88" s="78" t="s">
        <v>140</v>
      </c>
      <c r="F88" s="21">
        <f t="shared" si="63"/>
        <v>0</v>
      </c>
      <c r="G88" s="21">
        <f t="shared" si="63"/>
        <v>0</v>
      </c>
      <c r="H88" s="21">
        <f t="shared" si="63"/>
        <v>0</v>
      </c>
      <c r="I88" s="85">
        <f t="shared" si="52"/>
        <v>0</v>
      </c>
      <c r="J88" s="85">
        <f t="shared" si="53"/>
        <v>0</v>
      </c>
      <c r="K88" s="85">
        <f t="shared" si="54"/>
        <v>0</v>
      </c>
      <c r="L88" s="85">
        <f t="shared" si="55"/>
        <v>0</v>
      </c>
      <c r="M88" s="17">
        <f t="shared" si="64"/>
        <v>0</v>
      </c>
      <c r="N88" s="85">
        <f t="shared" si="56"/>
        <v>0</v>
      </c>
      <c r="O88" s="85">
        <f t="shared" si="57"/>
        <v>0</v>
      </c>
      <c r="P88" s="85">
        <f t="shared" si="58"/>
        <v>0</v>
      </c>
      <c r="Q88" s="85">
        <f t="shared" si="59"/>
        <v>0</v>
      </c>
      <c r="R88" s="22">
        <f t="shared" si="65"/>
        <v>0</v>
      </c>
      <c r="S88" s="23">
        <f t="shared" si="60"/>
        <v>0</v>
      </c>
      <c r="T88" s="23">
        <f t="shared" si="61"/>
        <v>0</v>
      </c>
      <c r="U88" s="23">
        <f t="shared" si="62"/>
        <v>0</v>
      </c>
      <c r="W88" s="78" t="str">
        <f t="shared" si="66"/>
        <v>Other Tax Impact</v>
      </c>
      <c r="X88" s="64"/>
      <c r="Y88" s="64"/>
      <c r="Z88" s="64"/>
      <c r="AA88" s="64"/>
      <c r="AB88" s="60"/>
      <c r="AC88" s="64"/>
      <c r="AD88" s="64"/>
      <c r="AE88" s="64"/>
      <c r="AF88" s="64"/>
      <c r="AG88" s="60"/>
      <c r="AH88" s="64"/>
      <c r="AI88" s="64"/>
      <c r="AJ88" s="64"/>
    </row>
    <row r="89" spans="2:36" hidden="1" outlineLevel="1" x14ac:dyDescent="0.25">
      <c r="B89" s="229" t="s">
        <v>195</v>
      </c>
      <c r="C89" s="229" t="s">
        <v>195</v>
      </c>
      <c r="E89" s="78" t="s">
        <v>140</v>
      </c>
      <c r="F89" s="21">
        <f t="shared" si="63"/>
        <v>0</v>
      </c>
      <c r="G89" s="21">
        <f t="shared" si="63"/>
        <v>0</v>
      </c>
      <c r="H89" s="21">
        <f t="shared" si="63"/>
        <v>0</v>
      </c>
      <c r="I89" s="85">
        <f t="shared" si="52"/>
        <v>0</v>
      </c>
      <c r="J89" s="85">
        <f t="shared" si="53"/>
        <v>0</v>
      </c>
      <c r="K89" s="85">
        <f t="shared" si="54"/>
        <v>0</v>
      </c>
      <c r="L89" s="85">
        <f t="shared" si="55"/>
        <v>0</v>
      </c>
      <c r="M89" s="17">
        <f t="shared" si="64"/>
        <v>0</v>
      </c>
      <c r="N89" s="85">
        <f t="shared" si="56"/>
        <v>0</v>
      </c>
      <c r="O89" s="85">
        <f t="shared" si="57"/>
        <v>0</v>
      </c>
      <c r="P89" s="85">
        <f t="shared" si="58"/>
        <v>0</v>
      </c>
      <c r="Q89" s="85">
        <f t="shared" si="59"/>
        <v>0</v>
      </c>
      <c r="R89" s="22">
        <f t="shared" si="65"/>
        <v>0</v>
      </c>
      <c r="S89" s="23">
        <f t="shared" si="60"/>
        <v>0</v>
      </c>
      <c r="T89" s="23">
        <f t="shared" si="61"/>
        <v>0</v>
      </c>
      <c r="U89" s="23">
        <f t="shared" si="62"/>
        <v>0</v>
      </c>
      <c r="W89" s="78" t="str">
        <f t="shared" si="66"/>
        <v>Other Tax Impact</v>
      </c>
      <c r="X89" s="64"/>
      <c r="Y89" s="64"/>
      <c r="Z89" s="64"/>
      <c r="AA89" s="64"/>
      <c r="AB89" s="60"/>
      <c r="AC89" s="64"/>
      <c r="AD89" s="64"/>
      <c r="AE89" s="64"/>
      <c r="AF89" s="64"/>
      <c r="AG89" s="60"/>
      <c r="AH89" s="64"/>
      <c r="AI89" s="64"/>
      <c r="AJ89" s="64"/>
    </row>
    <row r="90" spans="2:36" hidden="1" outlineLevel="1" x14ac:dyDescent="0.25">
      <c r="B90" s="229" t="s">
        <v>195</v>
      </c>
      <c r="C90" s="229" t="s">
        <v>195</v>
      </c>
      <c r="E90" s="78" t="s">
        <v>140</v>
      </c>
      <c r="F90" s="21">
        <f t="shared" si="63"/>
        <v>0</v>
      </c>
      <c r="G90" s="21">
        <f t="shared" si="63"/>
        <v>0</v>
      </c>
      <c r="H90" s="21">
        <f t="shared" si="63"/>
        <v>0</v>
      </c>
      <c r="I90" s="85">
        <f t="shared" si="52"/>
        <v>0</v>
      </c>
      <c r="J90" s="85">
        <f t="shared" si="53"/>
        <v>0</v>
      </c>
      <c r="K90" s="85">
        <f t="shared" si="54"/>
        <v>0</v>
      </c>
      <c r="L90" s="85">
        <f t="shared" si="55"/>
        <v>0</v>
      </c>
      <c r="M90" s="17">
        <f t="shared" si="64"/>
        <v>0</v>
      </c>
      <c r="N90" s="85">
        <f t="shared" si="56"/>
        <v>0</v>
      </c>
      <c r="O90" s="85">
        <f t="shared" si="57"/>
        <v>0</v>
      </c>
      <c r="P90" s="85">
        <f t="shared" si="58"/>
        <v>0</v>
      </c>
      <c r="Q90" s="85">
        <f t="shared" si="59"/>
        <v>0</v>
      </c>
      <c r="R90" s="22">
        <f t="shared" si="65"/>
        <v>0</v>
      </c>
      <c r="S90" s="23">
        <f t="shared" si="60"/>
        <v>0</v>
      </c>
      <c r="T90" s="23">
        <f t="shared" si="61"/>
        <v>0</v>
      </c>
      <c r="U90" s="23">
        <f t="shared" si="62"/>
        <v>0</v>
      </c>
      <c r="W90" s="78" t="str">
        <f t="shared" si="66"/>
        <v>Other Tax Impact</v>
      </c>
      <c r="X90" s="64"/>
      <c r="Y90" s="64"/>
      <c r="Z90" s="64"/>
      <c r="AA90" s="64"/>
      <c r="AB90" s="60"/>
      <c r="AC90" s="64"/>
      <c r="AD90" s="64"/>
      <c r="AE90" s="64"/>
      <c r="AF90" s="64"/>
      <c r="AG90" s="60"/>
      <c r="AH90" s="64"/>
      <c r="AI90" s="64"/>
      <c r="AJ90" s="64"/>
    </row>
    <row r="91" spans="2:36" ht="15.75" hidden="1" outlineLevel="1" thickBot="1" x14ac:dyDescent="0.3">
      <c r="E91" s="8" t="s">
        <v>27</v>
      </c>
      <c r="F91" s="9">
        <f>SUM(F81:F90)</f>
        <v>0</v>
      </c>
      <c r="G91" s="9">
        <f t="shared" ref="G91:U91" si="67">SUM(G81:G90)</f>
        <v>0</v>
      </c>
      <c r="H91" s="9">
        <f t="shared" si="67"/>
        <v>0</v>
      </c>
      <c r="I91" s="86">
        <f t="shared" si="67"/>
        <v>0</v>
      </c>
      <c r="J91" s="86">
        <f t="shared" si="67"/>
        <v>0</v>
      </c>
      <c r="K91" s="86">
        <f t="shared" si="67"/>
        <v>0</v>
      </c>
      <c r="L91" s="86">
        <f t="shared" si="67"/>
        <v>0</v>
      </c>
      <c r="M91" s="18">
        <f t="shared" si="67"/>
        <v>0</v>
      </c>
      <c r="N91" s="86">
        <f t="shared" si="67"/>
        <v>0</v>
      </c>
      <c r="O91" s="86">
        <f t="shared" si="67"/>
        <v>0</v>
      </c>
      <c r="P91" s="86">
        <f t="shared" si="67"/>
        <v>0</v>
      </c>
      <c r="Q91" s="86">
        <f t="shared" si="67"/>
        <v>0</v>
      </c>
      <c r="R91" s="19">
        <f t="shared" si="67"/>
        <v>0</v>
      </c>
      <c r="S91" s="20">
        <f t="shared" si="67"/>
        <v>0</v>
      </c>
      <c r="T91" s="20">
        <f t="shared" si="67"/>
        <v>0</v>
      </c>
      <c r="U91" s="20">
        <f t="shared" si="67"/>
        <v>0</v>
      </c>
    </row>
    <row r="92" spans="2:36" ht="15.75" hidden="1" outlineLevel="1" thickTop="1" x14ac:dyDescent="0.25"/>
    <row r="93" spans="2:36" hidden="1" outlineLevel="1" x14ac:dyDescent="0.25"/>
    <row r="94" spans="2:36" hidden="1" outlineLevel="1" x14ac:dyDescent="0.25"/>
    <row r="95" spans="2:36" ht="18.75" collapsed="1" x14ac:dyDescent="0.3">
      <c r="B95" s="4" t="s">
        <v>34</v>
      </c>
      <c r="C95" s="4" t="s">
        <v>387</v>
      </c>
      <c r="E95" s="53" t="str">
        <f>"Scenario 5: "&amp;Inputs!B26</f>
        <v>Scenario 5: Scenario 5</v>
      </c>
      <c r="F95" s="49"/>
      <c r="G95" s="49"/>
      <c r="H95" s="49"/>
      <c r="I95" s="49"/>
      <c r="J95" s="49"/>
      <c r="K95" s="49"/>
      <c r="L95" s="49"/>
      <c r="M95" s="49"/>
      <c r="N95" s="49"/>
      <c r="O95" s="49"/>
      <c r="P95" s="49"/>
      <c r="Q95" s="49"/>
      <c r="R95" s="49"/>
      <c r="S95" s="49"/>
      <c r="T95" s="49"/>
      <c r="U95" s="49"/>
    </row>
    <row r="96" spans="2:36" hidden="1" outlineLevel="1" x14ac:dyDescent="0.25">
      <c r="E96" s="52" t="str">
        <f>Inputs!C26</f>
        <v>Scenario 5 Description</v>
      </c>
    </row>
    <row r="97" spans="2:36" hidden="1" outlineLevel="1" x14ac:dyDescent="0.25"/>
    <row r="98" spans="2:36" hidden="1" outlineLevel="1" x14ac:dyDescent="0.25"/>
    <row r="99" spans="2:36" hidden="1" outlineLevel="1" x14ac:dyDescent="0.25">
      <c r="E99" s="4" t="s">
        <v>137</v>
      </c>
      <c r="W99" s="4" t="str">
        <f>E99</f>
        <v>Tax Impact</v>
      </c>
    </row>
    <row r="100" spans="2:36" hidden="1" outlineLevel="1" x14ac:dyDescent="0.25">
      <c r="E100" s="6" t="s">
        <v>25</v>
      </c>
      <c r="W100" s="61" t="s">
        <v>62</v>
      </c>
    </row>
    <row r="101" spans="2:36" hidden="1" outlineLevel="1" x14ac:dyDescent="0.25"/>
    <row r="102" spans="2:36" hidden="1" outlineLevel="1" x14ac:dyDescent="0.25">
      <c r="F102" s="12">
        <f>Inputs!$C$7</f>
        <v>2023</v>
      </c>
      <c r="G102" s="12">
        <f>Inputs!$C$8</f>
        <v>2024</v>
      </c>
      <c r="H102" s="12">
        <f>Inputs!$C$9</f>
        <v>2025</v>
      </c>
      <c r="I102" s="13" t="s">
        <v>1</v>
      </c>
      <c r="J102" s="13" t="s">
        <v>2</v>
      </c>
      <c r="K102" s="13" t="s">
        <v>3</v>
      </c>
      <c r="L102" s="13" t="s">
        <v>4</v>
      </c>
      <c r="M102" s="13">
        <f>Inputs!$C$10</f>
        <v>2026</v>
      </c>
      <c r="N102" s="14" t="s">
        <v>1</v>
      </c>
      <c r="O102" s="14" t="s">
        <v>2</v>
      </c>
      <c r="P102" s="14" t="s">
        <v>3</v>
      </c>
      <c r="Q102" s="14" t="s">
        <v>4</v>
      </c>
      <c r="R102" s="15">
        <f>Inputs!$C$11</f>
        <v>2027</v>
      </c>
      <c r="S102" s="16">
        <f>Inputs!$C$12</f>
        <v>2028</v>
      </c>
      <c r="T102" s="16">
        <f>Inputs!$C$13</f>
        <v>2029</v>
      </c>
      <c r="U102" s="16">
        <f>Inputs!$C$14</f>
        <v>2030</v>
      </c>
      <c r="X102" s="13" t="s">
        <v>1</v>
      </c>
      <c r="Y102" s="13" t="s">
        <v>2</v>
      </c>
      <c r="Z102" s="13" t="s">
        <v>3</v>
      </c>
      <c r="AA102" s="13" t="s">
        <v>4</v>
      </c>
      <c r="AB102" s="13">
        <f>Inputs!$C$10</f>
        <v>2026</v>
      </c>
      <c r="AC102" s="14" t="s">
        <v>1</v>
      </c>
      <c r="AD102" s="14" t="s">
        <v>2</v>
      </c>
      <c r="AE102" s="14" t="s">
        <v>3</v>
      </c>
      <c r="AF102" s="14" t="s">
        <v>4</v>
      </c>
      <c r="AG102" s="15">
        <f>Inputs!$C$11</f>
        <v>2027</v>
      </c>
      <c r="AH102" s="16">
        <f>Inputs!$C$12</f>
        <v>2028</v>
      </c>
      <c r="AI102" s="16">
        <f>Inputs!$C$13</f>
        <v>2029</v>
      </c>
      <c r="AJ102" s="16">
        <f>Inputs!$C$14</f>
        <v>2030</v>
      </c>
    </row>
    <row r="103" spans="2:36" hidden="1" outlineLevel="1" x14ac:dyDescent="0.25">
      <c r="F103" s="71" t="s">
        <v>63</v>
      </c>
      <c r="G103" s="71" t="s">
        <v>63</v>
      </c>
      <c r="H103" s="71" t="s">
        <v>63</v>
      </c>
      <c r="I103" s="71" t="s">
        <v>63</v>
      </c>
      <c r="J103" s="71" t="s">
        <v>63</v>
      </c>
      <c r="K103" s="71" t="s">
        <v>63</v>
      </c>
      <c r="L103" s="71" t="s">
        <v>63</v>
      </c>
      <c r="M103" s="71" t="s">
        <v>63</v>
      </c>
      <c r="N103" s="71" t="s">
        <v>63</v>
      </c>
      <c r="O103" s="71" t="s">
        <v>63</v>
      </c>
      <c r="P103" s="71" t="s">
        <v>63</v>
      </c>
      <c r="Q103" s="71" t="s">
        <v>63</v>
      </c>
      <c r="R103" s="71" t="s">
        <v>63</v>
      </c>
      <c r="S103" s="71" t="s">
        <v>63</v>
      </c>
      <c r="T103" s="71" t="s">
        <v>63</v>
      </c>
      <c r="U103" s="71" t="s">
        <v>63</v>
      </c>
      <c r="X103" s="63" t="s">
        <v>30</v>
      </c>
      <c r="Y103" s="63" t="s">
        <v>30</v>
      </c>
      <c r="Z103" s="63" t="s">
        <v>30</v>
      </c>
      <c r="AA103" s="63" t="s">
        <v>30</v>
      </c>
      <c r="AB103" s="62"/>
      <c r="AC103" s="63" t="s">
        <v>30</v>
      </c>
      <c r="AD103" s="63" t="s">
        <v>30</v>
      </c>
      <c r="AE103" s="63" t="s">
        <v>30</v>
      </c>
      <c r="AF103" s="63" t="s">
        <v>30</v>
      </c>
      <c r="AG103" s="62"/>
      <c r="AH103" s="63" t="s">
        <v>30</v>
      </c>
      <c r="AI103" s="63" t="s">
        <v>30</v>
      </c>
      <c r="AJ103" s="63" t="s">
        <v>30</v>
      </c>
    </row>
    <row r="104" spans="2:36" hidden="1" outlineLevel="1" x14ac:dyDescent="0.25">
      <c r="B104" s="229" t="s">
        <v>195</v>
      </c>
      <c r="C104" s="229" t="s">
        <v>195</v>
      </c>
      <c r="E104" s="78" t="s">
        <v>138</v>
      </c>
      <c r="F104" s="21">
        <f>F127</f>
        <v>0</v>
      </c>
      <c r="G104" s="21">
        <f t="shared" ref="G104:H104" si="68">G127</f>
        <v>0</v>
      </c>
      <c r="H104" s="21">
        <f t="shared" si="68"/>
        <v>0</v>
      </c>
      <c r="I104" s="85">
        <f t="shared" ref="I104:I113" si="69">IF(X104="",I127,X104)</f>
        <v>0</v>
      </c>
      <c r="J104" s="85">
        <f t="shared" ref="J104:J113" si="70">IF(Y104="",J127,Y104)</f>
        <v>0</v>
      </c>
      <c r="K104" s="85">
        <f t="shared" ref="K104:K113" si="71">IF(Z104="",K127,Z104)</f>
        <v>0</v>
      </c>
      <c r="L104" s="85">
        <f t="shared" ref="L104:L113" si="72">IF(AA104="",L127,AA104)</f>
        <v>0</v>
      </c>
      <c r="M104" s="17">
        <f>SUM(I104:L104)</f>
        <v>0</v>
      </c>
      <c r="N104" s="85">
        <f t="shared" ref="N104:N113" si="73">IF(AC104="",N127,AC104)</f>
        <v>0</v>
      </c>
      <c r="O104" s="85">
        <f t="shared" ref="O104:O113" si="74">IF(AD104="",O127,AD104)</f>
        <v>0</v>
      </c>
      <c r="P104" s="85">
        <f t="shared" ref="P104:P113" si="75">IF(AE104="",P127,AE104)</f>
        <v>0</v>
      </c>
      <c r="Q104" s="85">
        <f t="shared" ref="Q104:Q113" si="76">IF(AF104="",Q127,AF104)</f>
        <v>0</v>
      </c>
      <c r="R104" s="22">
        <f>SUM(N104:Q104)</f>
        <v>0</v>
      </c>
      <c r="S104" s="23">
        <f t="shared" ref="S104:S113" si="77">IF(AH104="",S127,AH104)</f>
        <v>0</v>
      </c>
      <c r="T104" s="23">
        <f t="shared" ref="T104:T113" si="78">IF(AI104="",T127,AI104)</f>
        <v>0</v>
      </c>
      <c r="U104" s="23">
        <f t="shared" ref="U104:U113" si="79">IF(AJ104="",U127,AJ104)</f>
        <v>0</v>
      </c>
      <c r="W104" s="78" t="str">
        <f>E104</f>
        <v>Corp Tax on EBT</v>
      </c>
      <c r="X104" s="64"/>
      <c r="Y104" s="64"/>
      <c r="Z104" s="64"/>
      <c r="AA104" s="64"/>
      <c r="AB104" s="60"/>
      <c r="AC104" s="64"/>
      <c r="AD104" s="64"/>
      <c r="AE104" s="64"/>
      <c r="AF104" s="64"/>
      <c r="AG104" s="60"/>
      <c r="AH104" s="64"/>
      <c r="AI104" s="64"/>
      <c r="AJ104" s="64"/>
    </row>
    <row r="105" spans="2:36" hidden="1" outlineLevel="1" x14ac:dyDescent="0.25">
      <c r="B105" s="229" t="s">
        <v>195</v>
      </c>
      <c r="C105" s="229" t="s">
        <v>195</v>
      </c>
      <c r="E105" s="78" t="s">
        <v>139</v>
      </c>
      <c r="F105" s="21">
        <f t="shared" ref="F105:H113" si="80">F128</f>
        <v>0</v>
      </c>
      <c r="G105" s="21">
        <f t="shared" si="80"/>
        <v>0</v>
      </c>
      <c r="H105" s="21">
        <f t="shared" si="80"/>
        <v>0</v>
      </c>
      <c r="I105" s="85">
        <f t="shared" si="69"/>
        <v>0</v>
      </c>
      <c r="J105" s="85">
        <f t="shared" si="70"/>
        <v>0</v>
      </c>
      <c r="K105" s="85">
        <f t="shared" si="71"/>
        <v>0</v>
      </c>
      <c r="L105" s="85">
        <f t="shared" si="72"/>
        <v>0</v>
      </c>
      <c r="M105" s="17">
        <f t="shared" ref="M105:M113" si="81">SUM(I105:L105)</f>
        <v>0</v>
      </c>
      <c r="N105" s="85">
        <f t="shared" si="73"/>
        <v>0</v>
      </c>
      <c r="O105" s="85">
        <f t="shared" si="74"/>
        <v>0</v>
      </c>
      <c r="P105" s="85">
        <f t="shared" si="75"/>
        <v>0</v>
      </c>
      <c r="Q105" s="85">
        <f t="shared" si="76"/>
        <v>0</v>
      </c>
      <c r="R105" s="22">
        <f t="shared" ref="R105:R113" si="82">SUM(N105:Q105)</f>
        <v>0</v>
      </c>
      <c r="S105" s="23">
        <f t="shared" si="77"/>
        <v>0</v>
      </c>
      <c r="T105" s="23">
        <f t="shared" si="78"/>
        <v>0</v>
      </c>
      <c r="U105" s="23">
        <f t="shared" si="79"/>
        <v>0</v>
      </c>
      <c r="W105" s="78" t="str">
        <f t="shared" ref="W105:W113" si="83">E105</f>
        <v>Tax Credits Available</v>
      </c>
      <c r="X105" s="64"/>
      <c r="Y105" s="64"/>
      <c r="Z105" s="64"/>
      <c r="AA105" s="64"/>
      <c r="AB105" s="60"/>
      <c r="AC105" s="64"/>
      <c r="AD105" s="64"/>
      <c r="AE105" s="64"/>
      <c r="AF105" s="64"/>
      <c r="AG105" s="60"/>
      <c r="AH105" s="64"/>
      <c r="AI105" s="64"/>
      <c r="AJ105" s="64"/>
    </row>
    <row r="106" spans="2:36" hidden="1" outlineLevel="1" x14ac:dyDescent="0.25">
      <c r="B106" s="229" t="s">
        <v>195</v>
      </c>
      <c r="C106" s="229" t="s">
        <v>195</v>
      </c>
      <c r="E106" s="78" t="s">
        <v>140</v>
      </c>
      <c r="F106" s="21">
        <f t="shared" si="80"/>
        <v>0</v>
      </c>
      <c r="G106" s="21">
        <f t="shared" si="80"/>
        <v>0</v>
      </c>
      <c r="H106" s="21">
        <f t="shared" si="80"/>
        <v>0</v>
      </c>
      <c r="I106" s="85">
        <f t="shared" si="69"/>
        <v>0</v>
      </c>
      <c r="J106" s="85">
        <f t="shared" si="70"/>
        <v>0</v>
      </c>
      <c r="K106" s="85">
        <f t="shared" si="71"/>
        <v>0</v>
      </c>
      <c r="L106" s="85">
        <f t="shared" si="72"/>
        <v>0</v>
      </c>
      <c r="M106" s="17">
        <f t="shared" si="81"/>
        <v>0</v>
      </c>
      <c r="N106" s="85">
        <f t="shared" si="73"/>
        <v>0</v>
      </c>
      <c r="O106" s="85">
        <f t="shared" si="74"/>
        <v>0</v>
      </c>
      <c r="P106" s="85">
        <f t="shared" si="75"/>
        <v>0</v>
      </c>
      <c r="Q106" s="85">
        <f t="shared" si="76"/>
        <v>0</v>
      </c>
      <c r="R106" s="22">
        <f t="shared" si="82"/>
        <v>0</v>
      </c>
      <c r="S106" s="23">
        <f t="shared" si="77"/>
        <v>0</v>
      </c>
      <c r="T106" s="23">
        <f t="shared" si="78"/>
        <v>0</v>
      </c>
      <c r="U106" s="23">
        <f t="shared" si="79"/>
        <v>0</v>
      </c>
      <c r="W106" s="78" t="str">
        <f t="shared" si="83"/>
        <v>Other Tax Impact</v>
      </c>
      <c r="X106" s="64"/>
      <c r="Y106" s="64"/>
      <c r="Z106" s="64"/>
      <c r="AA106" s="64"/>
      <c r="AB106" s="60"/>
      <c r="AC106" s="64"/>
      <c r="AD106" s="64"/>
      <c r="AE106" s="64"/>
      <c r="AF106" s="64"/>
      <c r="AG106" s="60"/>
      <c r="AH106" s="64"/>
      <c r="AI106" s="64"/>
      <c r="AJ106" s="64"/>
    </row>
    <row r="107" spans="2:36" hidden="1" outlineLevel="1" x14ac:dyDescent="0.25">
      <c r="B107" s="229" t="s">
        <v>195</v>
      </c>
      <c r="C107" s="229" t="s">
        <v>195</v>
      </c>
      <c r="E107" s="78" t="s">
        <v>140</v>
      </c>
      <c r="F107" s="21">
        <f t="shared" si="80"/>
        <v>0</v>
      </c>
      <c r="G107" s="21">
        <f t="shared" si="80"/>
        <v>0</v>
      </c>
      <c r="H107" s="21">
        <f t="shared" si="80"/>
        <v>0</v>
      </c>
      <c r="I107" s="85">
        <f t="shared" si="69"/>
        <v>0</v>
      </c>
      <c r="J107" s="85">
        <f t="shared" si="70"/>
        <v>0</v>
      </c>
      <c r="K107" s="85">
        <f t="shared" si="71"/>
        <v>0</v>
      </c>
      <c r="L107" s="85">
        <f t="shared" si="72"/>
        <v>0</v>
      </c>
      <c r="M107" s="17">
        <f t="shared" si="81"/>
        <v>0</v>
      </c>
      <c r="N107" s="85">
        <f t="shared" si="73"/>
        <v>0</v>
      </c>
      <c r="O107" s="85">
        <f t="shared" si="74"/>
        <v>0</v>
      </c>
      <c r="P107" s="85">
        <f t="shared" si="75"/>
        <v>0</v>
      </c>
      <c r="Q107" s="85">
        <f t="shared" si="76"/>
        <v>0</v>
      </c>
      <c r="R107" s="22">
        <f t="shared" si="82"/>
        <v>0</v>
      </c>
      <c r="S107" s="23">
        <f t="shared" si="77"/>
        <v>0</v>
      </c>
      <c r="T107" s="23">
        <f t="shared" si="78"/>
        <v>0</v>
      </c>
      <c r="U107" s="23">
        <f t="shared" si="79"/>
        <v>0</v>
      </c>
      <c r="W107" s="78" t="str">
        <f t="shared" si="83"/>
        <v>Other Tax Impact</v>
      </c>
      <c r="X107" s="64"/>
      <c r="Y107" s="64"/>
      <c r="Z107" s="64"/>
      <c r="AA107" s="64"/>
      <c r="AB107" s="60"/>
      <c r="AC107" s="64"/>
      <c r="AD107" s="64"/>
      <c r="AE107" s="64"/>
      <c r="AF107" s="64"/>
      <c r="AG107" s="60"/>
      <c r="AH107" s="64"/>
      <c r="AI107" s="64"/>
      <c r="AJ107" s="64"/>
    </row>
    <row r="108" spans="2:36" hidden="1" outlineLevel="1" x14ac:dyDescent="0.25">
      <c r="B108" s="229" t="s">
        <v>195</v>
      </c>
      <c r="C108" s="229" t="s">
        <v>195</v>
      </c>
      <c r="E108" s="78" t="s">
        <v>140</v>
      </c>
      <c r="F108" s="21">
        <f t="shared" si="80"/>
        <v>0</v>
      </c>
      <c r="G108" s="21">
        <f t="shared" si="80"/>
        <v>0</v>
      </c>
      <c r="H108" s="21">
        <f t="shared" si="80"/>
        <v>0</v>
      </c>
      <c r="I108" s="85">
        <f t="shared" si="69"/>
        <v>0</v>
      </c>
      <c r="J108" s="85">
        <f t="shared" si="70"/>
        <v>0</v>
      </c>
      <c r="K108" s="85">
        <f t="shared" si="71"/>
        <v>0</v>
      </c>
      <c r="L108" s="85">
        <f t="shared" si="72"/>
        <v>0</v>
      </c>
      <c r="M108" s="17">
        <f t="shared" si="81"/>
        <v>0</v>
      </c>
      <c r="N108" s="85">
        <f t="shared" si="73"/>
        <v>0</v>
      </c>
      <c r="O108" s="85">
        <f t="shared" si="74"/>
        <v>0</v>
      </c>
      <c r="P108" s="85">
        <f t="shared" si="75"/>
        <v>0</v>
      </c>
      <c r="Q108" s="85">
        <f t="shared" si="76"/>
        <v>0</v>
      </c>
      <c r="R108" s="22">
        <f t="shared" si="82"/>
        <v>0</v>
      </c>
      <c r="S108" s="23">
        <f t="shared" si="77"/>
        <v>0</v>
      </c>
      <c r="T108" s="23">
        <f t="shared" si="78"/>
        <v>0</v>
      </c>
      <c r="U108" s="23">
        <f t="shared" si="79"/>
        <v>0</v>
      </c>
      <c r="W108" s="78" t="str">
        <f t="shared" si="83"/>
        <v>Other Tax Impact</v>
      </c>
      <c r="X108" s="64"/>
      <c r="Y108" s="64"/>
      <c r="Z108" s="64"/>
      <c r="AA108" s="64"/>
      <c r="AB108" s="60"/>
      <c r="AC108" s="64"/>
      <c r="AD108" s="64"/>
      <c r="AE108" s="64"/>
      <c r="AF108" s="64"/>
      <c r="AG108" s="60"/>
      <c r="AH108" s="64"/>
      <c r="AI108" s="64"/>
      <c r="AJ108" s="64"/>
    </row>
    <row r="109" spans="2:36" hidden="1" outlineLevel="1" x14ac:dyDescent="0.25">
      <c r="B109" s="229" t="s">
        <v>195</v>
      </c>
      <c r="C109" s="229" t="s">
        <v>195</v>
      </c>
      <c r="E109" s="78" t="s">
        <v>140</v>
      </c>
      <c r="F109" s="21">
        <f t="shared" si="80"/>
        <v>0</v>
      </c>
      <c r="G109" s="21">
        <f t="shared" si="80"/>
        <v>0</v>
      </c>
      <c r="H109" s="21">
        <f t="shared" si="80"/>
        <v>0</v>
      </c>
      <c r="I109" s="85">
        <f t="shared" si="69"/>
        <v>0</v>
      </c>
      <c r="J109" s="85">
        <f t="shared" si="70"/>
        <v>0</v>
      </c>
      <c r="K109" s="85">
        <f t="shared" si="71"/>
        <v>0</v>
      </c>
      <c r="L109" s="85">
        <f t="shared" si="72"/>
        <v>0</v>
      </c>
      <c r="M109" s="17">
        <f t="shared" si="81"/>
        <v>0</v>
      </c>
      <c r="N109" s="85">
        <f t="shared" si="73"/>
        <v>0</v>
      </c>
      <c r="O109" s="85">
        <f t="shared" si="74"/>
        <v>0</v>
      </c>
      <c r="P109" s="85">
        <f t="shared" si="75"/>
        <v>0</v>
      </c>
      <c r="Q109" s="85">
        <f t="shared" si="76"/>
        <v>0</v>
      </c>
      <c r="R109" s="22">
        <f t="shared" si="82"/>
        <v>0</v>
      </c>
      <c r="S109" s="23">
        <f t="shared" si="77"/>
        <v>0</v>
      </c>
      <c r="T109" s="23">
        <f t="shared" si="78"/>
        <v>0</v>
      </c>
      <c r="U109" s="23">
        <f t="shared" si="79"/>
        <v>0</v>
      </c>
      <c r="W109" s="78" t="str">
        <f t="shared" si="83"/>
        <v>Other Tax Impact</v>
      </c>
      <c r="X109" s="64"/>
      <c r="Y109" s="64"/>
      <c r="Z109" s="64"/>
      <c r="AA109" s="64"/>
      <c r="AB109" s="60"/>
      <c r="AC109" s="64"/>
      <c r="AD109" s="64"/>
      <c r="AE109" s="64"/>
      <c r="AF109" s="64"/>
      <c r="AG109" s="60"/>
      <c r="AH109" s="64"/>
      <c r="AI109" s="64"/>
      <c r="AJ109" s="64"/>
    </row>
    <row r="110" spans="2:36" hidden="1" outlineLevel="1" x14ac:dyDescent="0.25">
      <c r="B110" s="229" t="s">
        <v>195</v>
      </c>
      <c r="C110" s="229" t="s">
        <v>195</v>
      </c>
      <c r="E110" s="78" t="s">
        <v>140</v>
      </c>
      <c r="F110" s="21">
        <f t="shared" si="80"/>
        <v>0</v>
      </c>
      <c r="G110" s="21">
        <f t="shared" si="80"/>
        <v>0</v>
      </c>
      <c r="H110" s="21">
        <f t="shared" si="80"/>
        <v>0</v>
      </c>
      <c r="I110" s="85">
        <f t="shared" si="69"/>
        <v>0</v>
      </c>
      <c r="J110" s="85">
        <f t="shared" si="70"/>
        <v>0</v>
      </c>
      <c r="K110" s="85">
        <f t="shared" si="71"/>
        <v>0</v>
      </c>
      <c r="L110" s="85">
        <f t="shared" si="72"/>
        <v>0</v>
      </c>
      <c r="M110" s="17">
        <f t="shared" si="81"/>
        <v>0</v>
      </c>
      <c r="N110" s="85">
        <f t="shared" si="73"/>
        <v>0</v>
      </c>
      <c r="O110" s="85">
        <f t="shared" si="74"/>
        <v>0</v>
      </c>
      <c r="P110" s="85">
        <f t="shared" si="75"/>
        <v>0</v>
      </c>
      <c r="Q110" s="85">
        <f t="shared" si="76"/>
        <v>0</v>
      </c>
      <c r="R110" s="22">
        <f t="shared" si="82"/>
        <v>0</v>
      </c>
      <c r="S110" s="23">
        <f t="shared" si="77"/>
        <v>0</v>
      </c>
      <c r="T110" s="23">
        <f t="shared" si="78"/>
        <v>0</v>
      </c>
      <c r="U110" s="23">
        <f t="shared" si="79"/>
        <v>0</v>
      </c>
      <c r="W110" s="78" t="str">
        <f t="shared" si="83"/>
        <v>Other Tax Impact</v>
      </c>
      <c r="X110" s="64"/>
      <c r="Y110" s="64"/>
      <c r="Z110" s="64"/>
      <c r="AA110" s="64"/>
      <c r="AB110" s="60"/>
      <c r="AC110" s="64"/>
      <c r="AD110" s="64"/>
      <c r="AE110" s="64"/>
      <c r="AF110" s="64"/>
      <c r="AG110" s="60"/>
      <c r="AH110" s="64"/>
      <c r="AI110" s="64"/>
      <c r="AJ110" s="64"/>
    </row>
    <row r="111" spans="2:36" hidden="1" outlineLevel="1" x14ac:dyDescent="0.25">
      <c r="B111" s="229" t="s">
        <v>195</v>
      </c>
      <c r="C111" s="229" t="s">
        <v>195</v>
      </c>
      <c r="E111" s="78" t="s">
        <v>140</v>
      </c>
      <c r="F111" s="21">
        <f t="shared" si="80"/>
        <v>0</v>
      </c>
      <c r="G111" s="21">
        <f t="shared" si="80"/>
        <v>0</v>
      </c>
      <c r="H111" s="21">
        <f t="shared" si="80"/>
        <v>0</v>
      </c>
      <c r="I111" s="85">
        <f t="shared" si="69"/>
        <v>0</v>
      </c>
      <c r="J111" s="85">
        <f t="shared" si="70"/>
        <v>0</v>
      </c>
      <c r="K111" s="85">
        <f t="shared" si="71"/>
        <v>0</v>
      </c>
      <c r="L111" s="85">
        <f t="shared" si="72"/>
        <v>0</v>
      </c>
      <c r="M111" s="17">
        <f t="shared" si="81"/>
        <v>0</v>
      </c>
      <c r="N111" s="85">
        <f t="shared" si="73"/>
        <v>0</v>
      </c>
      <c r="O111" s="85">
        <f t="shared" si="74"/>
        <v>0</v>
      </c>
      <c r="P111" s="85">
        <f t="shared" si="75"/>
        <v>0</v>
      </c>
      <c r="Q111" s="85">
        <f t="shared" si="76"/>
        <v>0</v>
      </c>
      <c r="R111" s="22">
        <f t="shared" si="82"/>
        <v>0</v>
      </c>
      <c r="S111" s="23">
        <f t="shared" si="77"/>
        <v>0</v>
      </c>
      <c r="T111" s="23">
        <f t="shared" si="78"/>
        <v>0</v>
      </c>
      <c r="U111" s="23">
        <f t="shared" si="79"/>
        <v>0</v>
      </c>
      <c r="W111" s="78" t="str">
        <f t="shared" si="83"/>
        <v>Other Tax Impact</v>
      </c>
      <c r="X111" s="64"/>
      <c r="Y111" s="64"/>
      <c r="Z111" s="64"/>
      <c r="AA111" s="64"/>
      <c r="AB111" s="60"/>
      <c r="AC111" s="64"/>
      <c r="AD111" s="64"/>
      <c r="AE111" s="64"/>
      <c r="AF111" s="64"/>
      <c r="AG111" s="60"/>
      <c r="AH111" s="64"/>
      <c r="AI111" s="64"/>
      <c r="AJ111" s="64"/>
    </row>
    <row r="112" spans="2:36" hidden="1" outlineLevel="1" x14ac:dyDescent="0.25">
      <c r="B112" s="229" t="s">
        <v>195</v>
      </c>
      <c r="C112" s="229" t="s">
        <v>195</v>
      </c>
      <c r="E112" s="78" t="s">
        <v>140</v>
      </c>
      <c r="F112" s="21">
        <f t="shared" si="80"/>
        <v>0</v>
      </c>
      <c r="G112" s="21">
        <f t="shared" si="80"/>
        <v>0</v>
      </c>
      <c r="H112" s="21">
        <f t="shared" si="80"/>
        <v>0</v>
      </c>
      <c r="I112" s="85">
        <f t="shared" si="69"/>
        <v>0</v>
      </c>
      <c r="J112" s="85">
        <f t="shared" si="70"/>
        <v>0</v>
      </c>
      <c r="K112" s="85">
        <f t="shared" si="71"/>
        <v>0</v>
      </c>
      <c r="L112" s="85">
        <f t="shared" si="72"/>
        <v>0</v>
      </c>
      <c r="M112" s="17">
        <f t="shared" si="81"/>
        <v>0</v>
      </c>
      <c r="N112" s="85">
        <f t="shared" si="73"/>
        <v>0</v>
      </c>
      <c r="O112" s="85">
        <f t="shared" si="74"/>
        <v>0</v>
      </c>
      <c r="P112" s="85">
        <f t="shared" si="75"/>
        <v>0</v>
      </c>
      <c r="Q112" s="85">
        <f t="shared" si="76"/>
        <v>0</v>
      </c>
      <c r="R112" s="22">
        <f t="shared" si="82"/>
        <v>0</v>
      </c>
      <c r="S112" s="23">
        <f t="shared" si="77"/>
        <v>0</v>
      </c>
      <c r="T112" s="23">
        <f t="shared" si="78"/>
        <v>0</v>
      </c>
      <c r="U112" s="23">
        <f t="shared" si="79"/>
        <v>0</v>
      </c>
      <c r="W112" s="78" t="str">
        <f t="shared" si="83"/>
        <v>Other Tax Impact</v>
      </c>
      <c r="X112" s="64"/>
      <c r="Y112" s="64"/>
      <c r="Z112" s="64"/>
      <c r="AA112" s="64"/>
      <c r="AB112" s="60"/>
      <c r="AC112" s="64"/>
      <c r="AD112" s="64"/>
      <c r="AE112" s="64"/>
      <c r="AF112" s="64"/>
      <c r="AG112" s="60"/>
      <c r="AH112" s="64"/>
      <c r="AI112" s="64"/>
      <c r="AJ112" s="64"/>
    </row>
    <row r="113" spans="2:36" hidden="1" outlineLevel="1" x14ac:dyDescent="0.25">
      <c r="B113" s="229" t="s">
        <v>195</v>
      </c>
      <c r="C113" s="229" t="s">
        <v>195</v>
      </c>
      <c r="E113" s="78" t="s">
        <v>140</v>
      </c>
      <c r="F113" s="21">
        <f t="shared" si="80"/>
        <v>0</v>
      </c>
      <c r="G113" s="21">
        <f t="shared" si="80"/>
        <v>0</v>
      </c>
      <c r="H113" s="21">
        <f t="shared" si="80"/>
        <v>0</v>
      </c>
      <c r="I113" s="85">
        <f t="shared" si="69"/>
        <v>0</v>
      </c>
      <c r="J113" s="85">
        <f t="shared" si="70"/>
        <v>0</v>
      </c>
      <c r="K113" s="85">
        <f t="shared" si="71"/>
        <v>0</v>
      </c>
      <c r="L113" s="85">
        <f t="shared" si="72"/>
        <v>0</v>
      </c>
      <c r="M113" s="17">
        <f t="shared" si="81"/>
        <v>0</v>
      </c>
      <c r="N113" s="85">
        <f t="shared" si="73"/>
        <v>0</v>
      </c>
      <c r="O113" s="85">
        <f t="shared" si="74"/>
        <v>0</v>
      </c>
      <c r="P113" s="85">
        <f t="shared" si="75"/>
        <v>0</v>
      </c>
      <c r="Q113" s="85">
        <f t="shared" si="76"/>
        <v>0</v>
      </c>
      <c r="R113" s="22">
        <f t="shared" si="82"/>
        <v>0</v>
      </c>
      <c r="S113" s="23">
        <f t="shared" si="77"/>
        <v>0</v>
      </c>
      <c r="T113" s="23">
        <f t="shared" si="78"/>
        <v>0</v>
      </c>
      <c r="U113" s="23">
        <f t="shared" si="79"/>
        <v>0</v>
      </c>
      <c r="W113" s="78" t="str">
        <f t="shared" si="83"/>
        <v>Other Tax Impact</v>
      </c>
      <c r="X113" s="64"/>
      <c r="Y113" s="64"/>
      <c r="Z113" s="64"/>
      <c r="AA113" s="64"/>
      <c r="AB113" s="60"/>
      <c r="AC113" s="64"/>
      <c r="AD113" s="64"/>
      <c r="AE113" s="64"/>
      <c r="AF113" s="64"/>
      <c r="AG113" s="60"/>
      <c r="AH113" s="64"/>
      <c r="AI113" s="64"/>
      <c r="AJ113" s="64"/>
    </row>
    <row r="114" spans="2:36" ht="15.75" hidden="1" outlineLevel="1" thickBot="1" x14ac:dyDescent="0.3">
      <c r="E114" s="8" t="s">
        <v>27</v>
      </c>
      <c r="F114" s="9">
        <f>SUM(F104:F113)</f>
        <v>0</v>
      </c>
      <c r="G114" s="9">
        <f t="shared" ref="G114:U114" si="84">SUM(G104:G113)</f>
        <v>0</v>
      </c>
      <c r="H114" s="9">
        <f t="shared" si="84"/>
        <v>0</v>
      </c>
      <c r="I114" s="86">
        <f t="shared" si="84"/>
        <v>0</v>
      </c>
      <c r="J114" s="86">
        <f t="shared" si="84"/>
        <v>0</v>
      </c>
      <c r="K114" s="86">
        <f t="shared" si="84"/>
        <v>0</v>
      </c>
      <c r="L114" s="86">
        <f t="shared" si="84"/>
        <v>0</v>
      </c>
      <c r="M114" s="18">
        <f t="shared" si="84"/>
        <v>0</v>
      </c>
      <c r="N114" s="86">
        <f t="shared" si="84"/>
        <v>0</v>
      </c>
      <c r="O114" s="86">
        <f t="shared" si="84"/>
        <v>0</v>
      </c>
      <c r="P114" s="86">
        <f t="shared" si="84"/>
        <v>0</v>
      </c>
      <c r="Q114" s="86">
        <f t="shared" si="84"/>
        <v>0</v>
      </c>
      <c r="R114" s="19">
        <f t="shared" si="84"/>
        <v>0</v>
      </c>
      <c r="S114" s="20">
        <f t="shared" si="84"/>
        <v>0</v>
      </c>
      <c r="T114" s="20">
        <f t="shared" si="84"/>
        <v>0</v>
      </c>
      <c r="U114" s="20">
        <f t="shared" si="84"/>
        <v>0</v>
      </c>
    </row>
    <row r="115" spans="2:36" ht="15.75" hidden="1" outlineLevel="1" thickTop="1" x14ac:dyDescent="0.25"/>
    <row r="116" spans="2:36" hidden="1" outlineLevel="1" x14ac:dyDescent="0.25"/>
    <row r="117" spans="2:36" hidden="1" outlineLevel="1" x14ac:dyDescent="0.25"/>
    <row r="118" spans="2:36" ht="18.75" collapsed="1" x14ac:dyDescent="0.3">
      <c r="E118" s="70" t="s">
        <v>135</v>
      </c>
      <c r="F118" s="70"/>
      <c r="G118" s="70"/>
      <c r="H118" s="70"/>
      <c r="I118" s="70"/>
      <c r="J118" s="70"/>
      <c r="K118" s="70"/>
      <c r="L118" s="70"/>
      <c r="M118" s="70"/>
      <c r="N118" s="70"/>
      <c r="O118" s="70"/>
      <c r="P118" s="70"/>
      <c r="Q118" s="70"/>
      <c r="R118" s="70"/>
      <c r="S118" s="70"/>
      <c r="T118" s="70"/>
      <c r="U118" s="70"/>
    </row>
    <row r="119" spans="2:36" x14ac:dyDescent="0.25">
      <c r="E119" s="52" t="s">
        <v>136</v>
      </c>
    </row>
    <row r="122" spans="2:36" x14ac:dyDescent="0.25">
      <c r="E122" s="4" t="s">
        <v>137</v>
      </c>
    </row>
    <row r="123" spans="2:36" x14ac:dyDescent="0.25">
      <c r="E123" s="6" t="s">
        <v>25</v>
      </c>
    </row>
    <row r="125" spans="2:36" x14ac:dyDescent="0.25">
      <c r="F125" s="12">
        <f>Inputs!$C$7</f>
        <v>2023</v>
      </c>
      <c r="G125" s="12">
        <f>Inputs!$C$8</f>
        <v>2024</v>
      </c>
      <c r="H125" s="12">
        <f>Inputs!$C$9</f>
        <v>2025</v>
      </c>
      <c r="I125" s="13" t="s">
        <v>1</v>
      </c>
      <c r="J125" s="13" t="s">
        <v>2</v>
      </c>
      <c r="K125" s="13" t="s">
        <v>3</v>
      </c>
      <c r="L125" s="13" t="s">
        <v>4</v>
      </c>
      <c r="M125" s="13">
        <f>Inputs!$C$10</f>
        <v>2026</v>
      </c>
      <c r="N125" s="14" t="s">
        <v>1</v>
      </c>
      <c r="O125" s="14" t="s">
        <v>2</v>
      </c>
      <c r="P125" s="14" t="s">
        <v>3</v>
      </c>
      <c r="Q125" s="14" t="s">
        <v>4</v>
      </c>
      <c r="R125" s="15">
        <f>Inputs!$C$11</f>
        <v>2027</v>
      </c>
      <c r="S125" s="16">
        <f>Inputs!$C$12</f>
        <v>2028</v>
      </c>
      <c r="T125" s="16">
        <f>Inputs!$C$13</f>
        <v>2029</v>
      </c>
      <c r="U125" s="16">
        <f>Inputs!$C$14</f>
        <v>2030</v>
      </c>
    </row>
    <row r="126" spans="2:36" x14ac:dyDescent="0.25">
      <c r="F126" s="71" t="s">
        <v>63</v>
      </c>
      <c r="G126" s="71" t="s">
        <v>63</v>
      </c>
      <c r="H126" s="71" t="s">
        <v>63</v>
      </c>
      <c r="I126" s="71" t="s">
        <v>63</v>
      </c>
      <c r="J126" s="71" t="s">
        <v>63</v>
      </c>
      <c r="K126" s="71" t="s">
        <v>63</v>
      </c>
      <c r="L126" s="71" t="s">
        <v>63</v>
      </c>
      <c r="M126" s="71" t="s">
        <v>63</v>
      </c>
      <c r="N126" s="71" t="s">
        <v>63</v>
      </c>
      <c r="O126" s="71" t="s">
        <v>63</v>
      </c>
      <c r="P126" s="71" t="s">
        <v>63</v>
      </c>
      <c r="Q126" s="71" t="s">
        <v>63</v>
      </c>
      <c r="R126" s="71" t="s">
        <v>63</v>
      </c>
      <c r="S126" s="71" t="s">
        <v>63</v>
      </c>
      <c r="T126" s="71" t="s">
        <v>63</v>
      </c>
      <c r="U126" s="71" t="s">
        <v>63</v>
      </c>
    </row>
    <row r="127" spans="2:36" x14ac:dyDescent="0.25">
      <c r="E127" s="78" t="s">
        <v>138</v>
      </c>
      <c r="F127" s="65"/>
      <c r="G127" s="65"/>
      <c r="H127" s="65"/>
      <c r="I127" s="72"/>
      <c r="J127" s="72"/>
      <c r="K127" s="72"/>
      <c r="L127" s="72"/>
      <c r="M127" s="65">
        <f>SUM(I127:L127)</f>
        <v>0</v>
      </c>
      <c r="N127" s="72"/>
      <c r="O127" s="72"/>
      <c r="P127" s="72"/>
      <c r="Q127" s="72"/>
      <c r="R127" s="66">
        <f t="shared" ref="R127:R136" si="85">SUM(N127:Q127)</f>
        <v>0</v>
      </c>
      <c r="S127" s="66"/>
      <c r="T127" s="66"/>
      <c r="U127" s="66"/>
    </row>
    <row r="128" spans="2:36" x14ac:dyDescent="0.25">
      <c r="E128" s="78" t="s">
        <v>139</v>
      </c>
      <c r="F128" s="65"/>
      <c r="G128" s="65"/>
      <c r="H128" s="65"/>
      <c r="I128" s="72"/>
      <c r="J128" s="72"/>
      <c r="K128" s="72"/>
      <c r="L128" s="72"/>
      <c r="M128" s="65">
        <f t="shared" ref="M128:M136" si="86">SUM(I128:L128)</f>
        <v>0</v>
      </c>
      <c r="N128" s="72"/>
      <c r="O128" s="72"/>
      <c r="P128" s="72"/>
      <c r="Q128" s="72"/>
      <c r="R128" s="66">
        <f t="shared" si="85"/>
        <v>0</v>
      </c>
      <c r="S128" s="66"/>
      <c r="T128" s="66"/>
      <c r="U128" s="66"/>
    </row>
    <row r="129" spans="5:24" x14ac:dyDescent="0.25">
      <c r="E129" s="78" t="s">
        <v>140</v>
      </c>
      <c r="F129" s="65"/>
      <c r="G129" s="65"/>
      <c r="H129" s="65"/>
      <c r="I129" s="72"/>
      <c r="J129" s="72"/>
      <c r="K129" s="72"/>
      <c r="L129" s="72"/>
      <c r="M129" s="65">
        <f t="shared" si="86"/>
        <v>0</v>
      </c>
      <c r="N129" s="72"/>
      <c r="O129" s="72"/>
      <c r="P129" s="72"/>
      <c r="Q129" s="72"/>
      <c r="R129" s="66">
        <f t="shared" si="85"/>
        <v>0</v>
      </c>
      <c r="S129" s="66"/>
      <c r="T129" s="66"/>
      <c r="U129" s="66"/>
    </row>
    <row r="130" spans="5:24" x14ac:dyDescent="0.25">
      <c r="E130" s="78" t="s">
        <v>140</v>
      </c>
      <c r="F130" s="65"/>
      <c r="G130" s="65"/>
      <c r="H130" s="65"/>
      <c r="I130" s="72"/>
      <c r="J130" s="72"/>
      <c r="K130" s="72"/>
      <c r="L130" s="72"/>
      <c r="M130" s="65">
        <f t="shared" si="86"/>
        <v>0</v>
      </c>
      <c r="N130" s="72"/>
      <c r="O130" s="72"/>
      <c r="P130" s="72"/>
      <c r="Q130" s="72"/>
      <c r="R130" s="66">
        <f t="shared" si="85"/>
        <v>0</v>
      </c>
      <c r="S130" s="66"/>
      <c r="T130" s="66"/>
      <c r="U130" s="66"/>
      <c r="X130" s="54"/>
    </row>
    <row r="131" spans="5:24" x14ac:dyDescent="0.25">
      <c r="E131" s="78" t="s">
        <v>140</v>
      </c>
      <c r="F131" s="65"/>
      <c r="G131" s="65"/>
      <c r="H131" s="65"/>
      <c r="I131" s="72"/>
      <c r="J131" s="72"/>
      <c r="K131" s="72"/>
      <c r="L131" s="72"/>
      <c r="M131" s="65">
        <f t="shared" si="86"/>
        <v>0</v>
      </c>
      <c r="N131" s="72"/>
      <c r="O131" s="72"/>
      <c r="P131" s="72"/>
      <c r="Q131" s="72"/>
      <c r="R131" s="66">
        <f t="shared" si="85"/>
        <v>0</v>
      </c>
      <c r="S131" s="66"/>
      <c r="T131" s="66"/>
      <c r="U131" s="66"/>
    </row>
    <row r="132" spans="5:24" x14ac:dyDescent="0.25">
      <c r="E132" s="78" t="s">
        <v>140</v>
      </c>
      <c r="F132" s="65"/>
      <c r="G132" s="65"/>
      <c r="H132" s="65"/>
      <c r="I132" s="72"/>
      <c r="J132" s="72"/>
      <c r="K132" s="72"/>
      <c r="L132" s="72"/>
      <c r="M132" s="65">
        <f t="shared" si="86"/>
        <v>0</v>
      </c>
      <c r="N132" s="72"/>
      <c r="O132" s="72"/>
      <c r="P132" s="72"/>
      <c r="Q132" s="72"/>
      <c r="R132" s="66">
        <f t="shared" si="85"/>
        <v>0</v>
      </c>
      <c r="S132" s="66"/>
      <c r="T132" s="66"/>
      <c r="U132" s="66"/>
    </row>
    <row r="133" spans="5:24" x14ac:dyDescent="0.25">
      <c r="E133" s="78" t="s">
        <v>140</v>
      </c>
      <c r="F133" s="65"/>
      <c r="G133" s="65"/>
      <c r="H133" s="65"/>
      <c r="I133" s="72"/>
      <c r="J133" s="72"/>
      <c r="K133" s="72"/>
      <c r="L133" s="72"/>
      <c r="M133" s="65">
        <f t="shared" si="86"/>
        <v>0</v>
      </c>
      <c r="N133" s="72"/>
      <c r="O133" s="72"/>
      <c r="P133" s="72"/>
      <c r="Q133" s="72"/>
      <c r="R133" s="66">
        <f t="shared" si="85"/>
        <v>0</v>
      </c>
      <c r="S133" s="66"/>
      <c r="T133" s="66"/>
      <c r="U133" s="66"/>
    </row>
    <row r="134" spans="5:24" x14ac:dyDescent="0.25">
      <c r="E134" s="78" t="s">
        <v>140</v>
      </c>
      <c r="F134" s="65"/>
      <c r="G134" s="65"/>
      <c r="H134" s="65"/>
      <c r="I134" s="72"/>
      <c r="J134" s="72"/>
      <c r="K134" s="72"/>
      <c r="L134" s="72"/>
      <c r="M134" s="65">
        <f t="shared" si="86"/>
        <v>0</v>
      </c>
      <c r="N134" s="72"/>
      <c r="O134" s="72"/>
      <c r="P134" s="72"/>
      <c r="Q134" s="72"/>
      <c r="R134" s="66">
        <f t="shared" si="85"/>
        <v>0</v>
      </c>
      <c r="S134" s="66"/>
      <c r="T134" s="66"/>
      <c r="U134" s="66"/>
    </row>
    <row r="135" spans="5:24" x14ac:dyDescent="0.25">
      <c r="E135" s="78" t="s">
        <v>140</v>
      </c>
      <c r="F135" s="65"/>
      <c r="G135" s="65"/>
      <c r="H135" s="65"/>
      <c r="I135" s="72"/>
      <c r="J135" s="72"/>
      <c r="K135" s="72"/>
      <c r="L135" s="72"/>
      <c r="M135" s="65">
        <f t="shared" si="86"/>
        <v>0</v>
      </c>
      <c r="N135" s="72"/>
      <c r="O135" s="72"/>
      <c r="P135" s="72"/>
      <c r="Q135" s="72"/>
      <c r="R135" s="66">
        <f t="shared" si="85"/>
        <v>0</v>
      </c>
      <c r="S135" s="66"/>
      <c r="T135" s="66"/>
      <c r="U135" s="66"/>
    </row>
    <row r="136" spans="5:24" x14ac:dyDescent="0.25">
      <c r="E136" s="78" t="s">
        <v>140</v>
      </c>
      <c r="F136" s="65"/>
      <c r="G136" s="65"/>
      <c r="H136" s="65"/>
      <c r="I136" s="72"/>
      <c r="J136" s="72"/>
      <c r="K136" s="72"/>
      <c r="L136" s="72"/>
      <c r="M136" s="65">
        <f t="shared" si="86"/>
        <v>0</v>
      </c>
      <c r="N136" s="72"/>
      <c r="O136" s="72"/>
      <c r="P136" s="72"/>
      <c r="Q136" s="72"/>
      <c r="R136" s="66">
        <f t="shared" si="85"/>
        <v>0</v>
      </c>
      <c r="S136" s="66"/>
      <c r="T136" s="66"/>
      <c r="U136" s="66"/>
    </row>
    <row r="137" spans="5:24" ht="15.75" thickBot="1" x14ac:dyDescent="0.3">
      <c r="E137" s="8" t="s">
        <v>27</v>
      </c>
      <c r="F137" s="67">
        <f>SUM(F127:F136)</f>
        <v>0</v>
      </c>
      <c r="G137" s="67">
        <f t="shared" ref="G137:U137" si="87">SUM(G127:G136)</f>
        <v>0</v>
      </c>
      <c r="H137" s="67">
        <f t="shared" si="87"/>
        <v>0</v>
      </c>
      <c r="I137" s="43">
        <f t="shared" si="87"/>
        <v>0</v>
      </c>
      <c r="J137" s="43">
        <f t="shared" si="87"/>
        <v>0</v>
      </c>
      <c r="K137" s="43">
        <f t="shared" si="87"/>
        <v>0</v>
      </c>
      <c r="L137" s="43">
        <f t="shared" si="87"/>
        <v>0</v>
      </c>
      <c r="M137" s="68">
        <f t="shared" si="87"/>
        <v>0</v>
      </c>
      <c r="N137" s="43">
        <f t="shared" si="87"/>
        <v>0</v>
      </c>
      <c r="O137" s="43">
        <f t="shared" si="87"/>
        <v>0</v>
      </c>
      <c r="P137" s="43">
        <f t="shared" si="87"/>
        <v>0</v>
      </c>
      <c r="Q137" s="43">
        <f t="shared" si="87"/>
        <v>0</v>
      </c>
      <c r="R137" s="69">
        <f t="shared" si="87"/>
        <v>0</v>
      </c>
      <c r="S137" s="69">
        <f t="shared" si="87"/>
        <v>0</v>
      </c>
      <c r="T137" s="69">
        <f t="shared" si="87"/>
        <v>0</v>
      </c>
      <c r="U137" s="69">
        <f t="shared" si="87"/>
        <v>0</v>
      </c>
    </row>
    <row r="138" spans="5:24" ht="15.75" thickTop="1" x14ac:dyDescent="0.25">
      <c r="M138" s="3"/>
    </row>
    <row r="139" spans="5:24" x14ac:dyDescent="0.25">
      <c r="M139" s="3"/>
    </row>
    <row r="140" spans="5:24" x14ac:dyDescent="0.25">
      <c r="M140" s="3"/>
    </row>
    <row r="141" spans="5:24" x14ac:dyDescent="0.25">
      <c r="F141" s="24"/>
      <c r="G141" s="25"/>
      <c r="H141" s="25"/>
      <c r="I141" s="25"/>
      <c r="J141" s="25"/>
      <c r="K141" s="25"/>
      <c r="L141" s="25"/>
      <c r="M141" s="25"/>
      <c r="N141" s="25"/>
      <c r="O141" s="25"/>
      <c r="P141" s="25"/>
      <c r="Q141" s="25"/>
      <c r="R141" s="25"/>
      <c r="S141" s="25"/>
      <c r="T141" s="25"/>
      <c r="U141" s="2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88B4-857E-4410-85AA-B0248B4BB6F7}">
  <sheetPr>
    <tabColor theme="9" tint="0.79998168889431442"/>
  </sheetPr>
  <dimension ref="B3:AJ252"/>
  <sheetViews>
    <sheetView showGridLines="0" zoomScale="80" zoomScaleNormal="80" workbookViewId="0">
      <selection activeCell="W222" sqref="W222"/>
    </sheetView>
  </sheetViews>
  <sheetFormatPr defaultRowHeight="15" outlineLevelRow="1" outlineLevelCol="1" x14ac:dyDescent="0.25"/>
  <cols>
    <col min="1" max="1" width="3.85546875" customWidth="1"/>
    <col min="2" max="2" width="5.28515625" customWidth="1"/>
    <col min="3" max="3" width="4.5703125" bestFit="1" customWidth="1"/>
    <col min="4" max="4" width="3.85546875" customWidth="1"/>
    <col min="5" max="5" width="39.85546875" customWidth="1"/>
    <col min="6" max="8" width="7.7109375" customWidth="1"/>
    <col min="9" max="12" width="7.7109375" customWidth="1" outlineLevel="1"/>
    <col min="13" max="13" width="7.7109375" customWidth="1"/>
    <col min="14" max="17" width="7.7109375" customWidth="1" outlineLevel="1"/>
    <col min="18" max="21" width="8.5703125" bestFit="1" customWidth="1"/>
    <col min="23" max="23" width="40.28515625" customWidth="1"/>
  </cols>
  <sheetData>
    <row r="3" spans="2:36" ht="18.75" x14ac:dyDescent="0.3">
      <c r="B3" s="4" t="s">
        <v>34</v>
      </c>
      <c r="C3" s="4" t="s">
        <v>387</v>
      </c>
      <c r="E3" s="53" t="str">
        <f>"Scenario 1: "&amp;Inputs!B22</f>
        <v>Scenario 1: Scenario 1</v>
      </c>
      <c r="F3" s="49"/>
      <c r="G3" s="49"/>
      <c r="H3" s="49"/>
      <c r="I3" s="49"/>
      <c r="J3" s="49"/>
      <c r="K3" s="49"/>
      <c r="L3" s="49"/>
      <c r="M3" s="49"/>
      <c r="N3" s="49"/>
      <c r="O3" s="49"/>
      <c r="P3" s="49"/>
      <c r="Q3" s="49"/>
      <c r="R3" s="49"/>
      <c r="S3" s="49"/>
      <c r="T3" s="49"/>
      <c r="U3" s="49"/>
    </row>
    <row r="4" spans="2:36" hidden="1" outlineLevel="1" x14ac:dyDescent="0.25">
      <c r="E4" s="52" t="str">
        <f>Inputs!C22</f>
        <v>Scenario 1 Description</v>
      </c>
    </row>
    <row r="5" spans="2:36" hidden="1" outlineLevel="1" x14ac:dyDescent="0.25"/>
    <row r="6" spans="2:36" hidden="1" outlineLevel="1" x14ac:dyDescent="0.25"/>
    <row r="7" spans="2:36" hidden="1" outlineLevel="1" x14ac:dyDescent="0.25">
      <c r="E7" s="4" t="s">
        <v>162</v>
      </c>
      <c r="W7" s="4" t="str">
        <f>E7</f>
        <v>Non-Operating Expenses</v>
      </c>
    </row>
    <row r="8" spans="2:36" hidden="1" outlineLevel="1" x14ac:dyDescent="0.25">
      <c r="E8" s="6" t="s">
        <v>25</v>
      </c>
      <c r="W8" s="61" t="s">
        <v>62</v>
      </c>
    </row>
    <row r="9" spans="2:36" hidden="1" outlineLevel="1" x14ac:dyDescent="0.25"/>
    <row r="10" spans="2:36" hidden="1" outlineLevel="1" x14ac:dyDescent="0.25">
      <c r="F10" s="12">
        <f>Inputs!$C$7</f>
        <v>2023</v>
      </c>
      <c r="G10" s="12">
        <f>Inputs!$C$8</f>
        <v>2024</v>
      </c>
      <c r="H10" s="12">
        <f>Inputs!$C$9</f>
        <v>2025</v>
      </c>
      <c r="I10" s="13" t="s">
        <v>1</v>
      </c>
      <c r="J10" s="13" t="s">
        <v>2</v>
      </c>
      <c r="K10" s="13" t="s">
        <v>3</v>
      </c>
      <c r="L10" s="13" t="s">
        <v>4</v>
      </c>
      <c r="M10" s="13">
        <f>Inputs!$C$10</f>
        <v>2026</v>
      </c>
      <c r="N10" s="14" t="s">
        <v>1</v>
      </c>
      <c r="O10" s="14" t="s">
        <v>2</v>
      </c>
      <c r="P10" s="14" t="s">
        <v>3</v>
      </c>
      <c r="Q10" s="14" t="s">
        <v>4</v>
      </c>
      <c r="R10" s="15">
        <f>Inputs!$C$11</f>
        <v>2027</v>
      </c>
      <c r="S10" s="16">
        <f>Inputs!$C$12</f>
        <v>2028</v>
      </c>
      <c r="T10" s="16">
        <f>Inputs!$C$13</f>
        <v>2029</v>
      </c>
      <c r="U10" s="16">
        <f>Inputs!$C$14</f>
        <v>2030</v>
      </c>
      <c r="X10" s="13" t="s">
        <v>1</v>
      </c>
      <c r="Y10" s="13" t="s">
        <v>2</v>
      </c>
      <c r="Z10" s="13" t="s">
        <v>3</v>
      </c>
      <c r="AA10" s="13" t="s">
        <v>4</v>
      </c>
      <c r="AB10" s="13">
        <f>Inputs!$C$10</f>
        <v>2026</v>
      </c>
      <c r="AC10" s="14" t="s">
        <v>1</v>
      </c>
      <c r="AD10" s="14" t="s">
        <v>2</v>
      </c>
      <c r="AE10" s="14" t="s">
        <v>3</v>
      </c>
      <c r="AF10" s="14" t="s">
        <v>4</v>
      </c>
      <c r="AG10" s="15">
        <f>Inputs!$C$11</f>
        <v>2027</v>
      </c>
      <c r="AH10" s="16">
        <f>Inputs!$C$12</f>
        <v>2028</v>
      </c>
      <c r="AI10" s="16">
        <f>Inputs!$C$13</f>
        <v>2029</v>
      </c>
      <c r="AJ10" s="16">
        <f>Inputs!$C$14</f>
        <v>2030</v>
      </c>
    </row>
    <row r="11" spans="2:36" hidden="1" outlineLevel="1" x14ac:dyDescent="0.25">
      <c r="F11" s="71" t="s">
        <v>63</v>
      </c>
      <c r="G11" s="71" t="s">
        <v>63</v>
      </c>
      <c r="H11" s="71" t="s">
        <v>63</v>
      </c>
      <c r="I11" s="71" t="s">
        <v>63</v>
      </c>
      <c r="J11" s="71" t="s">
        <v>63</v>
      </c>
      <c r="K11" s="71" t="s">
        <v>63</v>
      </c>
      <c r="L11" s="71" t="s">
        <v>63</v>
      </c>
      <c r="M11" s="71" t="s">
        <v>63</v>
      </c>
      <c r="N11" s="71" t="s">
        <v>63</v>
      </c>
      <c r="O11" s="71" t="s">
        <v>63</v>
      </c>
      <c r="P11" s="71" t="s">
        <v>63</v>
      </c>
      <c r="Q11" s="71" t="s">
        <v>63</v>
      </c>
      <c r="R11" s="71" t="s">
        <v>63</v>
      </c>
      <c r="S11" s="71" t="s">
        <v>63</v>
      </c>
      <c r="T11" s="71" t="s">
        <v>63</v>
      </c>
      <c r="U11" s="71" t="s">
        <v>63</v>
      </c>
      <c r="X11" s="63" t="s">
        <v>30</v>
      </c>
      <c r="Y11" s="63" t="s">
        <v>30</v>
      </c>
      <c r="Z11" s="63" t="s">
        <v>30</v>
      </c>
      <c r="AA11" s="63" t="s">
        <v>30</v>
      </c>
      <c r="AB11" s="62"/>
      <c r="AC11" s="63" t="s">
        <v>30</v>
      </c>
      <c r="AD11" s="63" t="s">
        <v>30</v>
      </c>
      <c r="AE11" s="63" t="s">
        <v>30</v>
      </c>
      <c r="AF11" s="63" t="s">
        <v>30</v>
      </c>
      <c r="AG11" s="62"/>
      <c r="AH11" s="63" t="s">
        <v>30</v>
      </c>
      <c r="AI11" s="63" t="s">
        <v>30</v>
      </c>
      <c r="AJ11" s="63" t="s">
        <v>30</v>
      </c>
    </row>
    <row r="12" spans="2:36" hidden="1" outlineLevel="1" x14ac:dyDescent="0.25">
      <c r="B12" s="229" t="s">
        <v>195</v>
      </c>
      <c r="C12" s="229" t="s">
        <v>195</v>
      </c>
      <c r="E12" s="78" t="s">
        <v>163</v>
      </c>
      <c r="F12" s="21">
        <f>F222</f>
        <v>0</v>
      </c>
      <c r="G12" s="21">
        <f t="shared" ref="G12:H12" si="0">G222</f>
        <v>0</v>
      </c>
      <c r="H12" s="21">
        <f t="shared" si="0"/>
        <v>0</v>
      </c>
      <c r="I12" s="85">
        <f t="shared" ref="I12:I21" si="1">IF(X12="",I222,X12)</f>
        <v>0</v>
      </c>
      <c r="J12" s="85">
        <f t="shared" ref="J12:J21" si="2">IF(Y12="",J222,Y12)</f>
        <v>0</v>
      </c>
      <c r="K12" s="85">
        <f t="shared" ref="K12:K21" si="3">IF(Z12="",K222,Z12)</f>
        <v>0</v>
      </c>
      <c r="L12" s="85">
        <f t="shared" ref="L12:L21" si="4">IF(AA12="",L222,AA12)</f>
        <v>0</v>
      </c>
      <c r="M12" s="17">
        <f t="shared" ref="M12:M21" si="5">SUM(I12:L12)</f>
        <v>0</v>
      </c>
      <c r="N12" s="85">
        <f t="shared" ref="N12:N21" si="6">IF(AC12="",N222,AC12)</f>
        <v>0</v>
      </c>
      <c r="O12" s="85">
        <f t="shared" ref="O12:O21" si="7">IF(AD12="",O222,AD12)</f>
        <v>0</v>
      </c>
      <c r="P12" s="85">
        <f t="shared" ref="P12:P21" si="8">IF(AE12="",P222,AE12)</f>
        <v>0</v>
      </c>
      <c r="Q12" s="85">
        <f t="shared" ref="Q12:Q21" si="9">IF(AF12="",Q222,AF12)</f>
        <v>0</v>
      </c>
      <c r="R12" s="22">
        <f t="shared" ref="R12:R21" si="10">SUM(N12:Q12)</f>
        <v>0</v>
      </c>
      <c r="S12" s="23">
        <f t="shared" ref="S12:S21" si="11">IF(AH12="",S222,AH12)</f>
        <v>0</v>
      </c>
      <c r="T12" s="23">
        <f t="shared" ref="T12:T21" si="12">IF(AI12="",T222,AI12)</f>
        <v>0</v>
      </c>
      <c r="U12" s="23">
        <f t="shared" ref="U12:U21" si="13">IF(AJ12="",U222,AJ12)</f>
        <v>0</v>
      </c>
      <c r="W12" s="78" t="str">
        <f>E12</f>
        <v>Interest Expense</v>
      </c>
      <c r="X12" s="64"/>
      <c r="Y12" s="64"/>
      <c r="Z12" s="64"/>
      <c r="AA12" s="64"/>
      <c r="AB12" s="60"/>
      <c r="AC12" s="64"/>
      <c r="AD12" s="64"/>
      <c r="AE12" s="64"/>
      <c r="AF12" s="64"/>
      <c r="AG12" s="60"/>
      <c r="AH12" s="64"/>
      <c r="AI12" s="64"/>
      <c r="AJ12" s="64"/>
    </row>
    <row r="13" spans="2:36" hidden="1" outlineLevel="1" x14ac:dyDescent="0.25">
      <c r="B13" s="229" t="s">
        <v>195</v>
      </c>
      <c r="C13" s="229" t="s">
        <v>195</v>
      </c>
      <c r="E13" s="78" t="s">
        <v>164</v>
      </c>
      <c r="F13" s="21">
        <f t="shared" ref="F13:H21" si="14">F223</f>
        <v>0</v>
      </c>
      <c r="G13" s="21">
        <f t="shared" si="14"/>
        <v>0</v>
      </c>
      <c r="H13" s="21">
        <f t="shared" si="14"/>
        <v>0</v>
      </c>
      <c r="I13" s="85">
        <f t="shared" si="1"/>
        <v>0</v>
      </c>
      <c r="J13" s="85">
        <f t="shared" si="2"/>
        <v>0</v>
      </c>
      <c r="K13" s="85">
        <f t="shared" si="3"/>
        <v>0</v>
      </c>
      <c r="L13" s="85">
        <f t="shared" si="4"/>
        <v>0</v>
      </c>
      <c r="M13" s="17">
        <f t="shared" si="5"/>
        <v>0</v>
      </c>
      <c r="N13" s="85">
        <f t="shared" si="6"/>
        <v>0</v>
      </c>
      <c r="O13" s="85">
        <f t="shared" si="7"/>
        <v>0</v>
      </c>
      <c r="P13" s="85">
        <f t="shared" si="8"/>
        <v>0</v>
      </c>
      <c r="Q13" s="85">
        <f t="shared" si="9"/>
        <v>0</v>
      </c>
      <c r="R13" s="22">
        <f t="shared" si="10"/>
        <v>0</v>
      </c>
      <c r="S13" s="23">
        <f t="shared" si="11"/>
        <v>0</v>
      </c>
      <c r="T13" s="23">
        <f t="shared" si="12"/>
        <v>0</v>
      </c>
      <c r="U13" s="23">
        <f t="shared" si="13"/>
        <v>0</v>
      </c>
      <c r="W13" s="78" t="str">
        <f t="shared" ref="W13:W21" si="15">E13</f>
        <v>Losses on debt refinancing</v>
      </c>
      <c r="X13" s="64"/>
      <c r="Y13" s="64"/>
      <c r="Z13" s="64"/>
      <c r="AA13" s="64"/>
      <c r="AB13" s="60"/>
      <c r="AC13" s="64"/>
      <c r="AD13" s="64"/>
      <c r="AE13" s="64"/>
      <c r="AF13" s="64"/>
      <c r="AG13" s="60"/>
      <c r="AH13" s="64"/>
      <c r="AI13" s="64"/>
      <c r="AJ13" s="64"/>
    </row>
    <row r="14" spans="2:36" hidden="1" outlineLevel="1" x14ac:dyDescent="0.25">
      <c r="B14" s="229" t="s">
        <v>195</v>
      </c>
      <c r="C14" s="229" t="s">
        <v>195</v>
      </c>
      <c r="E14" s="78" t="s">
        <v>165</v>
      </c>
      <c r="F14" s="21">
        <f t="shared" si="14"/>
        <v>0</v>
      </c>
      <c r="G14" s="21">
        <f t="shared" si="14"/>
        <v>0</v>
      </c>
      <c r="H14" s="21">
        <f t="shared" si="14"/>
        <v>0</v>
      </c>
      <c r="I14" s="85">
        <f t="shared" si="1"/>
        <v>0</v>
      </c>
      <c r="J14" s="85">
        <f t="shared" si="2"/>
        <v>0</v>
      </c>
      <c r="K14" s="85">
        <f t="shared" si="3"/>
        <v>0</v>
      </c>
      <c r="L14" s="85">
        <f t="shared" si="4"/>
        <v>0</v>
      </c>
      <c r="M14" s="17">
        <f t="shared" si="5"/>
        <v>0</v>
      </c>
      <c r="N14" s="85">
        <f t="shared" si="6"/>
        <v>0</v>
      </c>
      <c r="O14" s="85">
        <f t="shared" si="7"/>
        <v>0</v>
      </c>
      <c r="P14" s="85">
        <f t="shared" si="8"/>
        <v>0</v>
      </c>
      <c r="Q14" s="85">
        <f t="shared" si="9"/>
        <v>0</v>
      </c>
      <c r="R14" s="22">
        <f t="shared" si="10"/>
        <v>0</v>
      </c>
      <c r="S14" s="23">
        <f t="shared" si="11"/>
        <v>0</v>
      </c>
      <c r="T14" s="23">
        <f t="shared" si="12"/>
        <v>0</v>
      </c>
      <c r="U14" s="23">
        <f t="shared" si="13"/>
        <v>0</v>
      </c>
      <c r="W14" s="78" t="str">
        <f t="shared" si="15"/>
        <v>Unrealized/Realized Losses on Investments</v>
      </c>
      <c r="X14" s="64"/>
      <c r="Y14" s="64"/>
      <c r="Z14" s="64"/>
      <c r="AA14" s="64"/>
      <c r="AB14" s="60"/>
      <c r="AC14" s="64"/>
      <c r="AD14" s="64"/>
      <c r="AE14" s="64"/>
      <c r="AF14" s="64"/>
      <c r="AG14" s="60"/>
      <c r="AH14" s="64"/>
      <c r="AI14" s="64"/>
      <c r="AJ14" s="64"/>
    </row>
    <row r="15" spans="2:36" hidden="1" outlineLevel="1" x14ac:dyDescent="0.25">
      <c r="B15" s="229" t="s">
        <v>195</v>
      </c>
      <c r="C15" s="229" t="s">
        <v>195</v>
      </c>
      <c r="E15" s="78" t="s">
        <v>166</v>
      </c>
      <c r="F15" s="21">
        <f t="shared" si="14"/>
        <v>0</v>
      </c>
      <c r="G15" s="21">
        <f t="shared" si="14"/>
        <v>0</v>
      </c>
      <c r="H15" s="21">
        <f t="shared" si="14"/>
        <v>0</v>
      </c>
      <c r="I15" s="85">
        <f t="shared" si="1"/>
        <v>0</v>
      </c>
      <c r="J15" s="85">
        <f t="shared" si="2"/>
        <v>0</v>
      </c>
      <c r="K15" s="85">
        <f t="shared" si="3"/>
        <v>0</v>
      </c>
      <c r="L15" s="85">
        <f t="shared" si="4"/>
        <v>0</v>
      </c>
      <c r="M15" s="17">
        <f t="shared" si="5"/>
        <v>0</v>
      </c>
      <c r="N15" s="85">
        <f t="shared" si="6"/>
        <v>0</v>
      </c>
      <c r="O15" s="85">
        <f t="shared" si="7"/>
        <v>0</v>
      </c>
      <c r="P15" s="85">
        <f t="shared" si="8"/>
        <v>0</v>
      </c>
      <c r="Q15" s="85">
        <f t="shared" si="9"/>
        <v>0</v>
      </c>
      <c r="R15" s="22">
        <f t="shared" si="10"/>
        <v>0</v>
      </c>
      <c r="S15" s="23">
        <f t="shared" si="11"/>
        <v>0</v>
      </c>
      <c r="T15" s="23">
        <f t="shared" si="12"/>
        <v>0</v>
      </c>
      <c r="U15" s="23">
        <f t="shared" si="13"/>
        <v>0</v>
      </c>
      <c r="W15" s="78" t="str">
        <f t="shared" si="15"/>
        <v>FX Losses</v>
      </c>
      <c r="X15" s="64"/>
      <c r="Y15" s="64"/>
      <c r="Z15" s="64"/>
      <c r="AA15" s="64"/>
      <c r="AB15" s="60"/>
      <c r="AC15" s="64"/>
      <c r="AD15" s="64"/>
      <c r="AE15" s="64"/>
      <c r="AF15" s="64"/>
      <c r="AG15" s="60"/>
      <c r="AH15" s="64"/>
      <c r="AI15" s="64"/>
      <c r="AJ15" s="64"/>
    </row>
    <row r="16" spans="2:36" hidden="1" outlineLevel="1" x14ac:dyDescent="0.25">
      <c r="B16" s="229" t="s">
        <v>195</v>
      </c>
      <c r="C16" s="229" t="s">
        <v>195</v>
      </c>
      <c r="E16" s="78" t="s">
        <v>167</v>
      </c>
      <c r="F16" s="21">
        <f t="shared" si="14"/>
        <v>0</v>
      </c>
      <c r="G16" s="21">
        <f t="shared" si="14"/>
        <v>0</v>
      </c>
      <c r="H16" s="21">
        <f t="shared" si="14"/>
        <v>0</v>
      </c>
      <c r="I16" s="85">
        <f t="shared" si="1"/>
        <v>0</v>
      </c>
      <c r="J16" s="85">
        <f t="shared" si="2"/>
        <v>0</v>
      </c>
      <c r="K16" s="85">
        <f t="shared" si="3"/>
        <v>0</v>
      </c>
      <c r="L16" s="85">
        <f t="shared" si="4"/>
        <v>0</v>
      </c>
      <c r="M16" s="17">
        <f t="shared" si="5"/>
        <v>0</v>
      </c>
      <c r="N16" s="85">
        <f t="shared" si="6"/>
        <v>0</v>
      </c>
      <c r="O16" s="85">
        <f t="shared" si="7"/>
        <v>0</v>
      </c>
      <c r="P16" s="85">
        <f t="shared" si="8"/>
        <v>0</v>
      </c>
      <c r="Q16" s="85">
        <f t="shared" si="9"/>
        <v>0</v>
      </c>
      <c r="R16" s="22">
        <f t="shared" si="10"/>
        <v>0</v>
      </c>
      <c r="S16" s="23">
        <f t="shared" si="11"/>
        <v>0</v>
      </c>
      <c r="T16" s="23">
        <f t="shared" si="12"/>
        <v>0</v>
      </c>
      <c r="U16" s="23">
        <f t="shared" si="13"/>
        <v>0</v>
      </c>
      <c r="W16" s="78" t="str">
        <f t="shared" si="15"/>
        <v>Impairments of non-operating assets</v>
      </c>
      <c r="X16" s="64"/>
      <c r="Y16" s="64"/>
      <c r="Z16" s="64"/>
      <c r="AA16" s="64"/>
      <c r="AB16" s="60"/>
      <c r="AC16" s="64"/>
      <c r="AD16" s="64"/>
      <c r="AE16" s="64"/>
      <c r="AF16" s="64"/>
      <c r="AG16" s="60"/>
      <c r="AH16" s="64"/>
      <c r="AI16" s="64"/>
      <c r="AJ16" s="64"/>
    </row>
    <row r="17" spans="2:36" hidden="1" outlineLevel="1" x14ac:dyDescent="0.25">
      <c r="B17" s="229" t="s">
        <v>195</v>
      </c>
      <c r="C17" s="229" t="s">
        <v>195</v>
      </c>
      <c r="E17" s="78" t="s">
        <v>168</v>
      </c>
      <c r="F17" s="21">
        <f t="shared" si="14"/>
        <v>0</v>
      </c>
      <c r="G17" s="21">
        <f t="shared" si="14"/>
        <v>0</v>
      </c>
      <c r="H17" s="21">
        <f t="shared" si="14"/>
        <v>0</v>
      </c>
      <c r="I17" s="85">
        <f t="shared" si="1"/>
        <v>0</v>
      </c>
      <c r="J17" s="85">
        <f t="shared" si="2"/>
        <v>0</v>
      </c>
      <c r="K17" s="85">
        <f t="shared" si="3"/>
        <v>0</v>
      </c>
      <c r="L17" s="85">
        <f t="shared" si="4"/>
        <v>0</v>
      </c>
      <c r="M17" s="17">
        <f t="shared" si="5"/>
        <v>0</v>
      </c>
      <c r="N17" s="85">
        <f t="shared" si="6"/>
        <v>0</v>
      </c>
      <c r="O17" s="85">
        <f t="shared" si="7"/>
        <v>0</v>
      </c>
      <c r="P17" s="85">
        <f t="shared" si="8"/>
        <v>0</v>
      </c>
      <c r="Q17" s="85">
        <f t="shared" si="9"/>
        <v>0</v>
      </c>
      <c r="R17" s="22">
        <f t="shared" si="10"/>
        <v>0</v>
      </c>
      <c r="S17" s="23">
        <f t="shared" si="11"/>
        <v>0</v>
      </c>
      <c r="T17" s="23">
        <f t="shared" si="12"/>
        <v>0</v>
      </c>
      <c r="U17" s="23">
        <f t="shared" si="13"/>
        <v>0</v>
      </c>
      <c r="W17" s="78" t="str">
        <f t="shared" si="15"/>
        <v>Legal charges/settlements</v>
      </c>
      <c r="X17" s="64"/>
      <c r="Y17" s="64"/>
      <c r="Z17" s="64"/>
      <c r="AA17" s="64"/>
      <c r="AB17" s="60"/>
      <c r="AC17" s="64"/>
      <c r="AD17" s="64"/>
      <c r="AE17" s="64"/>
      <c r="AF17" s="64"/>
      <c r="AG17" s="60"/>
      <c r="AH17" s="64"/>
      <c r="AI17" s="64"/>
      <c r="AJ17" s="64"/>
    </row>
    <row r="18" spans="2:36" hidden="1" outlineLevel="1" x14ac:dyDescent="0.25">
      <c r="B18" s="229" t="s">
        <v>195</v>
      </c>
      <c r="C18" s="229" t="s">
        <v>195</v>
      </c>
      <c r="E18" s="78" t="s">
        <v>169</v>
      </c>
      <c r="F18" s="21">
        <f t="shared" si="14"/>
        <v>0</v>
      </c>
      <c r="G18" s="21">
        <f t="shared" si="14"/>
        <v>0</v>
      </c>
      <c r="H18" s="21">
        <f t="shared" si="14"/>
        <v>0</v>
      </c>
      <c r="I18" s="85">
        <f t="shared" si="1"/>
        <v>0</v>
      </c>
      <c r="J18" s="85">
        <f t="shared" si="2"/>
        <v>0</v>
      </c>
      <c r="K18" s="85">
        <f t="shared" si="3"/>
        <v>0</v>
      </c>
      <c r="L18" s="85">
        <f t="shared" si="4"/>
        <v>0</v>
      </c>
      <c r="M18" s="17">
        <f t="shared" si="5"/>
        <v>0</v>
      </c>
      <c r="N18" s="85">
        <f t="shared" si="6"/>
        <v>0</v>
      </c>
      <c r="O18" s="85">
        <f t="shared" si="7"/>
        <v>0</v>
      </c>
      <c r="P18" s="85">
        <f t="shared" si="8"/>
        <v>0</v>
      </c>
      <c r="Q18" s="85">
        <f t="shared" si="9"/>
        <v>0</v>
      </c>
      <c r="R18" s="22">
        <f t="shared" si="10"/>
        <v>0</v>
      </c>
      <c r="S18" s="23">
        <f t="shared" si="11"/>
        <v>0</v>
      </c>
      <c r="T18" s="23">
        <f t="shared" si="12"/>
        <v>0</v>
      </c>
      <c r="U18" s="23">
        <f t="shared" si="13"/>
        <v>0</v>
      </c>
      <c r="W18" s="78" t="str">
        <f t="shared" si="15"/>
        <v>Other non-opex</v>
      </c>
      <c r="X18" s="64"/>
      <c r="Y18" s="64"/>
      <c r="Z18" s="64"/>
      <c r="AA18" s="64"/>
      <c r="AB18" s="60"/>
      <c r="AC18" s="64"/>
      <c r="AD18" s="64"/>
      <c r="AE18" s="64"/>
      <c r="AF18" s="64"/>
      <c r="AG18" s="60"/>
      <c r="AH18" s="64"/>
      <c r="AI18" s="64"/>
      <c r="AJ18" s="64"/>
    </row>
    <row r="19" spans="2:36" hidden="1" outlineLevel="1" x14ac:dyDescent="0.25">
      <c r="B19" s="229" t="s">
        <v>195</v>
      </c>
      <c r="C19" s="229" t="s">
        <v>195</v>
      </c>
      <c r="E19" s="78" t="s">
        <v>169</v>
      </c>
      <c r="F19" s="21">
        <f t="shared" si="14"/>
        <v>0</v>
      </c>
      <c r="G19" s="21">
        <f t="shared" si="14"/>
        <v>0</v>
      </c>
      <c r="H19" s="21">
        <f t="shared" si="14"/>
        <v>0</v>
      </c>
      <c r="I19" s="85">
        <f t="shared" si="1"/>
        <v>0</v>
      </c>
      <c r="J19" s="85">
        <f t="shared" si="2"/>
        <v>0</v>
      </c>
      <c r="K19" s="85">
        <f t="shared" si="3"/>
        <v>0</v>
      </c>
      <c r="L19" s="85">
        <f t="shared" si="4"/>
        <v>0</v>
      </c>
      <c r="M19" s="17">
        <f t="shared" si="5"/>
        <v>0</v>
      </c>
      <c r="N19" s="85">
        <f t="shared" si="6"/>
        <v>0</v>
      </c>
      <c r="O19" s="85">
        <f t="shared" si="7"/>
        <v>0</v>
      </c>
      <c r="P19" s="85">
        <f t="shared" si="8"/>
        <v>0</v>
      </c>
      <c r="Q19" s="85">
        <f t="shared" si="9"/>
        <v>0</v>
      </c>
      <c r="R19" s="22">
        <f t="shared" si="10"/>
        <v>0</v>
      </c>
      <c r="S19" s="23">
        <f t="shared" si="11"/>
        <v>0</v>
      </c>
      <c r="T19" s="23">
        <f t="shared" si="12"/>
        <v>0</v>
      </c>
      <c r="U19" s="23">
        <f t="shared" si="13"/>
        <v>0</v>
      </c>
      <c r="W19" s="78" t="str">
        <f t="shared" si="15"/>
        <v>Other non-opex</v>
      </c>
      <c r="X19" s="64"/>
      <c r="Y19" s="64"/>
      <c r="Z19" s="64"/>
      <c r="AA19" s="64"/>
      <c r="AB19" s="60"/>
      <c r="AC19" s="64"/>
      <c r="AD19" s="64"/>
      <c r="AE19" s="64"/>
      <c r="AF19" s="64"/>
      <c r="AG19" s="60"/>
      <c r="AH19" s="64"/>
      <c r="AI19" s="64"/>
      <c r="AJ19" s="64"/>
    </row>
    <row r="20" spans="2:36" hidden="1" outlineLevel="1" x14ac:dyDescent="0.25">
      <c r="B20" s="229" t="s">
        <v>195</v>
      </c>
      <c r="C20" s="229" t="s">
        <v>195</v>
      </c>
      <c r="E20" s="78" t="s">
        <v>169</v>
      </c>
      <c r="F20" s="21">
        <f t="shared" si="14"/>
        <v>0</v>
      </c>
      <c r="G20" s="21">
        <f t="shared" si="14"/>
        <v>0</v>
      </c>
      <c r="H20" s="21">
        <f t="shared" si="14"/>
        <v>0</v>
      </c>
      <c r="I20" s="85">
        <f t="shared" si="1"/>
        <v>0</v>
      </c>
      <c r="J20" s="85">
        <f t="shared" si="2"/>
        <v>0</v>
      </c>
      <c r="K20" s="85">
        <f t="shared" si="3"/>
        <v>0</v>
      </c>
      <c r="L20" s="85">
        <f t="shared" si="4"/>
        <v>0</v>
      </c>
      <c r="M20" s="17">
        <f t="shared" si="5"/>
        <v>0</v>
      </c>
      <c r="N20" s="85">
        <f t="shared" si="6"/>
        <v>0</v>
      </c>
      <c r="O20" s="85">
        <f t="shared" si="7"/>
        <v>0</v>
      </c>
      <c r="P20" s="85">
        <f t="shared" si="8"/>
        <v>0</v>
      </c>
      <c r="Q20" s="85">
        <f t="shared" si="9"/>
        <v>0</v>
      </c>
      <c r="R20" s="22">
        <f t="shared" si="10"/>
        <v>0</v>
      </c>
      <c r="S20" s="23">
        <f t="shared" si="11"/>
        <v>0</v>
      </c>
      <c r="T20" s="23">
        <f t="shared" si="12"/>
        <v>0</v>
      </c>
      <c r="U20" s="23">
        <f t="shared" si="13"/>
        <v>0</v>
      </c>
      <c r="W20" s="78" t="str">
        <f t="shared" si="15"/>
        <v>Other non-opex</v>
      </c>
      <c r="X20" s="64"/>
      <c r="Y20" s="64"/>
      <c r="Z20" s="64"/>
      <c r="AA20" s="64"/>
      <c r="AB20" s="60"/>
      <c r="AC20" s="64"/>
      <c r="AD20" s="64"/>
      <c r="AE20" s="64"/>
      <c r="AF20" s="64"/>
      <c r="AG20" s="60"/>
      <c r="AH20" s="64"/>
      <c r="AI20" s="64"/>
      <c r="AJ20" s="64"/>
    </row>
    <row r="21" spans="2:36" hidden="1" outlineLevel="1" x14ac:dyDescent="0.25">
      <c r="B21" s="229" t="s">
        <v>195</v>
      </c>
      <c r="C21" s="229" t="s">
        <v>195</v>
      </c>
      <c r="E21" s="78" t="s">
        <v>169</v>
      </c>
      <c r="F21" s="21">
        <f t="shared" si="14"/>
        <v>0</v>
      </c>
      <c r="G21" s="21">
        <f t="shared" si="14"/>
        <v>0</v>
      </c>
      <c r="H21" s="21">
        <f t="shared" si="14"/>
        <v>0</v>
      </c>
      <c r="I21" s="85">
        <f t="shared" si="1"/>
        <v>0</v>
      </c>
      <c r="J21" s="85">
        <f t="shared" si="2"/>
        <v>0</v>
      </c>
      <c r="K21" s="85">
        <f t="shared" si="3"/>
        <v>0</v>
      </c>
      <c r="L21" s="85">
        <f t="shared" si="4"/>
        <v>0</v>
      </c>
      <c r="M21" s="17">
        <f t="shared" si="5"/>
        <v>0</v>
      </c>
      <c r="N21" s="85">
        <f t="shared" si="6"/>
        <v>0</v>
      </c>
      <c r="O21" s="85">
        <f t="shared" si="7"/>
        <v>0</v>
      </c>
      <c r="P21" s="85">
        <f t="shared" si="8"/>
        <v>0</v>
      </c>
      <c r="Q21" s="85">
        <f t="shared" si="9"/>
        <v>0</v>
      </c>
      <c r="R21" s="22">
        <f t="shared" si="10"/>
        <v>0</v>
      </c>
      <c r="S21" s="23">
        <f t="shared" si="11"/>
        <v>0</v>
      </c>
      <c r="T21" s="23">
        <f t="shared" si="12"/>
        <v>0</v>
      </c>
      <c r="U21" s="23">
        <f t="shared" si="13"/>
        <v>0</v>
      </c>
      <c r="W21" s="78" t="str">
        <f t="shared" si="15"/>
        <v>Other non-opex</v>
      </c>
      <c r="X21" s="64"/>
      <c r="Y21" s="64"/>
      <c r="Z21" s="64"/>
      <c r="AA21" s="64"/>
      <c r="AB21" s="60"/>
      <c r="AC21" s="64"/>
      <c r="AD21" s="64"/>
      <c r="AE21" s="64"/>
      <c r="AF21" s="64"/>
      <c r="AG21" s="60"/>
      <c r="AH21" s="64"/>
      <c r="AI21" s="64"/>
      <c r="AJ21" s="64"/>
    </row>
    <row r="22" spans="2:36" ht="15.75" hidden="1" outlineLevel="1" thickBot="1" x14ac:dyDescent="0.3">
      <c r="E22" s="8" t="s">
        <v>27</v>
      </c>
      <c r="F22" s="9">
        <f>SUM(F12:F21)</f>
        <v>0</v>
      </c>
      <c r="G22" s="9">
        <f t="shared" ref="G22:U22" si="16">SUM(G12:G21)</f>
        <v>0</v>
      </c>
      <c r="H22" s="9">
        <f t="shared" si="16"/>
        <v>0</v>
      </c>
      <c r="I22" s="86">
        <f t="shared" si="16"/>
        <v>0</v>
      </c>
      <c r="J22" s="86">
        <f t="shared" si="16"/>
        <v>0</v>
      </c>
      <c r="K22" s="86">
        <f t="shared" si="16"/>
        <v>0</v>
      </c>
      <c r="L22" s="86">
        <f t="shared" si="16"/>
        <v>0</v>
      </c>
      <c r="M22" s="18">
        <f t="shared" si="16"/>
        <v>0</v>
      </c>
      <c r="N22" s="86">
        <f t="shared" si="16"/>
        <v>0</v>
      </c>
      <c r="O22" s="86">
        <f t="shared" si="16"/>
        <v>0</v>
      </c>
      <c r="P22" s="86">
        <f t="shared" si="16"/>
        <v>0</v>
      </c>
      <c r="Q22" s="86">
        <f t="shared" si="16"/>
        <v>0</v>
      </c>
      <c r="R22" s="19">
        <f t="shared" si="16"/>
        <v>0</v>
      </c>
      <c r="S22" s="20">
        <f t="shared" si="16"/>
        <v>0</v>
      </c>
      <c r="T22" s="20">
        <f t="shared" si="16"/>
        <v>0</v>
      </c>
      <c r="U22" s="20">
        <f t="shared" si="16"/>
        <v>0</v>
      </c>
    </row>
    <row r="23" spans="2:36" ht="15.75" hidden="1" outlineLevel="1" thickTop="1" x14ac:dyDescent="0.25">
      <c r="M23" s="3"/>
    </row>
    <row r="24" spans="2:36" hidden="1" outlineLevel="1" x14ac:dyDescent="0.25">
      <c r="M24" s="3"/>
    </row>
    <row r="25" spans="2:36" hidden="1" outlineLevel="1" x14ac:dyDescent="0.25">
      <c r="M25" s="3"/>
    </row>
    <row r="26" spans="2:36" hidden="1" outlineLevel="1" x14ac:dyDescent="0.25">
      <c r="E26" s="4" t="s">
        <v>179</v>
      </c>
      <c r="W26" s="4" t="str">
        <f>E26</f>
        <v>Non-Operating Income (Show as negative)</v>
      </c>
    </row>
    <row r="27" spans="2:36" hidden="1" outlineLevel="1" x14ac:dyDescent="0.25">
      <c r="E27" s="6" t="s">
        <v>25</v>
      </c>
      <c r="W27" s="61" t="s">
        <v>62</v>
      </c>
    </row>
    <row r="28" spans="2:36" hidden="1" outlineLevel="1" x14ac:dyDescent="0.25"/>
    <row r="29" spans="2:36" hidden="1" outlineLevel="1" x14ac:dyDescent="0.25">
      <c r="F29" s="12">
        <f>Inputs!$C$7</f>
        <v>2023</v>
      </c>
      <c r="G29" s="12">
        <f>Inputs!$C$8</f>
        <v>2024</v>
      </c>
      <c r="H29" s="12">
        <f>Inputs!$C$9</f>
        <v>2025</v>
      </c>
      <c r="I29" s="13" t="s">
        <v>1</v>
      </c>
      <c r="J29" s="13" t="s">
        <v>2</v>
      </c>
      <c r="K29" s="13" t="s">
        <v>3</v>
      </c>
      <c r="L29" s="13" t="s">
        <v>4</v>
      </c>
      <c r="M29" s="13">
        <f>Inputs!$C$10</f>
        <v>2026</v>
      </c>
      <c r="N29" s="14" t="s">
        <v>1</v>
      </c>
      <c r="O29" s="14" t="s">
        <v>2</v>
      </c>
      <c r="P29" s="14" t="s">
        <v>3</v>
      </c>
      <c r="Q29" s="14" t="s">
        <v>4</v>
      </c>
      <c r="R29" s="15">
        <f>Inputs!$C$11</f>
        <v>2027</v>
      </c>
      <c r="S29" s="16">
        <f>Inputs!$C$12</f>
        <v>2028</v>
      </c>
      <c r="T29" s="16">
        <f>Inputs!$C$13</f>
        <v>2029</v>
      </c>
      <c r="U29" s="16">
        <f>Inputs!$C$14</f>
        <v>2030</v>
      </c>
      <c r="X29" s="13" t="s">
        <v>1</v>
      </c>
      <c r="Y29" s="13" t="s">
        <v>2</v>
      </c>
      <c r="Z29" s="13" t="s">
        <v>3</v>
      </c>
      <c r="AA29" s="13" t="s">
        <v>4</v>
      </c>
      <c r="AB29" s="13">
        <f>Inputs!$C$10</f>
        <v>2026</v>
      </c>
      <c r="AC29" s="14" t="s">
        <v>1</v>
      </c>
      <c r="AD29" s="14" t="s">
        <v>2</v>
      </c>
      <c r="AE29" s="14" t="s">
        <v>3</v>
      </c>
      <c r="AF29" s="14" t="s">
        <v>4</v>
      </c>
      <c r="AG29" s="15">
        <f>Inputs!$C$11</f>
        <v>2027</v>
      </c>
      <c r="AH29" s="16">
        <f>Inputs!$C$12</f>
        <v>2028</v>
      </c>
      <c r="AI29" s="16">
        <f>Inputs!$C$13</f>
        <v>2029</v>
      </c>
      <c r="AJ29" s="16">
        <f>Inputs!$C$14</f>
        <v>2030</v>
      </c>
    </row>
    <row r="30" spans="2:36" hidden="1" outlineLevel="1" x14ac:dyDescent="0.25">
      <c r="F30" s="71" t="s">
        <v>63</v>
      </c>
      <c r="G30" s="71" t="s">
        <v>63</v>
      </c>
      <c r="H30" s="71" t="s">
        <v>63</v>
      </c>
      <c r="I30" s="71" t="s">
        <v>63</v>
      </c>
      <c r="J30" s="71" t="s">
        <v>63</v>
      </c>
      <c r="K30" s="71" t="s">
        <v>63</v>
      </c>
      <c r="L30" s="71" t="s">
        <v>63</v>
      </c>
      <c r="M30" s="71" t="s">
        <v>63</v>
      </c>
      <c r="N30" s="71" t="s">
        <v>63</v>
      </c>
      <c r="O30" s="71" t="s">
        <v>63</v>
      </c>
      <c r="P30" s="71" t="s">
        <v>63</v>
      </c>
      <c r="Q30" s="71" t="s">
        <v>63</v>
      </c>
      <c r="R30" s="71" t="s">
        <v>63</v>
      </c>
      <c r="S30" s="71" t="s">
        <v>63</v>
      </c>
      <c r="T30" s="71" t="s">
        <v>63</v>
      </c>
      <c r="U30" s="71" t="s">
        <v>63</v>
      </c>
      <c r="X30" s="63" t="s">
        <v>30</v>
      </c>
      <c r="Y30" s="63" t="s">
        <v>30</v>
      </c>
      <c r="Z30" s="63" t="s">
        <v>30</v>
      </c>
      <c r="AA30" s="63" t="s">
        <v>30</v>
      </c>
      <c r="AB30" s="62"/>
      <c r="AC30" s="63" t="s">
        <v>30</v>
      </c>
      <c r="AD30" s="63" t="s">
        <v>30</v>
      </c>
      <c r="AE30" s="63" t="s">
        <v>30</v>
      </c>
      <c r="AF30" s="63" t="s">
        <v>30</v>
      </c>
      <c r="AG30" s="62"/>
      <c r="AH30" s="63" t="s">
        <v>30</v>
      </c>
      <c r="AI30" s="63" t="s">
        <v>30</v>
      </c>
      <c r="AJ30" s="63" t="s">
        <v>30</v>
      </c>
    </row>
    <row r="31" spans="2:36" hidden="1" outlineLevel="1" x14ac:dyDescent="0.25">
      <c r="B31" s="229" t="s">
        <v>195</v>
      </c>
      <c r="C31" s="229" t="s">
        <v>195</v>
      </c>
      <c r="E31" s="78" t="s">
        <v>171</v>
      </c>
      <c r="F31" s="21">
        <f>F241</f>
        <v>0</v>
      </c>
      <c r="G31" s="21">
        <f t="shared" ref="G31:H31" si="17">G241</f>
        <v>0</v>
      </c>
      <c r="H31" s="21">
        <f t="shared" si="17"/>
        <v>0</v>
      </c>
      <c r="I31" s="85">
        <f t="shared" ref="I31:I40" si="18">IF(X31="",I241,X31)</f>
        <v>0</v>
      </c>
      <c r="J31" s="85">
        <f t="shared" ref="J31:J40" si="19">IF(Y31="",J241,Y31)</f>
        <v>0</v>
      </c>
      <c r="K31" s="85">
        <f t="shared" ref="K31:K40" si="20">IF(Z31="",K241,Z31)</f>
        <v>0</v>
      </c>
      <c r="L31" s="85">
        <f t="shared" ref="L31:L40" si="21">IF(AA31="",L241,AA31)</f>
        <v>0</v>
      </c>
      <c r="M31" s="17">
        <f t="shared" ref="M31:M40" si="22">SUM(I31:L31)</f>
        <v>0</v>
      </c>
      <c r="N31" s="85">
        <f t="shared" ref="N31:N40" si="23">IF(AC31="",N241,AC31)</f>
        <v>0</v>
      </c>
      <c r="O31" s="85">
        <f t="shared" ref="O31:O40" si="24">IF(AD31="",O241,AD31)</f>
        <v>0</v>
      </c>
      <c r="P31" s="85">
        <f t="shared" ref="P31:P40" si="25">IF(AE31="",P241,AE31)</f>
        <v>0</v>
      </c>
      <c r="Q31" s="85">
        <f t="shared" ref="Q31:Q40" si="26">IF(AF31="",Q241,AF31)</f>
        <v>0</v>
      </c>
      <c r="R31" s="22">
        <f t="shared" ref="R31:R40" si="27">SUM(N31:Q31)</f>
        <v>0</v>
      </c>
      <c r="S31" s="23">
        <f t="shared" ref="S31:S40" si="28">IF(AH31="",S241,AH31)</f>
        <v>0</v>
      </c>
      <c r="T31" s="23">
        <f t="shared" ref="T31:T40" si="29">IF(AI31="",T241,AI31)</f>
        <v>0</v>
      </c>
      <c r="U31" s="23">
        <f t="shared" ref="U31:U40" si="30">IF(AJ31="",U241,AJ31)</f>
        <v>0</v>
      </c>
      <c r="W31" s="78" t="str">
        <f>E31</f>
        <v>Interest Income</v>
      </c>
      <c r="X31" s="64"/>
      <c r="Y31" s="64"/>
      <c r="Z31" s="64"/>
      <c r="AA31" s="64"/>
      <c r="AB31" s="60"/>
      <c r="AC31" s="64"/>
      <c r="AD31" s="64"/>
      <c r="AE31" s="64"/>
      <c r="AF31" s="64"/>
      <c r="AG31" s="60"/>
      <c r="AH31" s="64"/>
      <c r="AI31" s="64"/>
      <c r="AJ31" s="64"/>
    </row>
    <row r="32" spans="2:36" hidden="1" outlineLevel="1" x14ac:dyDescent="0.25">
      <c r="B32" s="229" t="s">
        <v>195</v>
      </c>
      <c r="C32" s="229" t="s">
        <v>195</v>
      </c>
      <c r="E32" s="78" t="s">
        <v>172</v>
      </c>
      <c r="F32" s="21">
        <f t="shared" ref="F32:H32" si="31">F242</f>
        <v>0</v>
      </c>
      <c r="G32" s="21">
        <f t="shared" si="31"/>
        <v>0</v>
      </c>
      <c r="H32" s="21">
        <f t="shared" si="31"/>
        <v>0</v>
      </c>
      <c r="I32" s="85">
        <f t="shared" si="18"/>
        <v>0</v>
      </c>
      <c r="J32" s="85">
        <f t="shared" si="19"/>
        <v>0</v>
      </c>
      <c r="K32" s="85">
        <f t="shared" si="20"/>
        <v>0</v>
      </c>
      <c r="L32" s="85">
        <f t="shared" si="21"/>
        <v>0</v>
      </c>
      <c r="M32" s="17">
        <f t="shared" si="22"/>
        <v>0</v>
      </c>
      <c r="N32" s="85">
        <f t="shared" si="23"/>
        <v>0</v>
      </c>
      <c r="O32" s="85">
        <f t="shared" si="24"/>
        <v>0</v>
      </c>
      <c r="P32" s="85">
        <f t="shared" si="25"/>
        <v>0</v>
      </c>
      <c r="Q32" s="85">
        <f t="shared" si="26"/>
        <v>0</v>
      </c>
      <c r="R32" s="22">
        <f t="shared" si="27"/>
        <v>0</v>
      </c>
      <c r="S32" s="23">
        <f t="shared" si="28"/>
        <v>0</v>
      </c>
      <c r="T32" s="23">
        <f t="shared" si="29"/>
        <v>0</v>
      </c>
      <c r="U32" s="23">
        <f t="shared" si="30"/>
        <v>0</v>
      </c>
      <c r="W32" s="78" t="str">
        <f t="shared" ref="W32:W40" si="32">E32</f>
        <v>Investment Income</v>
      </c>
      <c r="X32" s="64"/>
      <c r="Y32" s="64"/>
      <c r="Z32" s="64"/>
      <c r="AA32" s="64"/>
      <c r="AB32" s="60"/>
      <c r="AC32" s="64"/>
      <c r="AD32" s="64"/>
      <c r="AE32" s="64"/>
      <c r="AF32" s="64"/>
      <c r="AG32" s="60"/>
      <c r="AH32" s="64"/>
      <c r="AI32" s="64"/>
      <c r="AJ32" s="64"/>
    </row>
    <row r="33" spans="2:36" hidden="1" outlineLevel="1" x14ac:dyDescent="0.25">
      <c r="B33" s="229" t="s">
        <v>195</v>
      </c>
      <c r="C33" s="229" t="s">
        <v>195</v>
      </c>
      <c r="E33" s="78" t="s">
        <v>173</v>
      </c>
      <c r="F33" s="21">
        <f t="shared" ref="F33:H33" si="33">F243</f>
        <v>0</v>
      </c>
      <c r="G33" s="21">
        <f t="shared" si="33"/>
        <v>0</v>
      </c>
      <c r="H33" s="21">
        <f t="shared" si="33"/>
        <v>0</v>
      </c>
      <c r="I33" s="85">
        <f t="shared" si="18"/>
        <v>0</v>
      </c>
      <c r="J33" s="85">
        <f t="shared" si="19"/>
        <v>0</v>
      </c>
      <c r="K33" s="85">
        <f t="shared" si="20"/>
        <v>0</v>
      </c>
      <c r="L33" s="85">
        <f t="shared" si="21"/>
        <v>0</v>
      </c>
      <c r="M33" s="17">
        <f t="shared" si="22"/>
        <v>0</v>
      </c>
      <c r="N33" s="85">
        <f t="shared" si="23"/>
        <v>0</v>
      </c>
      <c r="O33" s="85">
        <f t="shared" si="24"/>
        <v>0</v>
      </c>
      <c r="P33" s="85">
        <f t="shared" si="25"/>
        <v>0</v>
      </c>
      <c r="Q33" s="85">
        <f t="shared" si="26"/>
        <v>0</v>
      </c>
      <c r="R33" s="22">
        <f t="shared" si="27"/>
        <v>0</v>
      </c>
      <c r="S33" s="23">
        <f t="shared" si="28"/>
        <v>0</v>
      </c>
      <c r="T33" s="23">
        <f t="shared" si="29"/>
        <v>0</v>
      </c>
      <c r="U33" s="23">
        <f t="shared" si="30"/>
        <v>0</v>
      </c>
      <c r="W33" s="78" t="str">
        <f t="shared" si="32"/>
        <v>Gains on Sale of Investments</v>
      </c>
      <c r="X33" s="64"/>
      <c r="Y33" s="64"/>
      <c r="Z33" s="64"/>
      <c r="AA33" s="64"/>
      <c r="AB33" s="60"/>
      <c r="AC33" s="64"/>
      <c r="AD33" s="64"/>
      <c r="AE33" s="64"/>
      <c r="AF33" s="64"/>
      <c r="AG33" s="60"/>
      <c r="AH33" s="64"/>
      <c r="AI33" s="64"/>
      <c r="AJ33" s="64"/>
    </row>
    <row r="34" spans="2:36" hidden="1" outlineLevel="1" x14ac:dyDescent="0.25">
      <c r="B34" s="229" t="s">
        <v>195</v>
      </c>
      <c r="C34" s="229" t="s">
        <v>195</v>
      </c>
      <c r="E34" s="78" t="s">
        <v>174</v>
      </c>
      <c r="F34" s="21">
        <f t="shared" ref="F34:H34" si="34">F244</f>
        <v>0</v>
      </c>
      <c r="G34" s="21">
        <f t="shared" si="34"/>
        <v>0</v>
      </c>
      <c r="H34" s="21">
        <f t="shared" si="34"/>
        <v>0</v>
      </c>
      <c r="I34" s="85">
        <f t="shared" si="18"/>
        <v>0</v>
      </c>
      <c r="J34" s="85">
        <f t="shared" si="19"/>
        <v>0</v>
      </c>
      <c r="K34" s="85">
        <f t="shared" si="20"/>
        <v>0</v>
      </c>
      <c r="L34" s="85">
        <f t="shared" si="21"/>
        <v>0</v>
      </c>
      <c r="M34" s="17">
        <f t="shared" si="22"/>
        <v>0</v>
      </c>
      <c r="N34" s="85">
        <f t="shared" si="23"/>
        <v>0</v>
      </c>
      <c r="O34" s="85">
        <f t="shared" si="24"/>
        <v>0</v>
      </c>
      <c r="P34" s="85">
        <f t="shared" si="25"/>
        <v>0</v>
      </c>
      <c r="Q34" s="85">
        <f t="shared" si="26"/>
        <v>0</v>
      </c>
      <c r="R34" s="22">
        <f t="shared" si="27"/>
        <v>0</v>
      </c>
      <c r="S34" s="23">
        <f t="shared" si="28"/>
        <v>0</v>
      </c>
      <c r="T34" s="23">
        <f t="shared" si="29"/>
        <v>0</v>
      </c>
      <c r="U34" s="23">
        <f t="shared" si="30"/>
        <v>0</v>
      </c>
      <c r="W34" s="78" t="str">
        <f t="shared" si="32"/>
        <v>Gains on sale of  long-lived assets</v>
      </c>
      <c r="X34" s="64"/>
      <c r="Y34" s="64"/>
      <c r="Z34" s="64"/>
      <c r="AA34" s="64"/>
      <c r="AB34" s="60"/>
      <c r="AC34" s="64"/>
      <c r="AD34" s="64"/>
      <c r="AE34" s="64"/>
      <c r="AF34" s="64"/>
      <c r="AG34" s="60"/>
      <c r="AH34" s="64"/>
      <c r="AI34" s="64"/>
      <c r="AJ34" s="64"/>
    </row>
    <row r="35" spans="2:36" hidden="1" outlineLevel="1" x14ac:dyDescent="0.25">
      <c r="B35" s="229" t="s">
        <v>195</v>
      </c>
      <c r="C35" s="229" t="s">
        <v>195</v>
      </c>
      <c r="E35" s="78" t="s">
        <v>175</v>
      </c>
      <c r="F35" s="21">
        <f t="shared" ref="F35:H35" si="35">F245</f>
        <v>0</v>
      </c>
      <c r="G35" s="21">
        <f t="shared" si="35"/>
        <v>0</v>
      </c>
      <c r="H35" s="21">
        <f t="shared" si="35"/>
        <v>0</v>
      </c>
      <c r="I35" s="85">
        <f t="shared" si="18"/>
        <v>0</v>
      </c>
      <c r="J35" s="85">
        <f t="shared" si="19"/>
        <v>0</v>
      </c>
      <c r="K35" s="85">
        <f t="shared" si="20"/>
        <v>0</v>
      </c>
      <c r="L35" s="85">
        <f t="shared" si="21"/>
        <v>0</v>
      </c>
      <c r="M35" s="17">
        <f t="shared" si="22"/>
        <v>0</v>
      </c>
      <c r="N35" s="85">
        <f t="shared" si="23"/>
        <v>0</v>
      </c>
      <c r="O35" s="85">
        <f t="shared" si="24"/>
        <v>0</v>
      </c>
      <c r="P35" s="85">
        <f t="shared" si="25"/>
        <v>0</v>
      </c>
      <c r="Q35" s="85">
        <f t="shared" si="26"/>
        <v>0</v>
      </c>
      <c r="R35" s="22">
        <f t="shared" si="27"/>
        <v>0</v>
      </c>
      <c r="S35" s="23">
        <f t="shared" si="28"/>
        <v>0</v>
      </c>
      <c r="T35" s="23">
        <f t="shared" si="29"/>
        <v>0</v>
      </c>
      <c r="U35" s="23">
        <f t="shared" si="30"/>
        <v>0</v>
      </c>
      <c r="W35" s="78" t="str">
        <f t="shared" si="32"/>
        <v>Foreign Exchange</v>
      </c>
      <c r="X35" s="64"/>
      <c r="Y35" s="64"/>
      <c r="Z35" s="64"/>
      <c r="AA35" s="64"/>
      <c r="AB35" s="60"/>
      <c r="AC35" s="64"/>
      <c r="AD35" s="64"/>
      <c r="AE35" s="64"/>
      <c r="AF35" s="64"/>
      <c r="AG35" s="60"/>
      <c r="AH35" s="64"/>
      <c r="AI35" s="64"/>
      <c r="AJ35" s="64"/>
    </row>
    <row r="36" spans="2:36" hidden="1" outlineLevel="1" x14ac:dyDescent="0.25">
      <c r="B36" s="229" t="s">
        <v>195</v>
      </c>
      <c r="C36" s="229" t="s">
        <v>195</v>
      </c>
      <c r="E36" s="78" t="s">
        <v>176</v>
      </c>
      <c r="F36" s="21">
        <f t="shared" ref="F36:H36" si="36">F246</f>
        <v>0</v>
      </c>
      <c r="G36" s="21">
        <f t="shared" si="36"/>
        <v>0</v>
      </c>
      <c r="H36" s="21">
        <f t="shared" si="36"/>
        <v>0</v>
      </c>
      <c r="I36" s="85">
        <f t="shared" si="18"/>
        <v>0</v>
      </c>
      <c r="J36" s="85">
        <f t="shared" si="19"/>
        <v>0</v>
      </c>
      <c r="K36" s="85">
        <f t="shared" si="20"/>
        <v>0</v>
      </c>
      <c r="L36" s="85">
        <f t="shared" si="21"/>
        <v>0</v>
      </c>
      <c r="M36" s="17">
        <f t="shared" si="22"/>
        <v>0</v>
      </c>
      <c r="N36" s="85">
        <f t="shared" si="23"/>
        <v>0</v>
      </c>
      <c r="O36" s="85">
        <f t="shared" si="24"/>
        <v>0</v>
      </c>
      <c r="P36" s="85">
        <f t="shared" si="25"/>
        <v>0</v>
      </c>
      <c r="Q36" s="85">
        <f t="shared" si="26"/>
        <v>0</v>
      </c>
      <c r="R36" s="22">
        <f t="shared" si="27"/>
        <v>0</v>
      </c>
      <c r="S36" s="23">
        <f t="shared" si="28"/>
        <v>0</v>
      </c>
      <c r="T36" s="23">
        <f t="shared" si="29"/>
        <v>0</v>
      </c>
      <c r="U36" s="23">
        <f t="shared" si="30"/>
        <v>0</v>
      </c>
      <c r="W36" s="78" t="str">
        <f t="shared" si="32"/>
        <v>One-time legal settlements</v>
      </c>
      <c r="X36" s="64"/>
      <c r="Y36" s="64"/>
      <c r="Z36" s="64"/>
      <c r="AA36" s="64"/>
      <c r="AB36" s="60"/>
      <c r="AC36" s="64"/>
      <c r="AD36" s="64"/>
      <c r="AE36" s="64"/>
      <c r="AF36" s="64"/>
      <c r="AG36" s="60"/>
      <c r="AH36" s="64"/>
      <c r="AI36" s="64"/>
      <c r="AJ36" s="64"/>
    </row>
    <row r="37" spans="2:36" hidden="1" outlineLevel="1" x14ac:dyDescent="0.25">
      <c r="B37" s="229" t="s">
        <v>195</v>
      </c>
      <c r="C37" s="229" t="s">
        <v>195</v>
      </c>
      <c r="E37" s="78" t="s">
        <v>178</v>
      </c>
      <c r="F37" s="21">
        <f t="shared" ref="F37:H37" si="37">F247</f>
        <v>0</v>
      </c>
      <c r="G37" s="21">
        <f t="shared" si="37"/>
        <v>0</v>
      </c>
      <c r="H37" s="21">
        <f t="shared" si="37"/>
        <v>0</v>
      </c>
      <c r="I37" s="85">
        <f t="shared" si="18"/>
        <v>0</v>
      </c>
      <c r="J37" s="85">
        <f t="shared" si="19"/>
        <v>0</v>
      </c>
      <c r="K37" s="85">
        <f t="shared" si="20"/>
        <v>0</v>
      </c>
      <c r="L37" s="85">
        <f t="shared" si="21"/>
        <v>0</v>
      </c>
      <c r="M37" s="17">
        <f t="shared" si="22"/>
        <v>0</v>
      </c>
      <c r="N37" s="85">
        <f t="shared" si="23"/>
        <v>0</v>
      </c>
      <c r="O37" s="85">
        <f t="shared" si="24"/>
        <v>0</v>
      </c>
      <c r="P37" s="85">
        <f t="shared" si="25"/>
        <v>0</v>
      </c>
      <c r="Q37" s="85">
        <f t="shared" si="26"/>
        <v>0</v>
      </c>
      <c r="R37" s="22">
        <f t="shared" si="27"/>
        <v>0</v>
      </c>
      <c r="S37" s="23">
        <f t="shared" si="28"/>
        <v>0</v>
      </c>
      <c r="T37" s="23">
        <f t="shared" si="29"/>
        <v>0</v>
      </c>
      <c r="U37" s="23">
        <f t="shared" si="30"/>
        <v>0</v>
      </c>
      <c r="W37" s="78" t="str">
        <f t="shared" si="32"/>
        <v>Other non-opex income</v>
      </c>
      <c r="X37" s="64"/>
      <c r="Y37" s="64"/>
      <c r="Z37" s="64"/>
      <c r="AA37" s="64"/>
      <c r="AB37" s="60"/>
      <c r="AC37" s="64"/>
      <c r="AD37" s="64"/>
      <c r="AE37" s="64"/>
      <c r="AF37" s="64"/>
      <c r="AG37" s="60"/>
      <c r="AH37" s="64"/>
      <c r="AI37" s="64"/>
      <c r="AJ37" s="64"/>
    </row>
    <row r="38" spans="2:36" hidden="1" outlineLevel="1" x14ac:dyDescent="0.25">
      <c r="B38" s="229" t="s">
        <v>195</v>
      </c>
      <c r="C38" s="229" t="s">
        <v>195</v>
      </c>
      <c r="E38" s="78" t="s">
        <v>178</v>
      </c>
      <c r="F38" s="21">
        <f t="shared" ref="F38:H38" si="38">F248</f>
        <v>0</v>
      </c>
      <c r="G38" s="21">
        <f t="shared" si="38"/>
        <v>0</v>
      </c>
      <c r="H38" s="21">
        <f t="shared" si="38"/>
        <v>0</v>
      </c>
      <c r="I38" s="85">
        <f t="shared" si="18"/>
        <v>0</v>
      </c>
      <c r="J38" s="85">
        <f t="shared" si="19"/>
        <v>0</v>
      </c>
      <c r="K38" s="85">
        <f t="shared" si="20"/>
        <v>0</v>
      </c>
      <c r="L38" s="85">
        <f t="shared" si="21"/>
        <v>0</v>
      </c>
      <c r="M38" s="17">
        <f t="shared" si="22"/>
        <v>0</v>
      </c>
      <c r="N38" s="85">
        <f t="shared" si="23"/>
        <v>0</v>
      </c>
      <c r="O38" s="85">
        <f t="shared" si="24"/>
        <v>0</v>
      </c>
      <c r="P38" s="85">
        <f t="shared" si="25"/>
        <v>0</v>
      </c>
      <c r="Q38" s="85">
        <f t="shared" si="26"/>
        <v>0</v>
      </c>
      <c r="R38" s="22">
        <f t="shared" si="27"/>
        <v>0</v>
      </c>
      <c r="S38" s="23">
        <f t="shared" si="28"/>
        <v>0</v>
      </c>
      <c r="T38" s="23">
        <f t="shared" si="29"/>
        <v>0</v>
      </c>
      <c r="U38" s="23">
        <f t="shared" si="30"/>
        <v>0</v>
      </c>
      <c r="W38" s="78" t="str">
        <f t="shared" si="32"/>
        <v>Other non-opex income</v>
      </c>
      <c r="X38" s="64"/>
      <c r="Y38" s="64"/>
      <c r="Z38" s="64"/>
      <c r="AA38" s="64"/>
      <c r="AB38" s="60"/>
      <c r="AC38" s="64"/>
      <c r="AD38" s="64"/>
      <c r="AE38" s="64"/>
      <c r="AF38" s="64"/>
      <c r="AG38" s="60"/>
      <c r="AH38" s="64"/>
      <c r="AI38" s="64"/>
      <c r="AJ38" s="64"/>
    </row>
    <row r="39" spans="2:36" hidden="1" outlineLevel="1" x14ac:dyDescent="0.25">
      <c r="B39" s="229" t="s">
        <v>195</v>
      </c>
      <c r="C39" s="229" t="s">
        <v>195</v>
      </c>
      <c r="E39" s="78" t="s">
        <v>178</v>
      </c>
      <c r="F39" s="21">
        <f t="shared" ref="F39:H39" si="39">F249</f>
        <v>0</v>
      </c>
      <c r="G39" s="21">
        <f t="shared" si="39"/>
        <v>0</v>
      </c>
      <c r="H39" s="21">
        <f t="shared" si="39"/>
        <v>0</v>
      </c>
      <c r="I39" s="85">
        <f t="shared" si="18"/>
        <v>0</v>
      </c>
      <c r="J39" s="85">
        <f t="shared" si="19"/>
        <v>0</v>
      </c>
      <c r="K39" s="85">
        <f t="shared" si="20"/>
        <v>0</v>
      </c>
      <c r="L39" s="85">
        <f t="shared" si="21"/>
        <v>0</v>
      </c>
      <c r="M39" s="17">
        <f t="shared" si="22"/>
        <v>0</v>
      </c>
      <c r="N39" s="85">
        <f t="shared" si="23"/>
        <v>0</v>
      </c>
      <c r="O39" s="85">
        <f t="shared" si="24"/>
        <v>0</v>
      </c>
      <c r="P39" s="85">
        <f t="shared" si="25"/>
        <v>0</v>
      </c>
      <c r="Q39" s="85">
        <f t="shared" si="26"/>
        <v>0</v>
      </c>
      <c r="R39" s="22">
        <f t="shared" si="27"/>
        <v>0</v>
      </c>
      <c r="S39" s="23">
        <f t="shared" si="28"/>
        <v>0</v>
      </c>
      <c r="T39" s="23">
        <f t="shared" si="29"/>
        <v>0</v>
      </c>
      <c r="U39" s="23">
        <f t="shared" si="30"/>
        <v>0</v>
      </c>
      <c r="W39" s="78" t="str">
        <f t="shared" si="32"/>
        <v>Other non-opex income</v>
      </c>
      <c r="X39" s="64"/>
      <c r="Y39" s="64"/>
      <c r="Z39" s="64"/>
      <c r="AA39" s="64"/>
      <c r="AB39" s="60"/>
      <c r="AC39" s="64"/>
      <c r="AD39" s="64"/>
      <c r="AE39" s="64"/>
      <c r="AF39" s="64"/>
      <c r="AG39" s="60"/>
      <c r="AH39" s="64"/>
      <c r="AI39" s="64"/>
      <c r="AJ39" s="64"/>
    </row>
    <row r="40" spans="2:36" hidden="1" outlineLevel="1" x14ac:dyDescent="0.25">
      <c r="B40" s="229" t="s">
        <v>195</v>
      </c>
      <c r="C40" s="229" t="s">
        <v>195</v>
      </c>
      <c r="E40" s="78" t="s">
        <v>178</v>
      </c>
      <c r="F40" s="21">
        <f t="shared" ref="F40:H40" si="40">F250</f>
        <v>0</v>
      </c>
      <c r="G40" s="21">
        <f t="shared" si="40"/>
        <v>0</v>
      </c>
      <c r="H40" s="21">
        <f t="shared" si="40"/>
        <v>0</v>
      </c>
      <c r="I40" s="85">
        <f t="shared" si="18"/>
        <v>0</v>
      </c>
      <c r="J40" s="85">
        <f t="shared" si="19"/>
        <v>0</v>
      </c>
      <c r="K40" s="85">
        <f t="shared" si="20"/>
        <v>0</v>
      </c>
      <c r="L40" s="85">
        <f t="shared" si="21"/>
        <v>0</v>
      </c>
      <c r="M40" s="17">
        <f t="shared" si="22"/>
        <v>0</v>
      </c>
      <c r="N40" s="85">
        <f t="shared" si="23"/>
        <v>0</v>
      </c>
      <c r="O40" s="85">
        <f t="shared" si="24"/>
        <v>0</v>
      </c>
      <c r="P40" s="85">
        <f t="shared" si="25"/>
        <v>0</v>
      </c>
      <c r="Q40" s="85">
        <f t="shared" si="26"/>
        <v>0</v>
      </c>
      <c r="R40" s="22">
        <f t="shared" si="27"/>
        <v>0</v>
      </c>
      <c r="S40" s="23">
        <f t="shared" si="28"/>
        <v>0</v>
      </c>
      <c r="T40" s="23">
        <f t="shared" si="29"/>
        <v>0</v>
      </c>
      <c r="U40" s="23">
        <f t="shared" si="30"/>
        <v>0</v>
      </c>
      <c r="W40" s="78" t="str">
        <f t="shared" si="32"/>
        <v>Other non-opex income</v>
      </c>
      <c r="X40" s="64"/>
      <c r="Y40" s="64"/>
      <c r="Z40" s="64"/>
      <c r="AA40" s="64"/>
      <c r="AB40" s="60"/>
      <c r="AC40" s="64"/>
      <c r="AD40" s="64"/>
      <c r="AE40" s="64"/>
      <c r="AF40" s="64"/>
      <c r="AG40" s="60"/>
      <c r="AH40" s="64"/>
      <c r="AI40" s="64"/>
      <c r="AJ40" s="64"/>
    </row>
    <row r="41" spans="2:36" ht="15.75" hidden="1" outlineLevel="1" thickBot="1" x14ac:dyDescent="0.3">
      <c r="E41" s="8" t="s">
        <v>27</v>
      </c>
      <c r="F41" s="9">
        <f>SUM(F31:F40)</f>
        <v>0</v>
      </c>
      <c r="G41" s="9">
        <f t="shared" ref="G41" si="41">SUM(G31:G40)</f>
        <v>0</v>
      </c>
      <c r="H41" s="9">
        <f t="shared" ref="H41" si="42">SUM(H31:H40)</f>
        <v>0</v>
      </c>
      <c r="I41" s="86">
        <f t="shared" ref="I41" si="43">SUM(I31:I40)</f>
        <v>0</v>
      </c>
      <c r="J41" s="86">
        <f t="shared" ref="J41" si="44">SUM(J31:J40)</f>
        <v>0</v>
      </c>
      <c r="K41" s="86">
        <f t="shared" ref="K41" si="45">SUM(K31:K40)</f>
        <v>0</v>
      </c>
      <c r="L41" s="86">
        <f t="shared" ref="L41" si="46">SUM(L31:L40)</f>
        <v>0</v>
      </c>
      <c r="M41" s="18">
        <f t="shared" ref="M41" si="47">SUM(M31:M40)</f>
        <v>0</v>
      </c>
      <c r="N41" s="86">
        <f t="shared" ref="N41" si="48">SUM(N31:N40)</f>
        <v>0</v>
      </c>
      <c r="O41" s="86">
        <f t="shared" ref="O41" si="49">SUM(O31:O40)</f>
        <v>0</v>
      </c>
      <c r="P41" s="86">
        <f t="shared" ref="P41" si="50">SUM(P31:P40)</f>
        <v>0</v>
      </c>
      <c r="Q41" s="86">
        <f t="shared" ref="Q41" si="51">SUM(Q31:Q40)</f>
        <v>0</v>
      </c>
      <c r="R41" s="19">
        <f t="shared" ref="R41" si="52">SUM(R31:R40)</f>
        <v>0</v>
      </c>
      <c r="S41" s="20">
        <f t="shared" ref="S41" si="53">SUM(S31:S40)</f>
        <v>0</v>
      </c>
      <c r="T41" s="20">
        <f t="shared" ref="T41" si="54">SUM(T31:T40)</f>
        <v>0</v>
      </c>
      <c r="U41" s="20">
        <f t="shared" ref="U41" si="55">SUM(U31:U40)</f>
        <v>0</v>
      </c>
    </row>
    <row r="42" spans="2:36" ht="15.75" hidden="1" outlineLevel="1" thickTop="1" x14ac:dyDescent="0.25">
      <c r="M42" s="3"/>
    </row>
    <row r="43" spans="2:36" hidden="1" outlineLevel="1" x14ac:dyDescent="0.25">
      <c r="M43" s="3"/>
    </row>
    <row r="44" spans="2:36" hidden="1" outlineLevel="1" x14ac:dyDescent="0.25">
      <c r="M44" s="3"/>
    </row>
    <row r="45" spans="2:36" ht="18.75" collapsed="1" x14ac:dyDescent="0.3">
      <c r="B45" s="4" t="s">
        <v>34</v>
      </c>
      <c r="C45" s="4" t="s">
        <v>387</v>
      </c>
      <c r="E45" s="53" t="str">
        <f>"Scenario 2: "&amp;Inputs!B23</f>
        <v>Scenario 2: Scenario 2</v>
      </c>
      <c r="F45" s="49"/>
      <c r="G45" s="49"/>
      <c r="H45" s="49"/>
      <c r="I45" s="49"/>
      <c r="J45" s="49"/>
      <c r="K45" s="49"/>
      <c r="L45" s="49"/>
      <c r="M45" s="49"/>
      <c r="N45" s="49"/>
      <c r="O45" s="49"/>
      <c r="P45" s="49"/>
      <c r="Q45" s="49"/>
      <c r="R45" s="49"/>
      <c r="S45" s="49"/>
      <c r="T45" s="49"/>
      <c r="U45" s="49"/>
    </row>
    <row r="46" spans="2:36" hidden="1" outlineLevel="1" x14ac:dyDescent="0.25">
      <c r="E46" s="52" t="str">
        <f>Inputs!C23</f>
        <v>Scenario 2 Description</v>
      </c>
    </row>
    <row r="47" spans="2:36" hidden="1" outlineLevel="1" x14ac:dyDescent="0.25"/>
    <row r="48" spans="2:36" hidden="1" outlineLevel="1" x14ac:dyDescent="0.25"/>
    <row r="49" spans="2:36" hidden="1" outlineLevel="1" x14ac:dyDescent="0.25">
      <c r="E49" s="4" t="s">
        <v>162</v>
      </c>
      <c r="W49" s="4" t="str">
        <f>E49</f>
        <v>Non-Operating Expenses</v>
      </c>
    </row>
    <row r="50" spans="2:36" hidden="1" outlineLevel="1" x14ac:dyDescent="0.25">
      <c r="E50" s="6" t="s">
        <v>25</v>
      </c>
      <c r="W50" s="61" t="s">
        <v>62</v>
      </c>
    </row>
    <row r="51" spans="2:36" hidden="1" outlineLevel="1" x14ac:dyDescent="0.25"/>
    <row r="52" spans="2:36" hidden="1" outlineLevel="1" x14ac:dyDescent="0.25">
      <c r="F52" s="12">
        <f>Inputs!$C$7</f>
        <v>2023</v>
      </c>
      <c r="G52" s="12">
        <f>Inputs!$C$8</f>
        <v>2024</v>
      </c>
      <c r="H52" s="12">
        <f>Inputs!$C$9</f>
        <v>2025</v>
      </c>
      <c r="I52" s="13" t="s">
        <v>1</v>
      </c>
      <c r="J52" s="13" t="s">
        <v>2</v>
      </c>
      <c r="K52" s="13" t="s">
        <v>3</v>
      </c>
      <c r="L52" s="13" t="s">
        <v>4</v>
      </c>
      <c r="M52" s="13">
        <f>Inputs!$C$10</f>
        <v>2026</v>
      </c>
      <c r="N52" s="14" t="s">
        <v>1</v>
      </c>
      <c r="O52" s="14" t="s">
        <v>2</v>
      </c>
      <c r="P52" s="14" t="s">
        <v>3</v>
      </c>
      <c r="Q52" s="14" t="s">
        <v>4</v>
      </c>
      <c r="R52" s="15">
        <f>Inputs!$C$11</f>
        <v>2027</v>
      </c>
      <c r="S52" s="16">
        <f>Inputs!$C$12</f>
        <v>2028</v>
      </c>
      <c r="T52" s="16">
        <f>Inputs!$C$13</f>
        <v>2029</v>
      </c>
      <c r="U52" s="16">
        <f>Inputs!$C$14</f>
        <v>2030</v>
      </c>
      <c r="X52" s="13" t="s">
        <v>1</v>
      </c>
      <c r="Y52" s="13" t="s">
        <v>2</v>
      </c>
      <c r="Z52" s="13" t="s">
        <v>3</v>
      </c>
      <c r="AA52" s="13" t="s">
        <v>4</v>
      </c>
      <c r="AB52" s="13">
        <f>Inputs!$C$10</f>
        <v>2026</v>
      </c>
      <c r="AC52" s="14" t="s">
        <v>1</v>
      </c>
      <c r="AD52" s="14" t="s">
        <v>2</v>
      </c>
      <c r="AE52" s="14" t="s">
        <v>3</v>
      </c>
      <c r="AF52" s="14" t="s">
        <v>4</v>
      </c>
      <c r="AG52" s="15">
        <f>Inputs!$C$11</f>
        <v>2027</v>
      </c>
      <c r="AH52" s="16">
        <f>Inputs!$C$12</f>
        <v>2028</v>
      </c>
      <c r="AI52" s="16">
        <f>Inputs!$C$13</f>
        <v>2029</v>
      </c>
      <c r="AJ52" s="16">
        <f>Inputs!$C$14</f>
        <v>2030</v>
      </c>
    </row>
    <row r="53" spans="2:36" hidden="1" outlineLevel="1" x14ac:dyDescent="0.25">
      <c r="F53" s="71" t="s">
        <v>63</v>
      </c>
      <c r="G53" s="71" t="s">
        <v>63</v>
      </c>
      <c r="H53" s="71" t="s">
        <v>63</v>
      </c>
      <c r="I53" s="71" t="s">
        <v>63</v>
      </c>
      <c r="J53" s="71" t="s">
        <v>63</v>
      </c>
      <c r="K53" s="71" t="s">
        <v>63</v>
      </c>
      <c r="L53" s="71" t="s">
        <v>63</v>
      </c>
      <c r="M53" s="71" t="s">
        <v>63</v>
      </c>
      <c r="N53" s="71" t="s">
        <v>63</v>
      </c>
      <c r="O53" s="71" t="s">
        <v>63</v>
      </c>
      <c r="P53" s="71" t="s">
        <v>63</v>
      </c>
      <c r="Q53" s="71" t="s">
        <v>63</v>
      </c>
      <c r="R53" s="71" t="s">
        <v>63</v>
      </c>
      <c r="S53" s="71" t="s">
        <v>63</v>
      </c>
      <c r="T53" s="71" t="s">
        <v>63</v>
      </c>
      <c r="U53" s="71" t="s">
        <v>63</v>
      </c>
      <c r="X53" s="63" t="s">
        <v>30</v>
      </c>
      <c r="Y53" s="63" t="s">
        <v>30</v>
      </c>
      <c r="Z53" s="63" t="s">
        <v>30</v>
      </c>
      <c r="AA53" s="63" t="s">
        <v>30</v>
      </c>
      <c r="AB53" s="62"/>
      <c r="AC53" s="63" t="s">
        <v>30</v>
      </c>
      <c r="AD53" s="63" t="s">
        <v>30</v>
      </c>
      <c r="AE53" s="63" t="s">
        <v>30</v>
      </c>
      <c r="AF53" s="63" t="s">
        <v>30</v>
      </c>
      <c r="AG53" s="62"/>
      <c r="AH53" s="63" t="s">
        <v>30</v>
      </c>
      <c r="AI53" s="63" t="s">
        <v>30</v>
      </c>
      <c r="AJ53" s="63" t="s">
        <v>30</v>
      </c>
    </row>
    <row r="54" spans="2:36" hidden="1" outlineLevel="1" x14ac:dyDescent="0.25">
      <c r="B54" s="229" t="s">
        <v>195</v>
      </c>
      <c r="C54" s="229" t="s">
        <v>195</v>
      </c>
      <c r="E54" s="78" t="s">
        <v>163</v>
      </c>
      <c r="F54" s="21">
        <f>F222</f>
        <v>0</v>
      </c>
      <c r="G54" s="21">
        <f t="shared" ref="G54:H54" si="56">G222</f>
        <v>0</v>
      </c>
      <c r="H54" s="21">
        <f t="shared" si="56"/>
        <v>0</v>
      </c>
      <c r="I54" s="85">
        <f t="shared" ref="I54:I63" si="57">IF(X54="",I222,X54)</f>
        <v>0</v>
      </c>
      <c r="J54" s="85">
        <f t="shared" ref="J54:J63" si="58">IF(Y54="",J222,Y54)</f>
        <v>0</v>
      </c>
      <c r="K54" s="85">
        <f t="shared" ref="K54:K63" si="59">IF(Z54="",K222,Z54)</f>
        <v>0</v>
      </c>
      <c r="L54" s="85">
        <f t="shared" ref="L54:L63" si="60">IF(AA54="",L222,AA54)</f>
        <v>0</v>
      </c>
      <c r="M54" s="17">
        <f t="shared" ref="M54:M63" si="61">SUM(I54:L54)</f>
        <v>0</v>
      </c>
      <c r="N54" s="85">
        <f t="shared" ref="N54:N63" si="62">IF(AC54="",N222,AC54)</f>
        <v>0</v>
      </c>
      <c r="O54" s="85">
        <f t="shared" ref="O54:O63" si="63">IF(AD54="",O222,AD54)</f>
        <v>0</v>
      </c>
      <c r="P54" s="85">
        <f t="shared" ref="P54:P63" si="64">IF(AE54="",P222,AE54)</f>
        <v>0</v>
      </c>
      <c r="Q54" s="85">
        <f t="shared" ref="Q54:Q63" si="65">IF(AF54="",Q222,AF54)</f>
        <v>0</v>
      </c>
      <c r="R54" s="22">
        <f t="shared" ref="R54:R63" si="66">SUM(N54:Q54)</f>
        <v>0</v>
      </c>
      <c r="S54" s="23">
        <f t="shared" ref="S54:S63" si="67">IF(AH54="",S222,AH54)</f>
        <v>0</v>
      </c>
      <c r="T54" s="23">
        <f t="shared" ref="T54:T63" si="68">IF(AI54="",T222,AI54)</f>
        <v>0</v>
      </c>
      <c r="U54" s="23">
        <f t="shared" ref="U54:U63" si="69">IF(AJ54="",U222,AJ54)</f>
        <v>0</v>
      </c>
      <c r="W54" s="78" t="str">
        <f>E54</f>
        <v>Interest Expense</v>
      </c>
      <c r="X54" s="64"/>
      <c r="Y54" s="64"/>
      <c r="Z54" s="64"/>
      <c r="AA54" s="64"/>
      <c r="AB54" s="60"/>
      <c r="AC54" s="64"/>
      <c r="AD54" s="64"/>
      <c r="AE54" s="64"/>
      <c r="AF54" s="64"/>
      <c r="AG54" s="60"/>
      <c r="AH54" s="64"/>
      <c r="AI54" s="64"/>
      <c r="AJ54" s="64"/>
    </row>
    <row r="55" spans="2:36" hidden="1" outlineLevel="1" x14ac:dyDescent="0.25">
      <c r="B55" s="229" t="s">
        <v>195</v>
      </c>
      <c r="C55" s="229" t="s">
        <v>195</v>
      </c>
      <c r="E55" s="78" t="s">
        <v>164</v>
      </c>
      <c r="F55" s="21">
        <f t="shared" ref="F55:H55" si="70">F223</f>
        <v>0</v>
      </c>
      <c r="G55" s="21">
        <f t="shared" si="70"/>
        <v>0</v>
      </c>
      <c r="H55" s="21">
        <f t="shared" si="70"/>
        <v>0</v>
      </c>
      <c r="I55" s="85">
        <f t="shared" si="57"/>
        <v>0</v>
      </c>
      <c r="J55" s="85">
        <f t="shared" si="58"/>
        <v>0</v>
      </c>
      <c r="K55" s="85">
        <f t="shared" si="59"/>
        <v>0</v>
      </c>
      <c r="L55" s="85">
        <f t="shared" si="60"/>
        <v>0</v>
      </c>
      <c r="M55" s="17">
        <f t="shared" si="61"/>
        <v>0</v>
      </c>
      <c r="N55" s="85">
        <f t="shared" si="62"/>
        <v>0</v>
      </c>
      <c r="O55" s="85">
        <f t="shared" si="63"/>
        <v>0</v>
      </c>
      <c r="P55" s="85">
        <f t="shared" si="64"/>
        <v>0</v>
      </c>
      <c r="Q55" s="85">
        <f t="shared" si="65"/>
        <v>0</v>
      </c>
      <c r="R55" s="22">
        <f t="shared" si="66"/>
        <v>0</v>
      </c>
      <c r="S55" s="23">
        <f t="shared" si="67"/>
        <v>0</v>
      </c>
      <c r="T55" s="23">
        <f t="shared" si="68"/>
        <v>0</v>
      </c>
      <c r="U55" s="23">
        <f t="shared" si="69"/>
        <v>0</v>
      </c>
      <c r="W55" s="78" t="str">
        <f t="shared" ref="W55:W63" si="71">E55</f>
        <v>Losses on debt refinancing</v>
      </c>
      <c r="X55" s="64"/>
      <c r="Y55" s="64"/>
      <c r="Z55" s="64"/>
      <c r="AA55" s="64"/>
      <c r="AB55" s="60"/>
      <c r="AC55" s="64"/>
      <c r="AD55" s="64"/>
      <c r="AE55" s="64"/>
      <c r="AF55" s="64"/>
      <c r="AG55" s="60"/>
      <c r="AH55" s="64"/>
      <c r="AI55" s="64"/>
      <c r="AJ55" s="64"/>
    </row>
    <row r="56" spans="2:36" hidden="1" outlineLevel="1" x14ac:dyDescent="0.25">
      <c r="B56" s="229" t="s">
        <v>195</v>
      </c>
      <c r="C56" s="229" t="s">
        <v>195</v>
      </c>
      <c r="E56" s="78" t="s">
        <v>165</v>
      </c>
      <c r="F56" s="21">
        <f t="shared" ref="F56:H56" si="72">F224</f>
        <v>0</v>
      </c>
      <c r="G56" s="21">
        <f t="shared" si="72"/>
        <v>0</v>
      </c>
      <c r="H56" s="21">
        <f t="shared" si="72"/>
        <v>0</v>
      </c>
      <c r="I56" s="85">
        <f t="shared" si="57"/>
        <v>0</v>
      </c>
      <c r="J56" s="85">
        <f t="shared" si="58"/>
        <v>0</v>
      </c>
      <c r="K56" s="85">
        <f t="shared" si="59"/>
        <v>0</v>
      </c>
      <c r="L56" s="85">
        <f t="shared" si="60"/>
        <v>0</v>
      </c>
      <c r="M56" s="17">
        <f t="shared" si="61"/>
        <v>0</v>
      </c>
      <c r="N56" s="85">
        <f t="shared" si="62"/>
        <v>0</v>
      </c>
      <c r="O56" s="85">
        <f t="shared" si="63"/>
        <v>0</v>
      </c>
      <c r="P56" s="85">
        <f t="shared" si="64"/>
        <v>0</v>
      </c>
      <c r="Q56" s="85">
        <f t="shared" si="65"/>
        <v>0</v>
      </c>
      <c r="R56" s="22">
        <f t="shared" si="66"/>
        <v>0</v>
      </c>
      <c r="S56" s="23">
        <f t="shared" si="67"/>
        <v>0</v>
      </c>
      <c r="T56" s="23">
        <f t="shared" si="68"/>
        <v>0</v>
      </c>
      <c r="U56" s="23">
        <f t="shared" si="69"/>
        <v>0</v>
      </c>
      <c r="W56" s="78" t="str">
        <f t="shared" si="71"/>
        <v>Unrealized/Realized Losses on Investments</v>
      </c>
      <c r="X56" s="64"/>
      <c r="Y56" s="64"/>
      <c r="Z56" s="64"/>
      <c r="AA56" s="64"/>
      <c r="AB56" s="60"/>
      <c r="AC56" s="64"/>
      <c r="AD56" s="64"/>
      <c r="AE56" s="64"/>
      <c r="AF56" s="64"/>
      <c r="AG56" s="60"/>
      <c r="AH56" s="64"/>
      <c r="AI56" s="64"/>
      <c r="AJ56" s="64"/>
    </row>
    <row r="57" spans="2:36" hidden="1" outlineLevel="1" x14ac:dyDescent="0.25">
      <c r="B57" s="229" t="s">
        <v>195</v>
      </c>
      <c r="C57" s="229" t="s">
        <v>195</v>
      </c>
      <c r="E57" s="78" t="s">
        <v>166</v>
      </c>
      <c r="F57" s="21">
        <f t="shared" ref="F57:H57" si="73">F225</f>
        <v>0</v>
      </c>
      <c r="G57" s="21">
        <f t="shared" si="73"/>
        <v>0</v>
      </c>
      <c r="H57" s="21">
        <f t="shared" si="73"/>
        <v>0</v>
      </c>
      <c r="I57" s="85">
        <f t="shared" si="57"/>
        <v>0</v>
      </c>
      <c r="J57" s="85">
        <f t="shared" si="58"/>
        <v>0</v>
      </c>
      <c r="K57" s="85">
        <f t="shared" si="59"/>
        <v>0</v>
      </c>
      <c r="L57" s="85">
        <f t="shared" si="60"/>
        <v>0</v>
      </c>
      <c r="M57" s="17">
        <f t="shared" si="61"/>
        <v>0</v>
      </c>
      <c r="N57" s="85">
        <f t="shared" si="62"/>
        <v>0</v>
      </c>
      <c r="O57" s="85">
        <f t="shared" si="63"/>
        <v>0</v>
      </c>
      <c r="P57" s="85">
        <f t="shared" si="64"/>
        <v>0</v>
      </c>
      <c r="Q57" s="85">
        <f t="shared" si="65"/>
        <v>0</v>
      </c>
      <c r="R57" s="22">
        <f t="shared" si="66"/>
        <v>0</v>
      </c>
      <c r="S57" s="23">
        <f t="shared" si="67"/>
        <v>0</v>
      </c>
      <c r="T57" s="23">
        <f t="shared" si="68"/>
        <v>0</v>
      </c>
      <c r="U57" s="23">
        <f t="shared" si="69"/>
        <v>0</v>
      </c>
      <c r="W57" s="78" t="str">
        <f t="shared" si="71"/>
        <v>FX Losses</v>
      </c>
      <c r="X57" s="64"/>
      <c r="Y57" s="64"/>
      <c r="Z57" s="64"/>
      <c r="AA57" s="64"/>
      <c r="AB57" s="60"/>
      <c r="AC57" s="64"/>
      <c r="AD57" s="64"/>
      <c r="AE57" s="64"/>
      <c r="AF57" s="64"/>
      <c r="AG57" s="60"/>
      <c r="AH57" s="64"/>
      <c r="AI57" s="64"/>
      <c r="AJ57" s="64"/>
    </row>
    <row r="58" spans="2:36" hidden="1" outlineLevel="1" x14ac:dyDescent="0.25">
      <c r="B58" s="229" t="s">
        <v>195</v>
      </c>
      <c r="C58" s="229" t="s">
        <v>195</v>
      </c>
      <c r="E58" s="78" t="s">
        <v>167</v>
      </c>
      <c r="F58" s="21">
        <f t="shared" ref="F58:H58" si="74">F226</f>
        <v>0</v>
      </c>
      <c r="G58" s="21">
        <f t="shared" si="74"/>
        <v>0</v>
      </c>
      <c r="H58" s="21">
        <f t="shared" si="74"/>
        <v>0</v>
      </c>
      <c r="I58" s="85">
        <f t="shared" si="57"/>
        <v>0</v>
      </c>
      <c r="J58" s="85">
        <f t="shared" si="58"/>
        <v>0</v>
      </c>
      <c r="K58" s="85">
        <f t="shared" si="59"/>
        <v>0</v>
      </c>
      <c r="L58" s="85">
        <f t="shared" si="60"/>
        <v>0</v>
      </c>
      <c r="M58" s="17">
        <f t="shared" si="61"/>
        <v>0</v>
      </c>
      <c r="N58" s="85">
        <f t="shared" si="62"/>
        <v>0</v>
      </c>
      <c r="O58" s="85">
        <f t="shared" si="63"/>
        <v>0</v>
      </c>
      <c r="P58" s="85">
        <f t="shared" si="64"/>
        <v>0</v>
      </c>
      <c r="Q58" s="85">
        <f t="shared" si="65"/>
        <v>0</v>
      </c>
      <c r="R58" s="22">
        <f t="shared" si="66"/>
        <v>0</v>
      </c>
      <c r="S58" s="23">
        <f t="shared" si="67"/>
        <v>0</v>
      </c>
      <c r="T58" s="23">
        <f t="shared" si="68"/>
        <v>0</v>
      </c>
      <c r="U58" s="23">
        <f t="shared" si="69"/>
        <v>0</v>
      </c>
      <c r="W58" s="78" t="str">
        <f t="shared" si="71"/>
        <v>Impairments of non-operating assets</v>
      </c>
      <c r="X58" s="64"/>
      <c r="Y58" s="64"/>
      <c r="Z58" s="64"/>
      <c r="AA58" s="64"/>
      <c r="AB58" s="60"/>
      <c r="AC58" s="64"/>
      <c r="AD58" s="64"/>
      <c r="AE58" s="64"/>
      <c r="AF58" s="64"/>
      <c r="AG58" s="60"/>
      <c r="AH58" s="64"/>
      <c r="AI58" s="64"/>
      <c r="AJ58" s="64"/>
    </row>
    <row r="59" spans="2:36" hidden="1" outlineLevel="1" x14ac:dyDescent="0.25">
      <c r="B59" s="229" t="s">
        <v>195</v>
      </c>
      <c r="C59" s="229" t="s">
        <v>195</v>
      </c>
      <c r="E59" s="78" t="s">
        <v>168</v>
      </c>
      <c r="F59" s="21">
        <f t="shared" ref="F59:H59" si="75">F227</f>
        <v>0</v>
      </c>
      <c r="G59" s="21">
        <f t="shared" si="75"/>
        <v>0</v>
      </c>
      <c r="H59" s="21">
        <f t="shared" si="75"/>
        <v>0</v>
      </c>
      <c r="I59" s="85">
        <f t="shared" si="57"/>
        <v>0</v>
      </c>
      <c r="J59" s="85">
        <f t="shared" si="58"/>
        <v>0</v>
      </c>
      <c r="K59" s="85">
        <f t="shared" si="59"/>
        <v>0</v>
      </c>
      <c r="L59" s="85">
        <f t="shared" si="60"/>
        <v>0</v>
      </c>
      <c r="M59" s="17">
        <f t="shared" si="61"/>
        <v>0</v>
      </c>
      <c r="N59" s="85">
        <f t="shared" si="62"/>
        <v>0</v>
      </c>
      <c r="O59" s="85">
        <f t="shared" si="63"/>
        <v>0</v>
      </c>
      <c r="P59" s="85">
        <f t="shared" si="64"/>
        <v>0</v>
      </c>
      <c r="Q59" s="85">
        <f t="shared" si="65"/>
        <v>0</v>
      </c>
      <c r="R59" s="22">
        <f t="shared" si="66"/>
        <v>0</v>
      </c>
      <c r="S59" s="23">
        <f t="shared" si="67"/>
        <v>0</v>
      </c>
      <c r="T59" s="23">
        <f t="shared" si="68"/>
        <v>0</v>
      </c>
      <c r="U59" s="23">
        <f t="shared" si="69"/>
        <v>0</v>
      </c>
      <c r="W59" s="78" t="str">
        <f t="shared" si="71"/>
        <v>Legal charges/settlements</v>
      </c>
      <c r="X59" s="64"/>
      <c r="Y59" s="64"/>
      <c r="Z59" s="64"/>
      <c r="AA59" s="64"/>
      <c r="AB59" s="60"/>
      <c r="AC59" s="64"/>
      <c r="AD59" s="64"/>
      <c r="AE59" s="64"/>
      <c r="AF59" s="64"/>
      <c r="AG59" s="60"/>
      <c r="AH59" s="64"/>
      <c r="AI59" s="64"/>
      <c r="AJ59" s="64"/>
    </row>
    <row r="60" spans="2:36" hidden="1" outlineLevel="1" x14ac:dyDescent="0.25">
      <c r="B60" s="229" t="s">
        <v>195</v>
      </c>
      <c r="C60" s="229" t="s">
        <v>195</v>
      </c>
      <c r="E60" s="78" t="s">
        <v>169</v>
      </c>
      <c r="F60" s="21">
        <f t="shared" ref="F60:H60" si="76">F228</f>
        <v>0</v>
      </c>
      <c r="G60" s="21">
        <f t="shared" si="76"/>
        <v>0</v>
      </c>
      <c r="H60" s="21">
        <f t="shared" si="76"/>
        <v>0</v>
      </c>
      <c r="I60" s="85">
        <f t="shared" si="57"/>
        <v>0</v>
      </c>
      <c r="J60" s="85">
        <f t="shared" si="58"/>
        <v>0</v>
      </c>
      <c r="K60" s="85">
        <f t="shared" si="59"/>
        <v>0</v>
      </c>
      <c r="L60" s="85">
        <f t="shared" si="60"/>
        <v>0</v>
      </c>
      <c r="M60" s="17">
        <f t="shared" si="61"/>
        <v>0</v>
      </c>
      <c r="N60" s="85">
        <f t="shared" si="62"/>
        <v>0</v>
      </c>
      <c r="O60" s="85">
        <f t="shared" si="63"/>
        <v>0</v>
      </c>
      <c r="P60" s="85">
        <f t="shared" si="64"/>
        <v>0</v>
      </c>
      <c r="Q60" s="85">
        <f t="shared" si="65"/>
        <v>0</v>
      </c>
      <c r="R60" s="22">
        <f t="shared" si="66"/>
        <v>0</v>
      </c>
      <c r="S60" s="23">
        <f t="shared" si="67"/>
        <v>0</v>
      </c>
      <c r="T60" s="23">
        <f t="shared" si="68"/>
        <v>0</v>
      </c>
      <c r="U60" s="23">
        <f t="shared" si="69"/>
        <v>0</v>
      </c>
      <c r="W60" s="78" t="str">
        <f t="shared" si="71"/>
        <v>Other non-opex</v>
      </c>
      <c r="X60" s="64"/>
      <c r="Y60" s="64"/>
      <c r="Z60" s="64"/>
      <c r="AA60" s="64"/>
      <c r="AB60" s="60"/>
      <c r="AC60" s="64"/>
      <c r="AD60" s="64"/>
      <c r="AE60" s="64"/>
      <c r="AF60" s="64"/>
      <c r="AG60" s="60"/>
      <c r="AH60" s="64"/>
      <c r="AI60" s="64"/>
      <c r="AJ60" s="64"/>
    </row>
    <row r="61" spans="2:36" hidden="1" outlineLevel="1" x14ac:dyDescent="0.25">
      <c r="B61" s="229" t="s">
        <v>195</v>
      </c>
      <c r="C61" s="229" t="s">
        <v>195</v>
      </c>
      <c r="E61" s="78" t="s">
        <v>169</v>
      </c>
      <c r="F61" s="21">
        <f t="shared" ref="F61:H61" si="77">F229</f>
        <v>0</v>
      </c>
      <c r="G61" s="21">
        <f t="shared" si="77"/>
        <v>0</v>
      </c>
      <c r="H61" s="21">
        <f t="shared" si="77"/>
        <v>0</v>
      </c>
      <c r="I61" s="85">
        <f t="shared" si="57"/>
        <v>0</v>
      </c>
      <c r="J61" s="85">
        <f t="shared" si="58"/>
        <v>0</v>
      </c>
      <c r="K61" s="85">
        <f t="shared" si="59"/>
        <v>0</v>
      </c>
      <c r="L61" s="85">
        <f t="shared" si="60"/>
        <v>0</v>
      </c>
      <c r="M61" s="17">
        <f t="shared" si="61"/>
        <v>0</v>
      </c>
      <c r="N61" s="85">
        <f t="shared" si="62"/>
        <v>0</v>
      </c>
      <c r="O61" s="85">
        <f t="shared" si="63"/>
        <v>0</v>
      </c>
      <c r="P61" s="85">
        <f t="shared" si="64"/>
        <v>0</v>
      </c>
      <c r="Q61" s="85">
        <f t="shared" si="65"/>
        <v>0</v>
      </c>
      <c r="R61" s="22">
        <f t="shared" si="66"/>
        <v>0</v>
      </c>
      <c r="S61" s="23">
        <f t="shared" si="67"/>
        <v>0</v>
      </c>
      <c r="T61" s="23">
        <f t="shared" si="68"/>
        <v>0</v>
      </c>
      <c r="U61" s="23">
        <f t="shared" si="69"/>
        <v>0</v>
      </c>
      <c r="W61" s="78" t="str">
        <f t="shared" si="71"/>
        <v>Other non-opex</v>
      </c>
      <c r="X61" s="64"/>
      <c r="Y61" s="64"/>
      <c r="Z61" s="64"/>
      <c r="AA61" s="64"/>
      <c r="AB61" s="60"/>
      <c r="AC61" s="64"/>
      <c r="AD61" s="64"/>
      <c r="AE61" s="64"/>
      <c r="AF61" s="64"/>
      <c r="AG61" s="60"/>
      <c r="AH61" s="64"/>
      <c r="AI61" s="64"/>
      <c r="AJ61" s="64"/>
    </row>
    <row r="62" spans="2:36" hidden="1" outlineLevel="1" x14ac:dyDescent="0.25">
      <c r="B62" s="229" t="s">
        <v>195</v>
      </c>
      <c r="C62" s="229" t="s">
        <v>195</v>
      </c>
      <c r="E62" s="78" t="s">
        <v>169</v>
      </c>
      <c r="F62" s="21">
        <f t="shared" ref="F62:H62" si="78">F230</f>
        <v>0</v>
      </c>
      <c r="G62" s="21">
        <f t="shared" si="78"/>
        <v>0</v>
      </c>
      <c r="H62" s="21">
        <f t="shared" si="78"/>
        <v>0</v>
      </c>
      <c r="I62" s="85">
        <f t="shared" si="57"/>
        <v>0</v>
      </c>
      <c r="J62" s="85">
        <f t="shared" si="58"/>
        <v>0</v>
      </c>
      <c r="K62" s="85">
        <f t="shared" si="59"/>
        <v>0</v>
      </c>
      <c r="L62" s="85">
        <f t="shared" si="60"/>
        <v>0</v>
      </c>
      <c r="M62" s="17">
        <f t="shared" si="61"/>
        <v>0</v>
      </c>
      <c r="N62" s="85">
        <f t="shared" si="62"/>
        <v>0</v>
      </c>
      <c r="O62" s="85">
        <f t="shared" si="63"/>
        <v>0</v>
      </c>
      <c r="P62" s="85">
        <f t="shared" si="64"/>
        <v>0</v>
      </c>
      <c r="Q62" s="85">
        <f t="shared" si="65"/>
        <v>0</v>
      </c>
      <c r="R62" s="22">
        <f t="shared" si="66"/>
        <v>0</v>
      </c>
      <c r="S62" s="23">
        <f t="shared" si="67"/>
        <v>0</v>
      </c>
      <c r="T62" s="23">
        <f t="shared" si="68"/>
        <v>0</v>
      </c>
      <c r="U62" s="23">
        <f t="shared" si="69"/>
        <v>0</v>
      </c>
      <c r="W62" s="78" t="str">
        <f t="shared" si="71"/>
        <v>Other non-opex</v>
      </c>
      <c r="X62" s="64"/>
      <c r="Y62" s="64"/>
      <c r="Z62" s="64"/>
      <c r="AA62" s="64"/>
      <c r="AB62" s="60"/>
      <c r="AC62" s="64"/>
      <c r="AD62" s="64"/>
      <c r="AE62" s="64"/>
      <c r="AF62" s="64"/>
      <c r="AG62" s="60"/>
      <c r="AH62" s="64"/>
      <c r="AI62" s="64"/>
      <c r="AJ62" s="64"/>
    </row>
    <row r="63" spans="2:36" hidden="1" outlineLevel="1" x14ac:dyDescent="0.25">
      <c r="B63" s="229" t="s">
        <v>195</v>
      </c>
      <c r="C63" s="229" t="s">
        <v>195</v>
      </c>
      <c r="E63" s="78" t="s">
        <v>169</v>
      </c>
      <c r="F63" s="21">
        <f t="shared" ref="F63:H63" si="79">F231</f>
        <v>0</v>
      </c>
      <c r="G63" s="21">
        <f t="shared" si="79"/>
        <v>0</v>
      </c>
      <c r="H63" s="21">
        <f t="shared" si="79"/>
        <v>0</v>
      </c>
      <c r="I63" s="85">
        <f t="shared" si="57"/>
        <v>0</v>
      </c>
      <c r="J63" s="85">
        <f t="shared" si="58"/>
        <v>0</v>
      </c>
      <c r="K63" s="85">
        <f t="shared" si="59"/>
        <v>0</v>
      </c>
      <c r="L63" s="85">
        <f t="shared" si="60"/>
        <v>0</v>
      </c>
      <c r="M63" s="17">
        <f t="shared" si="61"/>
        <v>0</v>
      </c>
      <c r="N63" s="85">
        <f t="shared" si="62"/>
        <v>0</v>
      </c>
      <c r="O63" s="85">
        <f t="shared" si="63"/>
        <v>0</v>
      </c>
      <c r="P63" s="85">
        <f t="shared" si="64"/>
        <v>0</v>
      </c>
      <c r="Q63" s="85">
        <f t="shared" si="65"/>
        <v>0</v>
      </c>
      <c r="R63" s="22">
        <f t="shared" si="66"/>
        <v>0</v>
      </c>
      <c r="S63" s="23">
        <f t="shared" si="67"/>
        <v>0</v>
      </c>
      <c r="T63" s="23">
        <f t="shared" si="68"/>
        <v>0</v>
      </c>
      <c r="U63" s="23">
        <f t="shared" si="69"/>
        <v>0</v>
      </c>
      <c r="W63" s="78" t="str">
        <f t="shared" si="71"/>
        <v>Other non-opex</v>
      </c>
      <c r="X63" s="64"/>
      <c r="Y63" s="64"/>
      <c r="Z63" s="64"/>
      <c r="AA63" s="64"/>
      <c r="AB63" s="60"/>
      <c r="AC63" s="64"/>
      <c r="AD63" s="64"/>
      <c r="AE63" s="64"/>
      <c r="AF63" s="64"/>
      <c r="AG63" s="60"/>
      <c r="AH63" s="64"/>
      <c r="AI63" s="64"/>
      <c r="AJ63" s="64"/>
    </row>
    <row r="64" spans="2:36" ht="15.75" hidden="1" outlineLevel="1" thickBot="1" x14ac:dyDescent="0.3">
      <c r="E64" s="8" t="s">
        <v>27</v>
      </c>
      <c r="F64" s="9">
        <f>SUM(F54:F63)</f>
        <v>0</v>
      </c>
      <c r="G64" s="9">
        <f t="shared" ref="G64" si="80">SUM(G54:G63)</f>
        <v>0</v>
      </c>
      <c r="H64" s="9">
        <f t="shared" ref="H64" si="81">SUM(H54:H63)</f>
        <v>0</v>
      </c>
      <c r="I64" s="86">
        <f t="shared" ref="I64" si="82">SUM(I54:I63)</f>
        <v>0</v>
      </c>
      <c r="J64" s="86">
        <f t="shared" ref="J64" si="83">SUM(J54:J63)</f>
        <v>0</v>
      </c>
      <c r="K64" s="86">
        <f t="shared" ref="K64" si="84">SUM(K54:K63)</f>
        <v>0</v>
      </c>
      <c r="L64" s="86">
        <f t="shared" ref="L64" si="85">SUM(L54:L63)</f>
        <v>0</v>
      </c>
      <c r="M64" s="18">
        <f t="shared" ref="M64" si="86">SUM(M54:M63)</f>
        <v>0</v>
      </c>
      <c r="N64" s="86">
        <f t="shared" ref="N64" si="87">SUM(N54:N63)</f>
        <v>0</v>
      </c>
      <c r="O64" s="86">
        <f t="shared" ref="O64" si="88">SUM(O54:O63)</f>
        <v>0</v>
      </c>
      <c r="P64" s="86">
        <f t="shared" ref="P64" si="89">SUM(P54:P63)</f>
        <v>0</v>
      </c>
      <c r="Q64" s="86">
        <f t="shared" ref="Q64" si="90">SUM(Q54:Q63)</f>
        <v>0</v>
      </c>
      <c r="R64" s="19">
        <f t="shared" ref="R64" si="91">SUM(R54:R63)</f>
        <v>0</v>
      </c>
      <c r="S64" s="20">
        <f t="shared" ref="S64" si="92">SUM(S54:S63)</f>
        <v>0</v>
      </c>
      <c r="T64" s="20">
        <f t="shared" ref="T64" si="93">SUM(T54:T63)</f>
        <v>0</v>
      </c>
      <c r="U64" s="20">
        <f t="shared" ref="U64" si="94">SUM(U54:U63)</f>
        <v>0</v>
      </c>
    </row>
    <row r="65" spans="2:36" ht="15.75" hidden="1" outlineLevel="1" thickTop="1" x14ac:dyDescent="0.25">
      <c r="M65" s="3"/>
    </row>
    <row r="66" spans="2:36" hidden="1" outlineLevel="1" x14ac:dyDescent="0.25">
      <c r="M66" s="3"/>
    </row>
    <row r="67" spans="2:36" hidden="1" outlineLevel="1" x14ac:dyDescent="0.25">
      <c r="M67" s="3"/>
    </row>
    <row r="68" spans="2:36" hidden="1" outlineLevel="1" x14ac:dyDescent="0.25">
      <c r="E68" s="4" t="s">
        <v>179</v>
      </c>
      <c r="W68" s="4" t="str">
        <f>E68</f>
        <v>Non-Operating Income (Show as negative)</v>
      </c>
    </row>
    <row r="69" spans="2:36" hidden="1" outlineLevel="1" x14ac:dyDescent="0.25">
      <c r="E69" s="6" t="s">
        <v>25</v>
      </c>
      <c r="W69" s="61" t="s">
        <v>62</v>
      </c>
    </row>
    <row r="70" spans="2:36" hidden="1" outlineLevel="1" x14ac:dyDescent="0.25"/>
    <row r="71" spans="2:36" hidden="1" outlineLevel="1" x14ac:dyDescent="0.25">
      <c r="F71" s="12">
        <f>Inputs!$C$7</f>
        <v>2023</v>
      </c>
      <c r="G71" s="12">
        <f>Inputs!$C$8</f>
        <v>2024</v>
      </c>
      <c r="H71" s="12">
        <f>Inputs!$C$9</f>
        <v>2025</v>
      </c>
      <c r="I71" s="13" t="s">
        <v>1</v>
      </c>
      <c r="J71" s="13" t="s">
        <v>2</v>
      </c>
      <c r="K71" s="13" t="s">
        <v>3</v>
      </c>
      <c r="L71" s="13" t="s">
        <v>4</v>
      </c>
      <c r="M71" s="13">
        <f>Inputs!$C$10</f>
        <v>2026</v>
      </c>
      <c r="N71" s="14" t="s">
        <v>1</v>
      </c>
      <c r="O71" s="14" t="s">
        <v>2</v>
      </c>
      <c r="P71" s="14" t="s">
        <v>3</v>
      </c>
      <c r="Q71" s="14" t="s">
        <v>4</v>
      </c>
      <c r="R71" s="15">
        <f>Inputs!$C$11</f>
        <v>2027</v>
      </c>
      <c r="S71" s="16">
        <f>Inputs!$C$12</f>
        <v>2028</v>
      </c>
      <c r="T71" s="16">
        <f>Inputs!$C$13</f>
        <v>2029</v>
      </c>
      <c r="U71" s="16">
        <f>Inputs!$C$14</f>
        <v>2030</v>
      </c>
      <c r="X71" s="13" t="s">
        <v>1</v>
      </c>
      <c r="Y71" s="13" t="s">
        <v>2</v>
      </c>
      <c r="Z71" s="13" t="s">
        <v>3</v>
      </c>
      <c r="AA71" s="13" t="s">
        <v>4</v>
      </c>
      <c r="AB71" s="13">
        <f>Inputs!$C$10</f>
        <v>2026</v>
      </c>
      <c r="AC71" s="14" t="s">
        <v>1</v>
      </c>
      <c r="AD71" s="14" t="s">
        <v>2</v>
      </c>
      <c r="AE71" s="14" t="s">
        <v>3</v>
      </c>
      <c r="AF71" s="14" t="s">
        <v>4</v>
      </c>
      <c r="AG71" s="15">
        <f>Inputs!$C$11</f>
        <v>2027</v>
      </c>
      <c r="AH71" s="16">
        <f>Inputs!$C$12</f>
        <v>2028</v>
      </c>
      <c r="AI71" s="16">
        <f>Inputs!$C$13</f>
        <v>2029</v>
      </c>
      <c r="AJ71" s="16">
        <f>Inputs!$C$14</f>
        <v>2030</v>
      </c>
    </row>
    <row r="72" spans="2:36" hidden="1" outlineLevel="1" x14ac:dyDescent="0.25">
      <c r="F72" s="71" t="s">
        <v>63</v>
      </c>
      <c r="G72" s="71" t="s">
        <v>63</v>
      </c>
      <c r="H72" s="71" t="s">
        <v>63</v>
      </c>
      <c r="I72" s="71" t="s">
        <v>63</v>
      </c>
      <c r="J72" s="71" t="s">
        <v>63</v>
      </c>
      <c r="K72" s="71" t="s">
        <v>63</v>
      </c>
      <c r="L72" s="71" t="s">
        <v>63</v>
      </c>
      <c r="M72" s="71" t="s">
        <v>63</v>
      </c>
      <c r="N72" s="71" t="s">
        <v>63</v>
      </c>
      <c r="O72" s="71" t="s">
        <v>63</v>
      </c>
      <c r="P72" s="71" t="s">
        <v>63</v>
      </c>
      <c r="Q72" s="71" t="s">
        <v>63</v>
      </c>
      <c r="R72" s="71" t="s">
        <v>63</v>
      </c>
      <c r="S72" s="71" t="s">
        <v>63</v>
      </c>
      <c r="T72" s="71" t="s">
        <v>63</v>
      </c>
      <c r="U72" s="71" t="s">
        <v>63</v>
      </c>
      <c r="X72" s="63" t="s">
        <v>30</v>
      </c>
      <c r="Y72" s="63" t="s">
        <v>30</v>
      </c>
      <c r="Z72" s="63" t="s">
        <v>30</v>
      </c>
      <c r="AA72" s="63" t="s">
        <v>30</v>
      </c>
      <c r="AB72" s="62"/>
      <c r="AC72" s="63" t="s">
        <v>30</v>
      </c>
      <c r="AD72" s="63" t="s">
        <v>30</v>
      </c>
      <c r="AE72" s="63" t="s">
        <v>30</v>
      </c>
      <c r="AF72" s="63" t="s">
        <v>30</v>
      </c>
      <c r="AG72" s="62"/>
      <c r="AH72" s="63" t="s">
        <v>30</v>
      </c>
      <c r="AI72" s="63" t="s">
        <v>30</v>
      </c>
      <c r="AJ72" s="63" t="s">
        <v>30</v>
      </c>
    </row>
    <row r="73" spans="2:36" hidden="1" outlineLevel="1" x14ac:dyDescent="0.25">
      <c r="B73" s="229" t="s">
        <v>195</v>
      </c>
      <c r="C73" s="229" t="s">
        <v>195</v>
      </c>
      <c r="E73" s="78" t="s">
        <v>171</v>
      </c>
      <c r="F73" s="21">
        <f>F241</f>
        <v>0</v>
      </c>
      <c r="G73" s="21">
        <f t="shared" ref="G73:H73" si="95">G241</f>
        <v>0</v>
      </c>
      <c r="H73" s="21">
        <f t="shared" si="95"/>
        <v>0</v>
      </c>
      <c r="I73" s="85">
        <f t="shared" ref="I73:I82" si="96">IF(X73="",I241,X73)</f>
        <v>0</v>
      </c>
      <c r="J73" s="85">
        <f t="shared" ref="J73:J82" si="97">IF(Y73="",J241,Y73)</f>
        <v>0</v>
      </c>
      <c r="K73" s="85">
        <f t="shared" ref="K73:K82" si="98">IF(Z73="",K241,Z73)</f>
        <v>0</v>
      </c>
      <c r="L73" s="85">
        <f t="shared" ref="L73:L82" si="99">IF(AA73="",L241,AA73)</f>
        <v>0</v>
      </c>
      <c r="M73" s="17">
        <f t="shared" ref="M73:M82" si="100">SUM(I73:L73)</f>
        <v>0</v>
      </c>
      <c r="N73" s="85">
        <f t="shared" ref="N73:N82" si="101">IF(AC73="",N241,AC73)</f>
        <v>0</v>
      </c>
      <c r="O73" s="85">
        <f t="shared" ref="O73:O82" si="102">IF(AD73="",O241,AD73)</f>
        <v>0</v>
      </c>
      <c r="P73" s="85">
        <f t="shared" ref="P73:P82" si="103">IF(AE73="",P241,AE73)</f>
        <v>0</v>
      </c>
      <c r="Q73" s="85">
        <f t="shared" ref="Q73:Q82" si="104">IF(AF73="",Q241,AF73)</f>
        <v>0</v>
      </c>
      <c r="R73" s="22">
        <f t="shared" ref="R73:R82" si="105">SUM(N73:Q73)</f>
        <v>0</v>
      </c>
      <c r="S73" s="23">
        <f t="shared" ref="S73:S82" si="106">IF(AH73="",S241,AH73)</f>
        <v>0</v>
      </c>
      <c r="T73" s="23">
        <f t="shared" ref="T73:T82" si="107">IF(AI73="",T241,AI73)</f>
        <v>0</v>
      </c>
      <c r="U73" s="23">
        <f t="shared" ref="U73:U82" si="108">IF(AJ73="",U241,AJ73)</f>
        <v>0</v>
      </c>
      <c r="W73" s="78" t="str">
        <f>E73</f>
        <v>Interest Income</v>
      </c>
      <c r="X73" s="64"/>
      <c r="Y73" s="64"/>
      <c r="Z73" s="64"/>
      <c r="AA73" s="64"/>
      <c r="AB73" s="60"/>
      <c r="AC73" s="64"/>
      <c r="AD73" s="64"/>
      <c r="AE73" s="64"/>
      <c r="AF73" s="64"/>
      <c r="AG73" s="60"/>
      <c r="AH73" s="64"/>
      <c r="AI73" s="64"/>
      <c r="AJ73" s="64"/>
    </row>
    <row r="74" spans="2:36" hidden="1" outlineLevel="1" x14ac:dyDescent="0.25">
      <c r="B74" s="229" t="s">
        <v>195</v>
      </c>
      <c r="C74" s="229" t="s">
        <v>195</v>
      </c>
      <c r="E74" s="78" t="s">
        <v>172</v>
      </c>
      <c r="F74" s="21">
        <f t="shared" ref="F74:H74" si="109">F242</f>
        <v>0</v>
      </c>
      <c r="G74" s="21">
        <f t="shared" si="109"/>
        <v>0</v>
      </c>
      <c r="H74" s="21">
        <f t="shared" si="109"/>
        <v>0</v>
      </c>
      <c r="I74" s="85">
        <f t="shared" si="96"/>
        <v>0</v>
      </c>
      <c r="J74" s="85">
        <f t="shared" si="97"/>
        <v>0</v>
      </c>
      <c r="K74" s="85">
        <f t="shared" si="98"/>
        <v>0</v>
      </c>
      <c r="L74" s="85">
        <f t="shared" si="99"/>
        <v>0</v>
      </c>
      <c r="M74" s="17">
        <f t="shared" si="100"/>
        <v>0</v>
      </c>
      <c r="N74" s="85">
        <f t="shared" si="101"/>
        <v>0</v>
      </c>
      <c r="O74" s="85">
        <f t="shared" si="102"/>
        <v>0</v>
      </c>
      <c r="P74" s="85">
        <f t="shared" si="103"/>
        <v>0</v>
      </c>
      <c r="Q74" s="85">
        <f t="shared" si="104"/>
        <v>0</v>
      </c>
      <c r="R74" s="22">
        <f t="shared" si="105"/>
        <v>0</v>
      </c>
      <c r="S74" s="23">
        <f t="shared" si="106"/>
        <v>0</v>
      </c>
      <c r="T74" s="23">
        <f t="shared" si="107"/>
        <v>0</v>
      </c>
      <c r="U74" s="23">
        <f t="shared" si="108"/>
        <v>0</v>
      </c>
      <c r="W74" s="78" t="str">
        <f t="shared" ref="W74:W82" si="110">E74</f>
        <v>Investment Income</v>
      </c>
      <c r="X74" s="64"/>
      <c r="Y74" s="64"/>
      <c r="Z74" s="64"/>
      <c r="AA74" s="64"/>
      <c r="AB74" s="60"/>
      <c r="AC74" s="64"/>
      <c r="AD74" s="64"/>
      <c r="AE74" s="64"/>
      <c r="AF74" s="64"/>
      <c r="AG74" s="60"/>
      <c r="AH74" s="64"/>
      <c r="AI74" s="64"/>
      <c r="AJ74" s="64"/>
    </row>
    <row r="75" spans="2:36" hidden="1" outlineLevel="1" x14ac:dyDescent="0.25">
      <c r="B75" s="229" t="s">
        <v>195</v>
      </c>
      <c r="C75" s="229" t="s">
        <v>195</v>
      </c>
      <c r="E75" s="78" t="s">
        <v>173</v>
      </c>
      <c r="F75" s="21">
        <f t="shared" ref="F75:H75" si="111">F243</f>
        <v>0</v>
      </c>
      <c r="G75" s="21">
        <f t="shared" si="111"/>
        <v>0</v>
      </c>
      <c r="H75" s="21">
        <f t="shared" si="111"/>
        <v>0</v>
      </c>
      <c r="I75" s="85">
        <f t="shared" si="96"/>
        <v>0</v>
      </c>
      <c r="J75" s="85">
        <f t="shared" si="97"/>
        <v>0</v>
      </c>
      <c r="K75" s="85">
        <f t="shared" si="98"/>
        <v>0</v>
      </c>
      <c r="L75" s="85">
        <f t="shared" si="99"/>
        <v>0</v>
      </c>
      <c r="M75" s="17">
        <f t="shared" si="100"/>
        <v>0</v>
      </c>
      <c r="N75" s="85">
        <f t="shared" si="101"/>
        <v>0</v>
      </c>
      <c r="O75" s="85">
        <f t="shared" si="102"/>
        <v>0</v>
      </c>
      <c r="P75" s="85">
        <f t="shared" si="103"/>
        <v>0</v>
      </c>
      <c r="Q75" s="85">
        <f t="shared" si="104"/>
        <v>0</v>
      </c>
      <c r="R75" s="22">
        <f t="shared" si="105"/>
        <v>0</v>
      </c>
      <c r="S75" s="23">
        <f t="shared" si="106"/>
        <v>0</v>
      </c>
      <c r="T75" s="23">
        <f t="shared" si="107"/>
        <v>0</v>
      </c>
      <c r="U75" s="23">
        <f t="shared" si="108"/>
        <v>0</v>
      </c>
      <c r="W75" s="78" t="str">
        <f t="shared" si="110"/>
        <v>Gains on Sale of Investments</v>
      </c>
      <c r="X75" s="64"/>
      <c r="Y75" s="64"/>
      <c r="Z75" s="64"/>
      <c r="AA75" s="64"/>
      <c r="AB75" s="60"/>
      <c r="AC75" s="64"/>
      <c r="AD75" s="64"/>
      <c r="AE75" s="64"/>
      <c r="AF75" s="64"/>
      <c r="AG75" s="60"/>
      <c r="AH75" s="64"/>
      <c r="AI75" s="64"/>
      <c r="AJ75" s="64"/>
    </row>
    <row r="76" spans="2:36" hidden="1" outlineLevel="1" x14ac:dyDescent="0.25">
      <c r="B76" s="229" t="s">
        <v>195</v>
      </c>
      <c r="C76" s="229" t="s">
        <v>195</v>
      </c>
      <c r="E76" s="78" t="s">
        <v>174</v>
      </c>
      <c r="F76" s="21">
        <f t="shared" ref="F76:H76" si="112">F244</f>
        <v>0</v>
      </c>
      <c r="G76" s="21">
        <f t="shared" si="112"/>
        <v>0</v>
      </c>
      <c r="H76" s="21">
        <f t="shared" si="112"/>
        <v>0</v>
      </c>
      <c r="I76" s="85">
        <f t="shared" si="96"/>
        <v>0</v>
      </c>
      <c r="J76" s="85">
        <f t="shared" si="97"/>
        <v>0</v>
      </c>
      <c r="K76" s="85">
        <f t="shared" si="98"/>
        <v>0</v>
      </c>
      <c r="L76" s="85">
        <f t="shared" si="99"/>
        <v>0</v>
      </c>
      <c r="M76" s="17">
        <f t="shared" si="100"/>
        <v>0</v>
      </c>
      <c r="N76" s="85">
        <f t="shared" si="101"/>
        <v>0</v>
      </c>
      <c r="O76" s="85">
        <f t="shared" si="102"/>
        <v>0</v>
      </c>
      <c r="P76" s="85">
        <f t="shared" si="103"/>
        <v>0</v>
      </c>
      <c r="Q76" s="85">
        <f t="shared" si="104"/>
        <v>0</v>
      </c>
      <c r="R76" s="22">
        <f t="shared" si="105"/>
        <v>0</v>
      </c>
      <c r="S76" s="23">
        <f t="shared" si="106"/>
        <v>0</v>
      </c>
      <c r="T76" s="23">
        <f t="shared" si="107"/>
        <v>0</v>
      </c>
      <c r="U76" s="23">
        <f t="shared" si="108"/>
        <v>0</v>
      </c>
      <c r="W76" s="78" t="str">
        <f t="shared" si="110"/>
        <v>Gains on sale of  long-lived assets</v>
      </c>
      <c r="X76" s="64"/>
      <c r="Y76" s="64"/>
      <c r="Z76" s="64"/>
      <c r="AA76" s="64"/>
      <c r="AB76" s="60"/>
      <c r="AC76" s="64"/>
      <c r="AD76" s="64"/>
      <c r="AE76" s="64"/>
      <c r="AF76" s="64"/>
      <c r="AG76" s="60"/>
      <c r="AH76" s="64"/>
      <c r="AI76" s="64"/>
      <c r="AJ76" s="64"/>
    </row>
    <row r="77" spans="2:36" hidden="1" outlineLevel="1" x14ac:dyDescent="0.25">
      <c r="B77" s="229" t="s">
        <v>195</v>
      </c>
      <c r="C77" s="229" t="s">
        <v>195</v>
      </c>
      <c r="E77" s="78" t="s">
        <v>175</v>
      </c>
      <c r="F77" s="21">
        <f t="shared" ref="F77:H77" si="113">F245</f>
        <v>0</v>
      </c>
      <c r="G77" s="21">
        <f t="shared" si="113"/>
        <v>0</v>
      </c>
      <c r="H77" s="21">
        <f t="shared" si="113"/>
        <v>0</v>
      </c>
      <c r="I77" s="85">
        <f t="shared" si="96"/>
        <v>0</v>
      </c>
      <c r="J77" s="85">
        <f t="shared" si="97"/>
        <v>0</v>
      </c>
      <c r="K77" s="85">
        <f t="shared" si="98"/>
        <v>0</v>
      </c>
      <c r="L77" s="85">
        <f t="shared" si="99"/>
        <v>0</v>
      </c>
      <c r="M77" s="17">
        <f t="shared" si="100"/>
        <v>0</v>
      </c>
      <c r="N77" s="85">
        <f t="shared" si="101"/>
        <v>0</v>
      </c>
      <c r="O77" s="85">
        <f t="shared" si="102"/>
        <v>0</v>
      </c>
      <c r="P77" s="85">
        <f t="shared" si="103"/>
        <v>0</v>
      </c>
      <c r="Q77" s="85">
        <f t="shared" si="104"/>
        <v>0</v>
      </c>
      <c r="R77" s="22">
        <f t="shared" si="105"/>
        <v>0</v>
      </c>
      <c r="S77" s="23">
        <f t="shared" si="106"/>
        <v>0</v>
      </c>
      <c r="T77" s="23">
        <f t="shared" si="107"/>
        <v>0</v>
      </c>
      <c r="U77" s="23">
        <f t="shared" si="108"/>
        <v>0</v>
      </c>
      <c r="W77" s="78" t="str">
        <f t="shared" si="110"/>
        <v>Foreign Exchange</v>
      </c>
      <c r="X77" s="64"/>
      <c r="Y77" s="64"/>
      <c r="Z77" s="64"/>
      <c r="AA77" s="64"/>
      <c r="AB77" s="60"/>
      <c r="AC77" s="64"/>
      <c r="AD77" s="64"/>
      <c r="AE77" s="64"/>
      <c r="AF77" s="64"/>
      <c r="AG77" s="60"/>
      <c r="AH77" s="64"/>
      <c r="AI77" s="64"/>
      <c r="AJ77" s="64"/>
    </row>
    <row r="78" spans="2:36" hidden="1" outlineLevel="1" x14ac:dyDescent="0.25">
      <c r="B78" s="229" t="s">
        <v>195</v>
      </c>
      <c r="C78" s="229" t="s">
        <v>195</v>
      </c>
      <c r="E78" s="78" t="s">
        <v>176</v>
      </c>
      <c r="F78" s="21">
        <f t="shared" ref="F78:H78" si="114">F246</f>
        <v>0</v>
      </c>
      <c r="G78" s="21">
        <f t="shared" si="114"/>
        <v>0</v>
      </c>
      <c r="H78" s="21">
        <f t="shared" si="114"/>
        <v>0</v>
      </c>
      <c r="I78" s="85">
        <f t="shared" si="96"/>
        <v>0</v>
      </c>
      <c r="J78" s="85">
        <f t="shared" si="97"/>
        <v>0</v>
      </c>
      <c r="K78" s="85">
        <f t="shared" si="98"/>
        <v>0</v>
      </c>
      <c r="L78" s="85">
        <f t="shared" si="99"/>
        <v>0</v>
      </c>
      <c r="M78" s="17">
        <f t="shared" si="100"/>
        <v>0</v>
      </c>
      <c r="N78" s="85">
        <f t="shared" si="101"/>
        <v>0</v>
      </c>
      <c r="O78" s="85">
        <f t="shared" si="102"/>
        <v>0</v>
      </c>
      <c r="P78" s="85">
        <f t="shared" si="103"/>
        <v>0</v>
      </c>
      <c r="Q78" s="85">
        <f t="shared" si="104"/>
        <v>0</v>
      </c>
      <c r="R78" s="22">
        <f t="shared" si="105"/>
        <v>0</v>
      </c>
      <c r="S78" s="23">
        <f t="shared" si="106"/>
        <v>0</v>
      </c>
      <c r="T78" s="23">
        <f t="shared" si="107"/>
        <v>0</v>
      </c>
      <c r="U78" s="23">
        <f t="shared" si="108"/>
        <v>0</v>
      </c>
      <c r="W78" s="78" t="str">
        <f t="shared" si="110"/>
        <v>One-time legal settlements</v>
      </c>
      <c r="X78" s="64"/>
      <c r="Y78" s="64"/>
      <c r="Z78" s="64"/>
      <c r="AA78" s="64"/>
      <c r="AB78" s="60"/>
      <c r="AC78" s="64"/>
      <c r="AD78" s="64"/>
      <c r="AE78" s="64"/>
      <c r="AF78" s="64"/>
      <c r="AG78" s="60"/>
      <c r="AH78" s="64"/>
      <c r="AI78" s="64"/>
      <c r="AJ78" s="64"/>
    </row>
    <row r="79" spans="2:36" hidden="1" outlineLevel="1" x14ac:dyDescent="0.25">
      <c r="B79" s="229" t="s">
        <v>195</v>
      </c>
      <c r="C79" s="229" t="s">
        <v>195</v>
      </c>
      <c r="E79" s="78" t="s">
        <v>178</v>
      </c>
      <c r="F79" s="21">
        <f t="shared" ref="F79:H79" si="115">F247</f>
        <v>0</v>
      </c>
      <c r="G79" s="21">
        <f t="shared" si="115"/>
        <v>0</v>
      </c>
      <c r="H79" s="21">
        <f t="shared" si="115"/>
        <v>0</v>
      </c>
      <c r="I79" s="85">
        <f t="shared" si="96"/>
        <v>0</v>
      </c>
      <c r="J79" s="85">
        <f t="shared" si="97"/>
        <v>0</v>
      </c>
      <c r="K79" s="85">
        <f t="shared" si="98"/>
        <v>0</v>
      </c>
      <c r="L79" s="85">
        <f t="shared" si="99"/>
        <v>0</v>
      </c>
      <c r="M79" s="17">
        <f t="shared" si="100"/>
        <v>0</v>
      </c>
      <c r="N79" s="85">
        <f t="shared" si="101"/>
        <v>0</v>
      </c>
      <c r="O79" s="85">
        <f t="shared" si="102"/>
        <v>0</v>
      </c>
      <c r="P79" s="85">
        <f t="shared" si="103"/>
        <v>0</v>
      </c>
      <c r="Q79" s="85">
        <f t="shared" si="104"/>
        <v>0</v>
      </c>
      <c r="R79" s="22">
        <f t="shared" si="105"/>
        <v>0</v>
      </c>
      <c r="S79" s="23">
        <f t="shared" si="106"/>
        <v>0</v>
      </c>
      <c r="T79" s="23">
        <f t="shared" si="107"/>
        <v>0</v>
      </c>
      <c r="U79" s="23">
        <f t="shared" si="108"/>
        <v>0</v>
      </c>
      <c r="W79" s="78" t="str">
        <f t="shared" si="110"/>
        <v>Other non-opex income</v>
      </c>
      <c r="X79" s="64"/>
      <c r="Y79" s="64"/>
      <c r="Z79" s="64"/>
      <c r="AA79" s="64"/>
      <c r="AB79" s="60"/>
      <c r="AC79" s="64"/>
      <c r="AD79" s="64"/>
      <c r="AE79" s="64"/>
      <c r="AF79" s="64"/>
      <c r="AG79" s="60"/>
      <c r="AH79" s="64"/>
      <c r="AI79" s="64"/>
      <c r="AJ79" s="64"/>
    </row>
    <row r="80" spans="2:36" hidden="1" outlineLevel="1" x14ac:dyDescent="0.25">
      <c r="B80" s="229" t="s">
        <v>195</v>
      </c>
      <c r="C80" s="229" t="s">
        <v>195</v>
      </c>
      <c r="E80" s="78" t="s">
        <v>178</v>
      </c>
      <c r="F80" s="21">
        <f t="shared" ref="F80:H80" si="116">F248</f>
        <v>0</v>
      </c>
      <c r="G80" s="21">
        <f t="shared" si="116"/>
        <v>0</v>
      </c>
      <c r="H80" s="21">
        <f t="shared" si="116"/>
        <v>0</v>
      </c>
      <c r="I80" s="85">
        <f t="shared" si="96"/>
        <v>0</v>
      </c>
      <c r="J80" s="85">
        <f t="shared" si="97"/>
        <v>0</v>
      </c>
      <c r="K80" s="85">
        <f t="shared" si="98"/>
        <v>0</v>
      </c>
      <c r="L80" s="85">
        <f t="shared" si="99"/>
        <v>0</v>
      </c>
      <c r="M80" s="17">
        <f t="shared" si="100"/>
        <v>0</v>
      </c>
      <c r="N80" s="85">
        <f t="shared" si="101"/>
        <v>0</v>
      </c>
      <c r="O80" s="85">
        <f t="shared" si="102"/>
        <v>0</v>
      </c>
      <c r="P80" s="85">
        <f t="shared" si="103"/>
        <v>0</v>
      </c>
      <c r="Q80" s="85">
        <f t="shared" si="104"/>
        <v>0</v>
      </c>
      <c r="R80" s="22">
        <f t="shared" si="105"/>
        <v>0</v>
      </c>
      <c r="S80" s="23">
        <f t="shared" si="106"/>
        <v>0</v>
      </c>
      <c r="T80" s="23">
        <f t="shared" si="107"/>
        <v>0</v>
      </c>
      <c r="U80" s="23">
        <f t="shared" si="108"/>
        <v>0</v>
      </c>
      <c r="W80" s="78" t="str">
        <f t="shared" si="110"/>
        <v>Other non-opex income</v>
      </c>
      <c r="X80" s="64"/>
      <c r="Y80" s="64"/>
      <c r="Z80" s="64"/>
      <c r="AA80" s="64"/>
      <c r="AB80" s="60"/>
      <c r="AC80" s="64"/>
      <c r="AD80" s="64"/>
      <c r="AE80" s="64"/>
      <c r="AF80" s="64"/>
      <c r="AG80" s="60"/>
      <c r="AH80" s="64"/>
      <c r="AI80" s="64"/>
      <c r="AJ80" s="64"/>
    </row>
    <row r="81" spans="2:36" hidden="1" outlineLevel="1" x14ac:dyDescent="0.25">
      <c r="B81" s="229" t="s">
        <v>195</v>
      </c>
      <c r="C81" s="229" t="s">
        <v>195</v>
      </c>
      <c r="E81" s="78" t="s">
        <v>178</v>
      </c>
      <c r="F81" s="21">
        <f t="shared" ref="F81:H81" si="117">F249</f>
        <v>0</v>
      </c>
      <c r="G81" s="21">
        <f t="shared" si="117"/>
        <v>0</v>
      </c>
      <c r="H81" s="21">
        <f t="shared" si="117"/>
        <v>0</v>
      </c>
      <c r="I81" s="85">
        <f t="shared" si="96"/>
        <v>0</v>
      </c>
      <c r="J81" s="85">
        <f t="shared" si="97"/>
        <v>0</v>
      </c>
      <c r="K81" s="85">
        <f t="shared" si="98"/>
        <v>0</v>
      </c>
      <c r="L81" s="85">
        <f t="shared" si="99"/>
        <v>0</v>
      </c>
      <c r="M81" s="17">
        <f t="shared" si="100"/>
        <v>0</v>
      </c>
      <c r="N81" s="85">
        <f t="shared" si="101"/>
        <v>0</v>
      </c>
      <c r="O81" s="85">
        <f t="shared" si="102"/>
        <v>0</v>
      </c>
      <c r="P81" s="85">
        <f t="shared" si="103"/>
        <v>0</v>
      </c>
      <c r="Q81" s="85">
        <f t="shared" si="104"/>
        <v>0</v>
      </c>
      <c r="R81" s="22">
        <f t="shared" si="105"/>
        <v>0</v>
      </c>
      <c r="S81" s="23">
        <f t="shared" si="106"/>
        <v>0</v>
      </c>
      <c r="T81" s="23">
        <f t="shared" si="107"/>
        <v>0</v>
      </c>
      <c r="U81" s="23">
        <f t="shared" si="108"/>
        <v>0</v>
      </c>
      <c r="W81" s="78" t="str">
        <f t="shared" si="110"/>
        <v>Other non-opex income</v>
      </c>
      <c r="X81" s="64"/>
      <c r="Y81" s="64"/>
      <c r="Z81" s="64"/>
      <c r="AA81" s="64"/>
      <c r="AB81" s="60"/>
      <c r="AC81" s="64"/>
      <c r="AD81" s="64"/>
      <c r="AE81" s="64"/>
      <c r="AF81" s="64"/>
      <c r="AG81" s="60"/>
      <c r="AH81" s="64"/>
      <c r="AI81" s="64"/>
      <c r="AJ81" s="64"/>
    </row>
    <row r="82" spans="2:36" hidden="1" outlineLevel="1" x14ac:dyDescent="0.25">
      <c r="B82" s="229" t="s">
        <v>195</v>
      </c>
      <c r="C82" s="229" t="s">
        <v>195</v>
      </c>
      <c r="E82" s="78" t="s">
        <v>178</v>
      </c>
      <c r="F82" s="21">
        <f t="shared" ref="F82:H82" si="118">F250</f>
        <v>0</v>
      </c>
      <c r="G82" s="21">
        <f t="shared" si="118"/>
        <v>0</v>
      </c>
      <c r="H82" s="21">
        <f t="shared" si="118"/>
        <v>0</v>
      </c>
      <c r="I82" s="85">
        <f t="shared" si="96"/>
        <v>0</v>
      </c>
      <c r="J82" s="85">
        <f t="shared" si="97"/>
        <v>0</v>
      </c>
      <c r="K82" s="85">
        <f t="shared" si="98"/>
        <v>0</v>
      </c>
      <c r="L82" s="85">
        <f t="shared" si="99"/>
        <v>0</v>
      </c>
      <c r="M82" s="17">
        <f t="shared" si="100"/>
        <v>0</v>
      </c>
      <c r="N82" s="85">
        <f t="shared" si="101"/>
        <v>0</v>
      </c>
      <c r="O82" s="85">
        <f t="shared" si="102"/>
        <v>0</v>
      </c>
      <c r="P82" s="85">
        <f t="shared" si="103"/>
        <v>0</v>
      </c>
      <c r="Q82" s="85">
        <f t="shared" si="104"/>
        <v>0</v>
      </c>
      <c r="R82" s="22">
        <f t="shared" si="105"/>
        <v>0</v>
      </c>
      <c r="S82" s="23">
        <f t="shared" si="106"/>
        <v>0</v>
      </c>
      <c r="T82" s="23">
        <f t="shared" si="107"/>
        <v>0</v>
      </c>
      <c r="U82" s="23">
        <f t="shared" si="108"/>
        <v>0</v>
      </c>
      <c r="W82" s="78" t="str">
        <f t="shared" si="110"/>
        <v>Other non-opex income</v>
      </c>
      <c r="X82" s="64"/>
      <c r="Y82" s="64"/>
      <c r="Z82" s="64"/>
      <c r="AA82" s="64"/>
      <c r="AB82" s="60"/>
      <c r="AC82" s="64"/>
      <c r="AD82" s="64"/>
      <c r="AE82" s="64"/>
      <c r="AF82" s="64"/>
      <c r="AG82" s="60"/>
      <c r="AH82" s="64"/>
      <c r="AI82" s="64"/>
      <c r="AJ82" s="64"/>
    </row>
    <row r="83" spans="2:36" ht="15.75" hidden="1" outlineLevel="1" thickBot="1" x14ac:dyDescent="0.3">
      <c r="E83" s="8" t="s">
        <v>27</v>
      </c>
      <c r="F83" s="9">
        <f>SUM(F73:F82)</f>
        <v>0</v>
      </c>
      <c r="G83" s="9">
        <f t="shared" ref="G83" si="119">SUM(G73:G82)</f>
        <v>0</v>
      </c>
      <c r="H83" s="9">
        <f t="shared" ref="H83" si="120">SUM(H73:H82)</f>
        <v>0</v>
      </c>
      <c r="I83" s="86">
        <f t="shared" ref="I83" si="121">SUM(I73:I82)</f>
        <v>0</v>
      </c>
      <c r="J83" s="86">
        <f t="shared" ref="J83" si="122">SUM(J73:J82)</f>
        <v>0</v>
      </c>
      <c r="K83" s="86">
        <f t="shared" ref="K83" si="123">SUM(K73:K82)</f>
        <v>0</v>
      </c>
      <c r="L83" s="86">
        <f t="shared" ref="L83" si="124">SUM(L73:L82)</f>
        <v>0</v>
      </c>
      <c r="M83" s="18">
        <f t="shared" ref="M83" si="125">SUM(M73:M82)</f>
        <v>0</v>
      </c>
      <c r="N83" s="86">
        <f t="shared" ref="N83" si="126">SUM(N73:N82)</f>
        <v>0</v>
      </c>
      <c r="O83" s="86">
        <f t="shared" ref="O83" si="127">SUM(O73:O82)</f>
        <v>0</v>
      </c>
      <c r="P83" s="86">
        <f t="shared" ref="P83" si="128">SUM(P73:P82)</f>
        <v>0</v>
      </c>
      <c r="Q83" s="86">
        <f t="shared" ref="Q83" si="129">SUM(Q73:Q82)</f>
        <v>0</v>
      </c>
      <c r="R83" s="19">
        <f t="shared" ref="R83" si="130">SUM(R73:R82)</f>
        <v>0</v>
      </c>
      <c r="S83" s="20">
        <f t="shared" ref="S83" si="131">SUM(S73:S82)</f>
        <v>0</v>
      </c>
      <c r="T83" s="20">
        <f t="shared" ref="T83" si="132">SUM(T73:T82)</f>
        <v>0</v>
      </c>
      <c r="U83" s="20">
        <f t="shared" ref="U83" si="133">SUM(U73:U82)</f>
        <v>0</v>
      </c>
    </row>
    <row r="84" spans="2:36" ht="15.75" hidden="1" outlineLevel="1" thickTop="1" x14ac:dyDescent="0.25">
      <c r="M84" s="3"/>
    </row>
    <row r="85" spans="2:36" hidden="1" outlineLevel="1" x14ac:dyDescent="0.25">
      <c r="M85" s="3"/>
    </row>
    <row r="86" spans="2:36" hidden="1" outlineLevel="1" x14ac:dyDescent="0.25">
      <c r="M86" s="3"/>
    </row>
    <row r="87" spans="2:36" ht="18.75" collapsed="1" x14ac:dyDescent="0.3">
      <c r="B87" s="4" t="s">
        <v>34</v>
      </c>
      <c r="C87" s="4" t="s">
        <v>387</v>
      </c>
      <c r="E87" s="53" t="str">
        <f>"Scenario 3: "&amp;Inputs!B24</f>
        <v>Scenario 3: Scenario 3</v>
      </c>
      <c r="F87" s="49"/>
      <c r="G87" s="49"/>
      <c r="H87" s="49"/>
      <c r="I87" s="49"/>
      <c r="J87" s="49"/>
      <c r="K87" s="49"/>
      <c r="L87" s="49"/>
      <c r="M87" s="49"/>
      <c r="N87" s="49"/>
      <c r="O87" s="49"/>
      <c r="P87" s="49"/>
      <c r="Q87" s="49"/>
      <c r="R87" s="49"/>
      <c r="S87" s="49"/>
      <c r="T87" s="49"/>
      <c r="U87" s="49"/>
    </row>
    <row r="88" spans="2:36" hidden="1" outlineLevel="1" x14ac:dyDescent="0.25">
      <c r="E88" s="52" t="str">
        <f>Inputs!C24</f>
        <v>Scenario 3 Description</v>
      </c>
    </row>
    <row r="89" spans="2:36" hidden="1" outlineLevel="1" x14ac:dyDescent="0.25"/>
    <row r="90" spans="2:36" hidden="1" outlineLevel="1" x14ac:dyDescent="0.25"/>
    <row r="91" spans="2:36" hidden="1" outlineLevel="1" x14ac:dyDescent="0.25">
      <c r="E91" s="4" t="s">
        <v>162</v>
      </c>
      <c r="W91" s="4" t="str">
        <f>E91</f>
        <v>Non-Operating Expenses</v>
      </c>
    </row>
    <row r="92" spans="2:36" hidden="1" outlineLevel="1" x14ac:dyDescent="0.25">
      <c r="E92" s="6" t="s">
        <v>25</v>
      </c>
      <c r="W92" s="61" t="s">
        <v>62</v>
      </c>
    </row>
    <row r="93" spans="2:36" hidden="1" outlineLevel="1" x14ac:dyDescent="0.25"/>
    <row r="94" spans="2:36" hidden="1" outlineLevel="1" x14ac:dyDescent="0.25">
      <c r="F94" s="12">
        <f>Inputs!$C$7</f>
        <v>2023</v>
      </c>
      <c r="G94" s="12">
        <f>Inputs!$C$8</f>
        <v>2024</v>
      </c>
      <c r="H94" s="12">
        <f>Inputs!$C$9</f>
        <v>2025</v>
      </c>
      <c r="I94" s="13" t="s">
        <v>1</v>
      </c>
      <c r="J94" s="13" t="s">
        <v>2</v>
      </c>
      <c r="K94" s="13" t="s">
        <v>3</v>
      </c>
      <c r="L94" s="13" t="s">
        <v>4</v>
      </c>
      <c r="M94" s="13">
        <f>Inputs!$C$10</f>
        <v>2026</v>
      </c>
      <c r="N94" s="14" t="s">
        <v>1</v>
      </c>
      <c r="O94" s="14" t="s">
        <v>2</v>
      </c>
      <c r="P94" s="14" t="s">
        <v>3</v>
      </c>
      <c r="Q94" s="14" t="s">
        <v>4</v>
      </c>
      <c r="R94" s="15">
        <f>Inputs!$C$11</f>
        <v>2027</v>
      </c>
      <c r="S94" s="16">
        <f>Inputs!$C$12</f>
        <v>2028</v>
      </c>
      <c r="T94" s="16">
        <f>Inputs!$C$13</f>
        <v>2029</v>
      </c>
      <c r="U94" s="16">
        <f>Inputs!$C$14</f>
        <v>2030</v>
      </c>
      <c r="X94" s="13" t="s">
        <v>1</v>
      </c>
      <c r="Y94" s="13" t="s">
        <v>2</v>
      </c>
      <c r="Z94" s="13" t="s">
        <v>3</v>
      </c>
      <c r="AA94" s="13" t="s">
        <v>4</v>
      </c>
      <c r="AB94" s="13">
        <f>Inputs!$C$10</f>
        <v>2026</v>
      </c>
      <c r="AC94" s="14" t="s">
        <v>1</v>
      </c>
      <c r="AD94" s="14" t="s">
        <v>2</v>
      </c>
      <c r="AE94" s="14" t="s">
        <v>3</v>
      </c>
      <c r="AF94" s="14" t="s">
        <v>4</v>
      </c>
      <c r="AG94" s="15">
        <f>Inputs!$C$11</f>
        <v>2027</v>
      </c>
      <c r="AH94" s="16">
        <f>Inputs!$C$12</f>
        <v>2028</v>
      </c>
      <c r="AI94" s="16">
        <f>Inputs!$C$13</f>
        <v>2029</v>
      </c>
      <c r="AJ94" s="16">
        <f>Inputs!$C$14</f>
        <v>2030</v>
      </c>
    </row>
    <row r="95" spans="2:36" hidden="1" outlineLevel="1" x14ac:dyDescent="0.25">
      <c r="F95" s="71" t="s">
        <v>63</v>
      </c>
      <c r="G95" s="71" t="s">
        <v>63</v>
      </c>
      <c r="H95" s="71" t="s">
        <v>63</v>
      </c>
      <c r="I95" s="71" t="s">
        <v>63</v>
      </c>
      <c r="J95" s="71" t="s">
        <v>63</v>
      </c>
      <c r="K95" s="71" t="s">
        <v>63</v>
      </c>
      <c r="L95" s="71" t="s">
        <v>63</v>
      </c>
      <c r="M95" s="71" t="s">
        <v>63</v>
      </c>
      <c r="N95" s="71" t="s">
        <v>63</v>
      </c>
      <c r="O95" s="71" t="s">
        <v>63</v>
      </c>
      <c r="P95" s="71" t="s">
        <v>63</v>
      </c>
      <c r="Q95" s="71" t="s">
        <v>63</v>
      </c>
      <c r="R95" s="71" t="s">
        <v>63</v>
      </c>
      <c r="S95" s="71" t="s">
        <v>63</v>
      </c>
      <c r="T95" s="71" t="s">
        <v>63</v>
      </c>
      <c r="U95" s="71" t="s">
        <v>63</v>
      </c>
      <c r="X95" s="63" t="s">
        <v>30</v>
      </c>
      <c r="Y95" s="63" t="s">
        <v>30</v>
      </c>
      <c r="Z95" s="63" t="s">
        <v>30</v>
      </c>
      <c r="AA95" s="63" t="s">
        <v>30</v>
      </c>
      <c r="AB95" s="62"/>
      <c r="AC95" s="63" t="s">
        <v>30</v>
      </c>
      <c r="AD95" s="63" t="s">
        <v>30</v>
      </c>
      <c r="AE95" s="63" t="s">
        <v>30</v>
      </c>
      <c r="AF95" s="63" t="s">
        <v>30</v>
      </c>
      <c r="AG95" s="62"/>
      <c r="AH95" s="63" t="s">
        <v>30</v>
      </c>
      <c r="AI95" s="63" t="s">
        <v>30</v>
      </c>
      <c r="AJ95" s="63" t="s">
        <v>30</v>
      </c>
    </row>
    <row r="96" spans="2:36" hidden="1" outlineLevel="1" x14ac:dyDescent="0.25">
      <c r="B96" s="229" t="s">
        <v>195</v>
      </c>
      <c r="C96" s="229" t="s">
        <v>195</v>
      </c>
      <c r="E96" s="78" t="s">
        <v>163</v>
      </c>
      <c r="F96" s="21">
        <f>F222</f>
        <v>0</v>
      </c>
      <c r="G96" s="21">
        <f t="shared" ref="G96:H96" si="134">G222</f>
        <v>0</v>
      </c>
      <c r="H96" s="21">
        <f t="shared" si="134"/>
        <v>0</v>
      </c>
      <c r="I96" s="85">
        <f t="shared" ref="I96:I105" si="135">IF(X96="",I222,X96)</f>
        <v>0</v>
      </c>
      <c r="J96" s="85">
        <f t="shared" ref="J96:J105" si="136">IF(Y96="",J222,Y96)</f>
        <v>0</v>
      </c>
      <c r="K96" s="85">
        <f t="shared" ref="K96:K105" si="137">IF(Z96="",K222,Z96)</f>
        <v>0</v>
      </c>
      <c r="L96" s="85">
        <f t="shared" ref="L96:L105" si="138">IF(AA96="",L222,AA96)</f>
        <v>0</v>
      </c>
      <c r="M96" s="17">
        <f t="shared" ref="M96:M105" si="139">SUM(I96:L96)</f>
        <v>0</v>
      </c>
      <c r="N96" s="85">
        <f t="shared" ref="N96:N105" si="140">IF(AC96="",N222,AC96)</f>
        <v>0</v>
      </c>
      <c r="O96" s="85">
        <f t="shared" ref="O96:O105" si="141">IF(AD96="",O222,AD96)</f>
        <v>0</v>
      </c>
      <c r="P96" s="85">
        <f t="shared" ref="P96:P105" si="142">IF(AE96="",P222,AE96)</f>
        <v>0</v>
      </c>
      <c r="Q96" s="85">
        <f t="shared" ref="Q96:Q105" si="143">IF(AF96="",Q222,AF96)</f>
        <v>0</v>
      </c>
      <c r="R96" s="22">
        <f t="shared" ref="R96:R105" si="144">SUM(N96:Q96)</f>
        <v>0</v>
      </c>
      <c r="S96" s="23">
        <f t="shared" ref="S96:S105" si="145">IF(AH96="",S222,AH96)</f>
        <v>0</v>
      </c>
      <c r="T96" s="23">
        <f t="shared" ref="T96:T105" si="146">IF(AI96="",T222,AI96)</f>
        <v>0</v>
      </c>
      <c r="U96" s="23">
        <f t="shared" ref="U96:U105" si="147">IF(AJ96="",U222,AJ96)</f>
        <v>0</v>
      </c>
      <c r="W96" s="78" t="str">
        <f>E96</f>
        <v>Interest Expense</v>
      </c>
      <c r="X96" s="64"/>
      <c r="Y96" s="64"/>
      <c r="Z96" s="64"/>
      <c r="AA96" s="64"/>
      <c r="AB96" s="60"/>
      <c r="AC96" s="64"/>
      <c r="AD96" s="64"/>
      <c r="AE96" s="64"/>
      <c r="AF96" s="64"/>
      <c r="AG96" s="60"/>
      <c r="AH96" s="64"/>
      <c r="AI96" s="64"/>
      <c r="AJ96" s="64"/>
    </row>
    <row r="97" spans="2:36" hidden="1" outlineLevel="1" x14ac:dyDescent="0.25">
      <c r="B97" s="229" t="s">
        <v>195</v>
      </c>
      <c r="C97" s="229" t="s">
        <v>195</v>
      </c>
      <c r="E97" s="78" t="s">
        <v>164</v>
      </c>
      <c r="F97" s="21">
        <f t="shared" ref="F97:H97" si="148">F223</f>
        <v>0</v>
      </c>
      <c r="G97" s="21">
        <f t="shared" si="148"/>
        <v>0</v>
      </c>
      <c r="H97" s="21">
        <f t="shared" si="148"/>
        <v>0</v>
      </c>
      <c r="I97" s="85">
        <f t="shared" si="135"/>
        <v>0</v>
      </c>
      <c r="J97" s="85">
        <f t="shared" si="136"/>
        <v>0</v>
      </c>
      <c r="K97" s="85">
        <f t="shared" si="137"/>
        <v>0</v>
      </c>
      <c r="L97" s="85">
        <f t="shared" si="138"/>
        <v>0</v>
      </c>
      <c r="M97" s="17">
        <f t="shared" si="139"/>
        <v>0</v>
      </c>
      <c r="N97" s="85">
        <f t="shared" si="140"/>
        <v>0</v>
      </c>
      <c r="O97" s="85">
        <f t="shared" si="141"/>
        <v>0</v>
      </c>
      <c r="P97" s="85">
        <f t="shared" si="142"/>
        <v>0</v>
      </c>
      <c r="Q97" s="85">
        <f t="shared" si="143"/>
        <v>0</v>
      </c>
      <c r="R97" s="22">
        <f t="shared" si="144"/>
        <v>0</v>
      </c>
      <c r="S97" s="23">
        <f t="shared" si="145"/>
        <v>0</v>
      </c>
      <c r="T97" s="23">
        <f t="shared" si="146"/>
        <v>0</v>
      </c>
      <c r="U97" s="23">
        <f t="shared" si="147"/>
        <v>0</v>
      </c>
      <c r="W97" s="78" t="str">
        <f t="shared" ref="W97:W105" si="149">E97</f>
        <v>Losses on debt refinancing</v>
      </c>
      <c r="X97" s="64"/>
      <c r="Y97" s="64"/>
      <c r="Z97" s="64"/>
      <c r="AA97" s="64"/>
      <c r="AB97" s="60"/>
      <c r="AC97" s="64"/>
      <c r="AD97" s="64"/>
      <c r="AE97" s="64"/>
      <c r="AF97" s="64"/>
      <c r="AG97" s="60"/>
      <c r="AH97" s="64"/>
      <c r="AI97" s="64"/>
      <c r="AJ97" s="64"/>
    </row>
    <row r="98" spans="2:36" hidden="1" outlineLevel="1" x14ac:dyDescent="0.25">
      <c r="B98" s="229" t="s">
        <v>195</v>
      </c>
      <c r="C98" s="229" t="s">
        <v>195</v>
      </c>
      <c r="E98" s="78" t="s">
        <v>165</v>
      </c>
      <c r="F98" s="21">
        <f t="shared" ref="F98:H98" si="150">F224</f>
        <v>0</v>
      </c>
      <c r="G98" s="21">
        <f t="shared" si="150"/>
        <v>0</v>
      </c>
      <c r="H98" s="21">
        <f t="shared" si="150"/>
        <v>0</v>
      </c>
      <c r="I98" s="85">
        <f t="shared" si="135"/>
        <v>0</v>
      </c>
      <c r="J98" s="85">
        <f t="shared" si="136"/>
        <v>0</v>
      </c>
      <c r="K98" s="85">
        <f t="shared" si="137"/>
        <v>0</v>
      </c>
      <c r="L98" s="85">
        <f t="shared" si="138"/>
        <v>0</v>
      </c>
      <c r="M98" s="17">
        <f t="shared" si="139"/>
        <v>0</v>
      </c>
      <c r="N98" s="85">
        <f t="shared" si="140"/>
        <v>0</v>
      </c>
      <c r="O98" s="85">
        <f t="shared" si="141"/>
        <v>0</v>
      </c>
      <c r="P98" s="85">
        <f t="shared" si="142"/>
        <v>0</v>
      </c>
      <c r="Q98" s="85">
        <f t="shared" si="143"/>
        <v>0</v>
      </c>
      <c r="R98" s="22">
        <f t="shared" si="144"/>
        <v>0</v>
      </c>
      <c r="S98" s="23">
        <f t="shared" si="145"/>
        <v>0</v>
      </c>
      <c r="T98" s="23">
        <f t="shared" si="146"/>
        <v>0</v>
      </c>
      <c r="U98" s="23">
        <f t="shared" si="147"/>
        <v>0</v>
      </c>
      <c r="W98" s="78" t="str">
        <f t="shared" si="149"/>
        <v>Unrealized/Realized Losses on Investments</v>
      </c>
      <c r="X98" s="64"/>
      <c r="Y98" s="64"/>
      <c r="Z98" s="64"/>
      <c r="AA98" s="64"/>
      <c r="AB98" s="60"/>
      <c r="AC98" s="64"/>
      <c r="AD98" s="64"/>
      <c r="AE98" s="64"/>
      <c r="AF98" s="64"/>
      <c r="AG98" s="60"/>
      <c r="AH98" s="64"/>
      <c r="AI98" s="64"/>
      <c r="AJ98" s="64"/>
    </row>
    <row r="99" spans="2:36" hidden="1" outlineLevel="1" x14ac:dyDescent="0.25">
      <c r="B99" s="229" t="s">
        <v>195</v>
      </c>
      <c r="C99" s="229" t="s">
        <v>195</v>
      </c>
      <c r="E99" s="78" t="s">
        <v>166</v>
      </c>
      <c r="F99" s="21">
        <f t="shared" ref="F99:H99" si="151">F225</f>
        <v>0</v>
      </c>
      <c r="G99" s="21">
        <f t="shared" si="151"/>
        <v>0</v>
      </c>
      <c r="H99" s="21">
        <f t="shared" si="151"/>
        <v>0</v>
      </c>
      <c r="I99" s="85">
        <f t="shared" si="135"/>
        <v>0</v>
      </c>
      <c r="J99" s="85">
        <f t="shared" si="136"/>
        <v>0</v>
      </c>
      <c r="K99" s="85">
        <f t="shared" si="137"/>
        <v>0</v>
      </c>
      <c r="L99" s="85">
        <f t="shared" si="138"/>
        <v>0</v>
      </c>
      <c r="M99" s="17">
        <f t="shared" si="139"/>
        <v>0</v>
      </c>
      <c r="N99" s="85">
        <f t="shared" si="140"/>
        <v>0</v>
      </c>
      <c r="O99" s="85">
        <f t="shared" si="141"/>
        <v>0</v>
      </c>
      <c r="P99" s="85">
        <f t="shared" si="142"/>
        <v>0</v>
      </c>
      <c r="Q99" s="85">
        <f t="shared" si="143"/>
        <v>0</v>
      </c>
      <c r="R99" s="22">
        <f t="shared" si="144"/>
        <v>0</v>
      </c>
      <c r="S99" s="23">
        <f t="shared" si="145"/>
        <v>0</v>
      </c>
      <c r="T99" s="23">
        <f t="shared" si="146"/>
        <v>0</v>
      </c>
      <c r="U99" s="23">
        <f t="shared" si="147"/>
        <v>0</v>
      </c>
      <c r="W99" s="78" t="str">
        <f t="shared" si="149"/>
        <v>FX Losses</v>
      </c>
      <c r="X99" s="64"/>
      <c r="Y99" s="64"/>
      <c r="Z99" s="64"/>
      <c r="AA99" s="64"/>
      <c r="AB99" s="60"/>
      <c r="AC99" s="64"/>
      <c r="AD99" s="64"/>
      <c r="AE99" s="64"/>
      <c r="AF99" s="64"/>
      <c r="AG99" s="60"/>
      <c r="AH99" s="64"/>
      <c r="AI99" s="64"/>
      <c r="AJ99" s="64"/>
    </row>
    <row r="100" spans="2:36" hidden="1" outlineLevel="1" x14ac:dyDescent="0.25">
      <c r="B100" s="229" t="s">
        <v>195</v>
      </c>
      <c r="C100" s="229" t="s">
        <v>195</v>
      </c>
      <c r="E100" s="78" t="s">
        <v>167</v>
      </c>
      <c r="F100" s="21">
        <f t="shared" ref="F100:H100" si="152">F226</f>
        <v>0</v>
      </c>
      <c r="G100" s="21">
        <f t="shared" si="152"/>
        <v>0</v>
      </c>
      <c r="H100" s="21">
        <f t="shared" si="152"/>
        <v>0</v>
      </c>
      <c r="I100" s="85">
        <f t="shared" si="135"/>
        <v>0</v>
      </c>
      <c r="J100" s="85">
        <f t="shared" si="136"/>
        <v>0</v>
      </c>
      <c r="K100" s="85">
        <f t="shared" si="137"/>
        <v>0</v>
      </c>
      <c r="L100" s="85">
        <f t="shared" si="138"/>
        <v>0</v>
      </c>
      <c r="M100" s="17">
        <f t="shared" si="139"/>
        <v>0</v>
      </c>
      <c r="N100" s="85">
        <f t="shared" si="140"/>
        <v>0</v>
      </c>
      <c r="O100" s="85">
        <f t="shared" si="141"/>
        <v>0</v>
      </c>
      <c r="P100" s="85">
        <f t="shared" si="142"/>
        <v>0</v>
      </c>
      <c r="Q100" s="85">
        <f t="shared" si="143"/>
        <v>0</v>
      </c>
      <c r="R100" s="22">
        <f t="shared" si="144"/>
        <v>0</v>
      </c>
      <c r="S100" s="23">
        <f t="shared" si="145"/>
        <v>0</v>
      </c>
      <c r="T100" s="23">
        <f t="shared" si="146"/>
        <v>0</v>
      </c>
      <c r="U100" s="23">
        <f t="shared" si="147"/>
        <v>0</v>
      </c>
      <c r="W100" s="78" t="str">
        <f t="shared" si="149"/>
        <v>Impairments of non-operating assets</v>
      </c>
      <c r="X100" s="64"/>
      <c r="Y100" s="64"/>
      <c r="Z100" s="64"/>
      <c r="AA100" s="64"/>
      <c r="AB100" s="60"/>
      <c r="AC100" s="64"/>
      <c r="AD100" s="64"/>
      <c r="AE100" s="64"/>
      <c r="AF100" s="64"/>
      <c r="AG100" s="60"/>
      <c r="AH100" s="64"/>
      <c r="AI100" s="64"/>
      <c r="AJ100" s="64"/>
    </row>
    <row r="101" spans="2:36" hidden="1" outlineLevel="1" x14ac:dyDescent="0.25">
      <c r="B101" s="229" t="s">
        <v>195</v>
      </c>
      <c r="C101" s="229" t="s">
        <v>195</v>
      </c>
      <c r="E101" s="78" t="s">
        <v>168</v>
      </c>
      <c r="F101" s="21">
        <f t="shared" ref="F101:H101" si="153">F227</f>
        <v>0</v>
      </c>
      <c r="G101" s="21">
        <f t="shared" si="153"/>
        <v>0</v>
      </c>
      <c r="H101" s="21">
        <f t="shared" si="153"/>
        <v>0</v>
      </c>
      <c r="I101" s="85">
        <f t="shared" si="135"/>
        <v>0</v>
      </c>
      <c r="J101" s="85">
        <f t="shared" si="136"/>
        <v>0</v>
      </c>
      <c r="K101" s="85">
        <f t="shared" si="137"/>
        <v>0</v>
      </c>
      <c r="L101" s="85">
        <f t="shared" si="138"/>
        <v>0</v>
      </c>
      <c r="M101" s="17">
        <f t="shared" si="139"/>
        <v>0</v>
      </c>
      <c r="N101" s="85">
        <f t="shared" si="140"/>
        <v>0</v>
      </c>
      <c r="O101" s="85">
        <f t="shared" si="141"/>
        <v>0</v>
      </c>
      <c r="P101" s="85">
        <f t="shared" si="142"/>
        <v>0</v>
      </c>
      <c r="Q101" s="85">
        <f t="shared" si="143"/>
        <v>0</v>
      </c>
      <c r="R101" s="22">
        <f t="shared" si="144"/>
        <v>0</v>
      </c>
      <c r="S101" s="23">
        <f t="shared" si="145"/>
        <v>0</v>
      </c>
      <c r="T101" s="23">
        <f t="shared" si="146"/>
        <v>0</v>
      </c>
      <c r="U101" s="23">
        <f t="shared" si="147"/>
        <v>0</v>
      </c>
      <c r="W101" s="78" t="str">
        <f t="shared" si="149"/>
        <v>Legal charges/settlements</v>
      </c>
      <c r="X101" s="64"/>
      <c r="Y101" s="64"/>
      <c r="Z101" s="64"/>
      <c r="AA101" s="64"/>
      <c r="AB101" s="60"/>
      <c r="AC101" s="64"/>
      <c r="AD101" s="64"/>
      <c r="AE101" s="64"/>
      <c r="AF101" s="64"/>
      <c r="AG101" s="60"/>
      <c r="AH101" s="64"/>
      <c r="AI101" s="64"/>
      <c r="AJ101" s="64"/>
    </row>
    <row r="102" spans="2:36" hidden="1" outlineLevel="1" x14ac:dyDescent="0.25">
      <c r="B102" s="229" t="s">
        <v>195</v>
      </c>
      <c r="C102" s="229" t="s">
        <v>195</v>
      </c>
      <c r="E102" s="78" t="s">
        <v>169</v>
      </c>
      <c r="F102" s="21">
        <f t="shared" ref="F102:H102" si="154">F228</f>
        <v>0</v>
      </c>
      <c r="G102" s="21">
        <f t="shared" si="154"/>
        <v>0</v>
      </c>
      <c r="H102" s="21">
        <f t="shared" si="154"/>
        <v>0</v>
      </c>
      <c r="I102" s="85">
        <f t="shared" si="135"/>
        <v>0</v>
      </c>
      <c r="J102" s="85">
        <f t="shared" si="136"/>
        <v>0</v>
      </c>
      <c r="K102" s="85">
        <f t="shared" si="137"/>
        <v>0</v>
      </c>
      <c r="L102" s="85">
        <f t="shared" si="138"/>
        <v>0</v>
      </c>
      <c r="M102" s="17">
        <f t="shared" si="139"/>
        <v>0</v>
      </c>
      <c r="N102" s="85">
        <f t="shared" si="140"/>
        <v>0</v>
      </c>
      <c r="O102" s="85">
        <f t="shared" si="141"/>
        <v>0</v>
      </c>
      <c r="P102" s="85">
        <f t="shared" si="142"/>
        <v>0</v>
      </c>
      <c r="Q102" s="85">
        <f t="shared" si="143"/>
        <v>0</v>
      </c>
      <c r="R102" s="22">
        <f t="shared" si="144"/>
        <v>0</v>
      </c>
      <c r="S102" s="23">
        <f t="shared" si="145"/>
        <v>0</v>
      </c>
      <c r="T102" s="23">
        <f t="shared" si="146"/>
        <v>0</v>
      </c>
      <c r="U102" s="23">
        <f t="shared" si="147"/>
        <v>0</v>
      </c>
      <c r="W102" s="78" t="str">
        <f t="shared" si="149"/>
        <v>Other non-opex</v>
      </c>
      <c r="X102" s="64"/>
      <c r="Y102" s="64"/>
      <c r="Z102" s="64"/>
      <c r="AA102" s="64"/>
      <c r="AB102" s="60"/>
      <c r="AC102" s="64"/>
      <c r="AD102" s="64"/>
      <c r="AE102" s="64"/>
      <c r="AF102" s="64"/>
      <c r="AG102" s="60"/>
      <c r="AH102" s="64"/>
      <c r="AI102" s="64"/>
      <c r="AJ102" s="64"/>
    </row>
    <row r="103" spans="2:36" hidden="1" outlineLevel="1" x14ac:dyDescent="0.25">
      <c r="B103" s="229" t="s">
        <v>195</v>
      </c>
      <c r="C103" s="229" t="s">
        <v>195</v>
      </c>
      <c r="E103" s="78" t="s">
        <v>169</v>
      </c>
      <c r="F103" s="21">
        <f t="shared" ref="F103:H103" si="155">F229</f>
        <v>0</v>
      </c>
      <c r="G103" s="21">
        <f t="shared" si="155"/>
        <v>0</v>
      </c>
      <c r="H103" s="21">
        <f t="shared" si="155"/>
        <v>0</v>
      </c>
      <c r="I103" s="85">
        <f t="shared" si="135"/>
        <v>0</v>
      </c>
      <c r="J103" s="85">
        <f t="shared" si="136"/>
        <v>0</v>
      </c>
      <c r="K103" s="85">
        <f t="shared" si="137"/>
        <v>0</v>
      </c>
      <c r="L103" s="85">
        <f t="shared" si="138"/>
        <v>0</v>
      </c>
      <c r="M103" s="17">
        <f t="shared" si="139"/>
        <v>0</v>
      </c>
      <c r="N103" s="85">
        <f t="shared" si="140"/>
        <v>0</v>
      </c>
      <c r="O103" s="85">
        <f t="shared" si="141"/>
        <v>0</v>
      </c>
      <c r="P103" s="85">
        <f t="shared" si="142"/>
        <v>0</v>
      </c>
      <c r="Q103" s="85">
        <f t="shared" si="143"/>
        <v>0</v>
      </c>
      <c r="R103" s="22">
        <f t="shared" si="144"/>
        <v>0</v>
      </c>
      <c r="S103" s="23">
        <f t="shared" si="145"/>
        <v>0</v>
      </c>
      <c r="T103" s="23">
        <f t="shared" si="146"/>
        <v>0</v>
      </c>
      <c r="U103" s="23">
        <f t="shared" si="147"/>
        <v>0</v>
      </c>
      <c r="W103" s="78" t="str">
        <f t="shared" si="149"/>
        <v>Other non-opex</v>
      </c>
      <c r="X103" s="64"/>
      <c r="Y103" s="64"/>
      <c r="Z103" s="64"/>
      <c r="AA103" s="64"/>
      <c r="AB103" s="60"/>
      <c r="AC103" s="64"/>
      <c r="AD103" s="64"/>
      <c r="AE103" s="64"/>
      <c r="AF103" s="64"/>
      <c r="AG103" s="60"/>
      <c r="AH103" s="64"/>
      <c r="AI103" s="64"/>
      <c r="AJ103" s="64"/>
    </row>
    <row r="104" spans="2:36" hidden="1" outlineLevel="1" x14ac:dyDescent="0.25">
      <c r="B104" s="229" t="s">
        <v>195</v>
      </c>
      <c r="C104" s="229" t="s">
        <v>195</v>
      </c>
      <c r="E104" s="78" t="s">
        <v>169</v>
      </c>
      <c r="F104" s="21">
        <f t="shared" ref="F104:H104" si="156">F230</f>
        <v>0</v>
      </c>
      <c r="G104" s="21">
        <f t="shared" si="156"/>
        <v>0</v>
      </c>
      <c r="H104" s="21">
        <f t="shared" si="156"/>
        <v>0</v>
      </c>
      <c r="I104" s="85">
        <f t="shared" si="135"/>
        <v>0</v>
      </c>
      <c r="J104" s="85">
        <f t="shared" si="136"/>
        <v>0</v>
      </c>
      <c r="K104" s="85">
        <f t="shared" si="137"/>
        <v>0</v>
      </c>
      <c r="L104" s="85">
        <f t="shared" si="138"/>
        <v>0</v>
      </c>
      <c r="M104" s="17">
        <f t="shared" si="139"/>
        <v>0</v>
      </c>
      <c r="N104" s="85">
        <f t="shared" si="140"/>
        <v>0</v>
      </c>
      <c r="O104" s="85">
        <f t="shared" si="141"/>
        <v>0</v>
      </c>
      <c r="P104" s="85">
        <f t="shared" si="142"/>
        <v>0</v>
      </c>
      <c r="Q104" s="85">
        <f t="shared" si="143"/>
        <v>0</v>
      </c>
      <c r="R104" s="22">
        <f t="shared" si="144"/>
        <v>0</v>
      </c>
      <c r="S104" s="23">
        <f t="shared" si="145"/>
        <v>0</v>
      </c>
      <c r="T104" s="23">
        <f t="shared" si="146"/>
        <v>0</v>
      </c>
      <c r="U104" s="23">
        <f t="shared" si="147"/>
        <v>0</v>
      </c>
      <c r="W104" s="78" t="str">
        <f t="shared" si="149"/>
        <v>Other non-opex</v>
      </c>
      <c r="X104" s="64"/>
      <c r="Y104" s="64"/>
      <c r="Z104" s="64"/>
      <c r="AA104" s="64"/>
      <c r="AB104" s="60"/>
      <c r="AC104" s="64"/>
      <c r="AD104" s="64"/>
      <c r="AE104" s="64"/>
      <c r="AF104" s="64"/>
      <c r="AG104" s="60"/>
      <c r="AH104" s="64"/>
      <c r="AI104" s="64"/>
      <c r="AJ104" s="64"/>
    </row>
    <row r="105" spans="2:36" hidden="1" outlineLevel="1" x14ac:dyDescent="0.25">
      <c r="B105" s="229" t="s">
        <v>195</v>
      </c>
      <c r="C105" s="229" t="s">
        <v>195</v>
      </c>
      <c r="E105" s="78" t="s">
        <v>169</v>
      </c>
      <c r="F105" s="21">
        <f t="shared" ref="F105:H105" si="157">F231</f>
        <v>0</v>
      </c>
      <c r="G105" s="21">
        <f t="shared" si="157"/>
        <v>0</v>
      </c>
      <c r="H105" s="21">
        <f t="shared" si="157"/>
        <v>0</v>
      </c>
      <c r="I105" s="85">
        <f t="shared" si="135"/>
        <v>0</v>
      </c>
      <c r="J105" s="85">
        <f t="shared" si="136"/>
        <v>0</v>
      </c>
      <c r="K105" s="85">
        <f t="shared" si="137"/>
        <v>0</v>
      </c>
      <c r="L105" s="85">
        <f t="shared" si="138"/>
        <v>0</v>
      </c>
      <c r="M105" s="17">
        <f t="shared" si="139"/>
        <v>0</v>
      </c>
      <c r="N105" s="85">
        <f t="shared" si="140"/>
        <v>0</v>
      </c>
      <c r="O105" s="85">
        <f t="shared" si="141"/>
        <v>0</v>
      </c>
      <c r="P105" s="85">
        <f t="shared" si="142"/>
        <v>0</v>
      </c>
      <c r="Q105" s="85">
        <f t="shared" si="143"/>
        <v>0</v>
      </c>
      <c r="R105" s="22">
        <f t="shared" si="144"/>
        <v>0</v>
      </c>
      <c r="S105" s="23">
        <f t="shared" si="145"/>
        <v>0</v>
      </c>
      <c r="T105" s="23">
        <f t="shared" si="146"/>
        <v>0</v>
      </c>
      <c r="U105" s="23">
        <f t="shared" si="147"/>
        <v>0</v>
      </c>
      <c r="W105" s="78" t="str">
        <f t="shared" si="149"/>
        <v>Other non-opex</v>
      </c>
      <c r="X105" s="64"/>
      <c r="Y105" s="64"/>
      <c r="Z105" s="64"/>
      <c r="AA105" s="64"/>
      <c r="AB105" s="60"/>
      <c r="AC105" s="64"/>
      <c r="AD105" s="64"/>
      <c r="AE105" s="64"/>
      <c r="AF105" s="64"/>
      <c r="AG105" s="60"/>
      <c r="AH105" s="64"/>
      <c r="AI105" s="64"/>
      <c r="AJ105" s="64"/>
    </row>
    <row r="106" spans="2:36" ht="15.75" hidden="1" outlineLevel="1" thickBot="1" x14ac:dyDescent="0.3">
      <c r="E106" s="8" t="s">
        <v>27</v>
      </c>
      <c r="F106" s="9">
        <f>SUM(F96:F105)</f>
        <v>0</v>
      </c>
      <c r="G106" s="9">
        <f t="shared" ref="G106" si="158">SUM(G96:G105)</f>
        <v>0</v>
      </c>
      <c r="H106" s="9">
        <f t="shared" ref="H106" si="159">SUM(H96:H105)</f>
        <v>0</v>
      </c>
      <c r="I106" s="86">
        <f t="shared" ref="I106" si="160">SUM(I96:I105)</f>
        <v>0</v>
      </c>
      <c r="J106" s="86">
        <f t="shared" ref="J106" si="161">SUM(J96:J105)</f>
        <v>0</v>
      </c>
      <c r="K106" s="86">
        <f t="shared" ref="K106" si="162">SUM(K96:K105)</f>
        <v>0</v>
      </c>
      <c r="L106" s="86">
        <f t="shared" ref="L106" si="163">SUM(L96:L105)</f>
        <v>0</v>
      </c>
      <c r="M106" s="18">
        <f t="shared" ref="M106" si="164">SUM(M96:M105)</f>
        <v>0</v>
      </c>
      <c r="N106" s="86">
        <f t="shared" ref="N106" si="165">SUM(N96:N105)</f>
        <v>0</v>
      </c>
      <c r="O106" s="86">
        <f t="shared" ref="O106" si="166">SUM(O96:O105)</f>
        <v>0</v>
      </c>
      <c r="P106" s="86">
        <f t="shared" ref="P106" si="167">SUM(P96:P105)</f>
        <v>0</v>
      </c>
      <c r="Q106" s="86">
        <f t="shared" ref="Q106" si="168">SUM(Q96:Q105)</f>
        <v>0</v>
      </c>
      <c r="R106" s="19">
        <f t="shared" ref="R106" si="169">SUM(R96:R105)</f>
        <v>0</v>
      </c>
      <c r="S106" s="20">
        <f t="shared" ref="S106" si="170">SUM(S96:S105)</f>
        <v>0</v>
      </c>
      <c r="T106" s="20">
        <f t="shared" ref="T106" si="171">SUM(T96:T105)</f>
        <v>0</v>
      </c>
      <c r="U106" s="20">
        <f t="shared" ref="U106" si="172">SUM(U96:U105)</f>
        <v>0</v>
      </c>
    </row>
    <row r="107" spans="2:36" ht="15.75" hidden="1" outlineLevel="1" thickTop="1" x14ac:dyDescent="0.25">
      <c r="M107" s="3"/>
    </row>
    <row r="108" spans="2:36" hidden="1" outlineLevel="1" x14ac:dyDescent="0.25">
      <c r="M108" s="3"/>
    </row>
    <row r="109" spans="2:36" hidden="1" outlineLevel="1" x14ac:dyDescent="0.25">
      <c r="M109" s="3"/>
    </row>
    <row r="110" spans="2:36" hidden="1" outlineLevel="1" x14ac:dyDescent="0.25">
      <c r="E110" s="4" t="s">
        <v>179</v>
      </c>
      <c r="W110" s="4" t="str">
        <f>E110</f>
        <v>Non-Operating Income (Show as negative)</v>
      </c>
    </row>
    <row r="111" spans="2:36" hidden="1" outlineLevel="1" x14ac:dyDescent="0.25">
      <c r="E111" s="6" t="s">
        <v>25</v>
      </c>
      <c r="W111" s="61" t="s">
        <v>62</v>
      </c>
    </row>
    <row r="112" spans="2:36" hidden="1" outlineLevel="1" x14ac:dyDescent="0.25"/>
    <row r="113" spans="2:36" hidden="1" outlineLevel="1" x14ac:dyDescent="0.25">
      <c r="F113" s="12">
        <f>Inputs!$C$7</f>
        <v>2023</v>
      </c>
      <c r="G113" s="12">
        <f>Inputs!$C$8</f>
        <v>2024</v>
      </c>
      <c r="H113" s="12">
        <f>Inputs!$C$9</f>
        <v>2025</v>
      </c>
      <c r="I113" s="13" t="s">
        <v>1</v>
      </c>
      <c r="J113" s="13" t="s">
        <v>2</v>
      </c>
      <c r="K113" s="13" t="s">
        <v>3</v>
      </c>
      <c r="L113" s="13" t="s">
        <v>4</v>
      </c>
      <c r="M113" s="13">
        <f>Inputs!$C$10</f>
        <v>2026</v>
      </c>
      <c r="N113" s="14" t="s">
        <v>1</v>
      </c>
      <c r="O113" s="14" t="s">
        <v>2</v>
      </c>
      <c r="P113" s="14" t="s">
        <v>3</v>
      </c>
      <c r="Q113" s="14" t="s">
        <v>4</v>
      </c>
      <c r="R113" s="15">
        <f>Inputs!$C$11</f>
        <v>2027</v>
      </c>
      <c r="S113" s="16">
        <f>Inputs!$C$12</f>
        <v>2028</v>
      </c>
      <c r="T113" s="16">
        <f>Inputs!$C$13</f>
        <v>2029</v>
      </c>
      <c r="U113" s="16">
        <f>Inputs!$C$14</f>
        <v>2030</v>
      </c>
      <c r="X113" s="13" t="s">
        <v>1</v>
      </c>
      <c r="Y113" s="13" t="s">
        <v>2</v>
      </c>
      <c r="Z113" s="13" t="s">
        <v>3</v>
      </c>
      <c r="AA113" s="13" t="s">
        <v>4</v>
      </c>
      <c r="AB113" s="13">
        <f>Inputs!$C$10</f>
        <v>2026</v>
      </c>
      <c r="AC113" s="14" t="s">
        <v>1</v>
      </c>
      <c r="AD113" s="14" t="s">
        <v>2</v>
      </c>
      <c r="AE113" s="14" t="s">
        <v>3</v>
      </c>
      <c r="AF113" s="14" t="s">
        <v>4</v>
      </c>
      <c r="AG113" s="15">
        <f>Inputs!$C$11</f>
        <v>2027</v>
      </c>
      <c r="AH113" s="16">
        <f>Inputs!$C$12</f>
        <v>2028</v>
      </c>
      <c r="AI113" s="16">
        <f>Inputs!$C$13</f>
        <v>2029</v>
      </c>
      <c r="AJ113" s="16">
        <f>Inputs!$C$14</f>
        <v>2030</v>
      </c>
    </row>
    <row r="114" spans="2:36" hidden="1" outlineLevel="1" x14ac:dyDescent="0.25">
      <c r="F114" s="71" t="s">
        <v>63</v>
      </c>
      <c r="G114" s="71" t="s">
        <v>63</v>
      </c>
      <c r="H114" s="71" t="s">
        <v>63</v>
      </c>
      <c r="I114" s="71" t="s">
        <v>63</v>
      </c>
      <c r="J114" s="71" t="s">
        <v>63</v>
      </c>
      <c r="K114" s="71" t="s">
        <v>63</v>
      </c>
      <c r="L114" s="71" t="s">
        <v>63</v>
      </c>
      <c r="M114" s="71" t="s">
        <v>63</v>
      </c>
      <c r="N114" s="71" t="s">
        <v>63</v>
      </c>
      <c r="O114" s="71" t="s">
        <v>63</v>
      </c>
      <c r="P114" s="71" t="s">
        <v>63</v>
      </c>
      <c r="Q114" s="71" t="s">
        <v>63</v>
      </c>
      <c r="R114" s="71" t="s">
        <v>63</v>
      </c>
      <c r="S114" s="71" t="s">
        <v>63</v>
      </c>
      <c r="T114" s="71" t="s">
        <v>63</v>
      </c>
      <c r="U114" s="71" t="s">
        <v>63</v>
      </c>
      <c r="X114" s="63" t="s">
        <v>30</v>
      </c>
      <c r="Y114" s="63" t="s">
        <v>30</v>
      </c>
      <c r="Z114" s="63" t="s">
        <v>30</v>
      </c>
      <c r="AA114" s="63" t="s">
        <v>30</v>
      </c>
      <c r="AB114" s="62"/>
      <c r="AC114" s="63" t="s">
        <v>30</v>
      </c>
      <c r="AD114" s="63" t="s">
        <v>30</v>
      </c>
      <c r="AE114" s="63" t="s">
        <v>30</v>
      </c>
      <c r="AF114" s="63" t="s">
        <v>30</v>
      </c>
      <c r="AG114" s="62"/>
      <c r="AH114" s="63" t="s">
        <v>30</v>
      </c>
      <c r="AI114" s="63" t="s">
        <v>30</v>
      </c>
      <c r="AJ114" s="63" t="s">
        <v>30</v>
      </c>
    </row>
    <row r="115" spans="2:36" hidden="1" outlineLevel="1" x14ac:dyDescent="0.25">
      <c r="B115" s="229" t="s">
        <v>195</v>
      </c>
      <c r="C115" s="229" t="s">
        <v>195</v>
      </c>
      <c r="E115" s="78" t="s">
        <v>171</v>
      </c>
      <c r="F115" s="21">
        <f>F241</f>
        <v>0</v>
      </c>
      <c r="G115" s="21">
        <f t="shared" ref="G115:H115" si="173">G241</f>
        <v>0</v>
      </c>
      <c r="H115" s="21">
        <f t="shared" si="173"/>
        <v>0</v>
      </c>
      <c r="I115" s="85">
        <f t="shared" ref="I115:I124" si="174">IF(X115="",I241,X115)</f>
        <v>0</v>
      </c>
      <c r="J115" s="85">
        <f t="shared" ref="J115:J124" si="175">IF(Y115="",J241,Y115)</f>
        <v>0</v>
      </c>
      <c r="K115" s="85">
        <f t="shared" ref="K115:K124" si="176">IF(Z115="",K241,Z115)</f>
        <v>0</v>
      </c>
      <c r="L115" s="85">
        <f t="shared" ref="L115:L124" si="177">IF(AA115="",L241,AA115)</f>
        <v>0</v>
      </c>
      <c r="M115" s="17">
        <f t="shared" ref="M115:M124" si="178">SUM(I115:L115)</f>
        <v>0</v>
      </c>
      <c r="N115" s="85">
        <f t="shared" ref="N115:N124" si="179">IF(AC115="",N241,AC115)</f>
        <v>0</v>
      </c>
      <c r="O115" s="85">
        <f t="shared" ref="O115:O124" si="180">IF(AD115="",O241,AD115)</f>
        <v>0</v>
      </c>
      <c r="P115" s="85">
        <f t="shared" ref="P115:P124" si="181">IF(AE115="",P241,AE115)</f>
        <v>0</v>
      </c>
      <c r="Q115" s="85">
        <f t="shared" ref="Q115:Q124" si="182">IF(AF115="",Q241,AF115)</f>
        <v>0</v>
      </c>
      <c r="R115" s="22">
        <f t="shared" ref="R115:R124" si="183">SUM(N115:Q115)</f>
        <v>0</v>
      </c>
      <c r="S115" s="23">
        <f t="shared" ref="S115:S124" si="184">IF(AH115="",S241,AH115)</f>
        <v>0</v>
      </c>
      <c r="T115" s="23">
        <f t="shared" ref="T115:T124" si="185">IF(AI115="",T241,AI115)</f>
        <v>0</v>
      </c>
      <c r="U115" s="23">
        <f t="shared" ref="U115:U124" si="186">IF(AJ115="",U241,AJ115)</f>
        <v>0</v>
      </c>
      <c r="W115" s="78" t="str">
        <f>E115</f>
        <v>Interest Income</v>
      </c>
      <c r="X115" s="64"/>
      <c r="Y115" s="64"/>
      <c r="Z115" s="64"/>
      <c r="AA115" s="64"/>
      <c r="AB115" s="60"/>
      <c r="AC115" s="64"/>
      <c r="AD115" s="64"/>
      <c r="AE115" s="64"/>
      <c r="AF115" s="64"/>
      <c r="AG115" s="60"/>
      <c r="AH115" s="64"/>
      <c r="AI115" s="64"/>
      <c r="AJ115" s="64"/>
    </row>
    <row r="116" spans="2:36" hidden="1" outlineLevel="1" x14ac:dyDescent="0.25">
      <c r="B116" s="229" t="s">
        <v>195</v>
      </c>
      <c r="C116" s="229" t="s">
        <v>195</v>
      </c>
      <c r="E116" s="78" t="s">
        <v>172</v>
      </c>
      <c r="F116" s="21">
        <f t="shared" ref="F116:H116" si="187">F242</f>
        <v>0</v>
      </c>
      <c r="G116" s="21">
        <f t="shared" si="187"/>
        <v>0</v>
      </c>
      <c r="H116" s="21">
        <f t="shared" si="187"/>
        <v>0</v>
      </c>
      <c r="I116" s="85">
        <f t="shared" si="174"/>
        <v>0</v>
      </c>
      <c r="J116" s="85">
        <f t="shared" si="175"/>
        <v>0</v>
      </c>
      <c r="K116" s="85">
        <f t="shared" si="176"/>
        <v>0</v>
      </c>
      <c r="L116" s="85">
        <f t="shared" si="177"/>
        <v>0</v>
      </c>
      <c r="M116" s="17">
        <f t="shared" si="178"/>
        <v>0</v>
      </c>
      <c r="N116" s="85">
        <f t="shared" si="179"/>
        <v>0</v>
      </c>
      <c r="O116" s="85">
        <f t="shared" si="180"/>
        <v>0</v>
      </c>
      <c r="P116" s="85">
        <f t="shared" si="181"/>
        <v>0</v>
      </c>
      <c r="Q116" s="85">
        <f t="shared" si="182"/>
        <v>0</v>
      </c>
      <c r="R116" s="22">
        <f t="shared" si="183"/>
        <v>0</v>
      </c>
      <c r="S116" s="23">
        <f t="shared" si="184"/>
        <v>0</v>
      </c>
      <c r="T116" s="23">
        <f t="shared" si="185"/>
        <v>0</v>
      </c>
      <c r="U116" s="23">
        <f t="shared" si="186"/>
        <v>0</v>
      </c>
      <c r="W116" s="78" t="str">
        <f t="shared" ref="W116:W124" si="188">E116</f>
        <v>Investment Income</v>
      </c>
      <c r="X116" s="64"/>
      <c r="Y116" s="64"/>
      <c r="Z116" s="64"/>
      <c r="AA116" s="64"/>
      <c r="AB116" s="60"/>
      <c r="AC116" s="64"/>
      <c r="AD116" s="64"/>
      <c r="AE116" s="64"/>
      <c r="AF116" s="64"/>
      <c r="AG116" s="60"/>
      <c r="AH116" s="64"/>
      <c r="AI116" s="64"/>
      <c r="AJ116" s="64"/>
    </row>
    <row r="117" spans="2:36" hidden="1" outlineLevel="1" x14ac:dyDescent="0.25">
      <c r="B117" s="229" t="s">
        <v>195</v>
      </c>
      <c r="C117" s="229" t="s">
        <v>195</v>
      </c>
      <c r="E117" s="78" t="s">
        <v>173</v>
      </c>
      <c r="F117" s="21">
        <f t="shared" ref="F117:H117" si="189">F243</f>
        <v>0</v>
      </c>
      <c r="G117" s="21">
        <f t="shared" si="189"/>
        <v>0</v>
      </c>
      <c r="H117" s="21">
        <f t="shared" si="189"/>
        <v>0</v>
      </c>
      <c r="I117" s="85">
        <f t="shared" si="174"/>
        <v>0</v>
      </c>
      <c r="J117" s="85">
        <f t="shared" si="175"/>
        <v>0</v>
      </c>
      <c r="K117" s="85">
        <f t="shared" si="176"/>
        <v>0</v>
      </c>
      <c r="L117" s="85">
        <f t="shared" si="177"/>
        <v>0</v>
      </c>
      <c r="M117" s="17">
        <f t="shared" si="178"/>
        <v>0</v>
      </c>
      <c r="N117" s="85">
        <f t="shared" si="179"/>
        <v>0</v>
      </c>
      <c r="O117" s="85">
        <f t="shared" si="180"/>
        <v>0</v>
      </c>
      <c r="P117" s="85">
        <f t="shared" si="181"/>
        <v>0</v>
      </c>
      <c r="Q117" s="85">
        <f t="shared" si="182"/>
        <v>0</v>
      </c>
      <c r="R117" s="22">
        <f t="shared" si="183"/>
        <v>0</v>
      </c>
      <c r="S117" s="23">
        <f t="shared" si="184"/>
        <v>0</v>
      </c>
      <c r="T117" s="23">
        <f t="shared" si="185"/>
        <v>0</v>
      </c>
      <c r="U117" s="23">
        <f t="shared" si="186"/>
        <v>0</v>
      </c>
      <c r="W117" s="78" t="str">
        <f t="shared" si="188"/>
        <v>Gains on Sale of Investments</v>
      </c>
      <c r="X117" s="64"/>
      <c r="Y117" s="64"/>
      <c r="Z117" s="64"/>
      <c r="AA117" s="64"/>
      <c r="AB117" s="60"/>
      <c r="AC117" s="64"/>
      <c r="AD117" s="64"/>
      <c r="AE117" s="64"/>
      <c r="AF117" s="64"/>
      <c r="AG117" s="60"/>
      <c r="AH117" s="64"/>
      <c r="AI117" s="64"/>
      <c r="AJ117" s="64"/>
    </row>
    <row r="118" spans="2:36" hidden="1" outlineLevel="1" x14ac:dyDescent="0.25">
      <c r="B118" s="229" t="s">
        <v>195</v>
      </c>
      <c r="C118" s="229" t="s">
        <v>195</v>
      </c>
      <c r="E118" s="78" t="s">
        <v>174</v>
      </c>
      <c r="F118" s="21">
        <f t="shared" ref="F118:H118" si="190">F244</f>
        <v>0</v>
      </c>
      <c r="G118" s="21">
        <f t="shared" si="190"/>
        <v>0</v>
      </c>
      <c r="H118" s="21">
        <f t="shared" si="190"/>
        <v>0</v>
      </c>
      <c r="I118" s="85">
        <f t="shared" si="174"/>
        <v>0</v>
      </c>
      <c r="J118" s="85">
        <f t="shared" si="175"/>
        <v>0</v>
      </c>
      <c r="K118" s="85">
        <f t="shared" si="176"/>
        <v>0</v>
      </c>
      <c r="L118" s="85">
        <f t="shared" si="177"/>
        <v>0</v>
      </c>
      <c r="M118" s="17">
        <f t="shared" si="178"/>
        <v>0</v>
      </c>
      <c r="N118" s="85">
        <f t="shared" si="179"/>
        <v>0</v>
      </c>
      <c r="O118" s="85">
        <f t="shared" si="180"/>
        <v>0</v>
      </c>
      <c r="P118" s="85">
        <f t="shared" si="181"/>
        <v>0</v>
      </c>
      <c r="Q118" s="85">
        <f t="shared" si="182"/>
        <v>0</v>
      </c>
      <c r="R118" s="22">
        <f t="shared" si="183"/>
        <v>0</v>
      </c>
      <c r="S118" s="23">
        <f t="shared" si="184"/>
        <v>0</v>
      </c>
      <c r="T118" s="23">
        <f t="shared" si="185"/>
        <v>0</v>
      </c>
      <c r="U118" s="23">
        <f t="shared" si="186"/>
        <v>0</v>
      </c>
      <c r="W118" s="78" t="str">
        <f t="shared" si="188"/>
        <v>Gains on sale of  long-lived assets</v>
      </c>
      <c r="X118" s="64"/>
      <c r="Y118" s="64"/>
      <c r="Z118" s="64"/>
      <c r="AA118" s="64"/>
      <c r="AB118" s="60"/>
      <c r="AC118" s="64"/>
      <c r="AD118" s="64"/>
      <c r="AE118" s="64"/>
      <c r="AF118" s="64"/>
      <c r="AG118" s="60"/>
      <c r="AH118" s="64"/>
      <c r="AI118" s="64"/>
      <c r="AJ118" s="64"/>
    </row>
    <row r="119" spans="2:36" hidden="1" outlineLevel="1" x14ac:dyDescent="0.25">
      <c r="B119" s="229" t="s">
        <v>195</v>
      </c>
      <c r="C119" s="229" t="s">
        <v>195</v>
      </c>
      <c r="E119" s="78" t="s">
        <v>175</v>
      </c>
      <c r="F119" s="21">
        <f t="shared" ref="F119:H119" si="191">F245</f>
        <v>0</v>
      </c>
      <c r="G119" s="21">
        <f t="shared" si="191"/>
        <v>0</v>
      </c>
      <c r="H119" s="21">
        <f t="shared" si="191"/>
        <v>0</v>
      </c>
      <c r="I119" s="85">
        <f t="shared" si="174"/>
        <v>0</v>
      </c>
      <c r="J119" s="85">
        <f t="shared" si="175"/>
        <v>0</v>
      </c>
      <c r="K119" s="85">
        <f t="shared" si="176"/>
        <v>0</v>
      </c>
      <c r="L119" s="85">
        <f t="shared" si="177"/>
        <v>0</v>
      </c>
      <c r="M119" s="17">
        <f t="shared" si="178"/>
        <v>0</v>
      </c>
      <c r="N119" s="85">
        <f t="shared" si="179"/>
        <v>0</v>
      </c>
      <c r="O119" s="85">
        <f t="shared" si="180"/>
        <v>0</v>
      </c>
      <c r="P119" s="85">
        <f t="shared" si="181"/>
        <v>0</v>
      </c>
      <c r="Q119" s="85">
        <f t="shared" si="182"/>
        <v>0</v>
      </c>
      <c r="R119" s="22">
        <f t="shared" si="183"/>
        <v>0</v>
      </c>
      <c r="S119" s="23">
        <f t="shared" si="184"/>
        <v>0</v>
      </c>
      <c r="T119" s="23">
        <f t="shared" si="185"/>
        <v>0</v>
      </c>
      <c r="U119" s="23">
        <f t="shared" si="186"/>
        <v>0</v>
      </c>
      <c r="W119" s="78" t="str">
        <f t="shared" si="188"/>
        <v>Foreign Exchange</v>
      </c>
      <c r="X119" s="64"/>
      <c r="Y119" s="64"/>
      <c r="Z119" s="64"/>
      <c r="AA119" s="64"/>
      <c r="AB119" s="60"/>
      <c r="AC119" s="64"/>
      <c r="AD119" s="64"/>
      <c r="AE119" s="64"/>
      <c r="AF119" s="64"/>
      <c r="AG119" s="60"/>
      <c r="AH119" s="64"/>
      <c r="AI119" s="64"/>
      <c r="AJ119" s="64"/>
    </row>
    <row r="120" spans="2:36" hidden="1" outlineLevel="1" x14ac:dyDescent="0.25">
      <c r="B120" s="229" t="s">
        <v>195</v>
      </c>
      <c r="C120" s="229" t="s">
        <v>195</v>
      </c>
      <c r="E120" s="78" t="s">
        <v>176</v>
      </c>
      <c r="F120" s="21">
        <f t="shared" ref="F120:H120" si="192">F246</f>
        <v>0</v>
      </c>
      <c r="G120" s="21">
        <f t="shared" si="192"/>
        <v>0</v>
      </c>
      <c r="H120" s="21">
        <f t="shared" si="192"/>
        <v>0</v>
      </c>
      <c r="I120" s="85">
        <f t="shared" si="174"/>
        <v>0</v>
      </c>
      <c r="J120" s="85">
        <f t="shared" si="175"/>
        <v>0</v>
      </c>
      <c r="K120" s="85">
        <f t="shared" si="176"/>
        <v>0</v>
      </c>
      <c r="L120" s="85">
        <f t="shared" si="177"/>
        <v>0</v>
      </c>
      <c r="M120" s="17">
        <f t="shared" si="178"/>
        <v>0</v>
      </c>
      <c r="N120" s="85">
        <f t="shared" si="179"/>
        <v>0</v>
      </c>
      <c r="O120" s="85">
        <f t="shared" si="180"/>
        <v>0</v>
      </c>
      <c r="P120" s="85">
        <f t="shared" si="181"/>
        <v>0</v>
      </c>
      <c r="Q120" s="85">
        <f t="shared" si="182"/>
        <v>0</v>
      </c>
      <c r="R120" s="22">
        <f t="shared" si="183"/>
        <v>0</v>
      </c>
      <c r="S120" s="23">
        <f t="shared" si="184"/>
        <v>0</v>
      </c>
      <c r="T120" s="23">
        <f t="shared" si="185"/>
        <v>0</v>
      </c>
      <c r="U120" s="23">
        <f t="shared" si="186"/>
        <v>0</v>
      </c>
      <c r="W120" s="78" t="str">
        <f t="shared" si="188"/>
        <v>One-time legal settlements</v>
      </c>
      <c r="X120" s="64"/>
      <c r="Y120" s="64"/>
      <c r="Z120" s="64"/>
      <c r="AA120" s="64"/>
      <c r="AB120" s="60"/>
      <c r="AC120" s="64"/>
      <c r="AD120" s="64"/>
      <c r="AE120" s="64"/>
      <c r="AF120" s="64"/>
      <c r="AG120" s="60"/>
      <c r="AH120" s="64"/>
      <c r="AI120" s="64"/>
      <c r="AJ120" s="64"/>
    </row>
    <row r="121" spans="2:36" hidden="1" outlineLevel="1" x14ac:dyDescent="0.25">
      <c r="B121" s="229" t="s">
        <v>195</v>
      </c>
      <c r="C121" s="229" t="s">
        <v>195</v>
      </c>
      <c r="E121" s="78" t="s">
        <v>178</v>
      </c>
      <c r="F121" s="21">
        <f t="shared" ref="F121:H121" si="193">F247</f>
        <v>0</v>
      </c>
      <c r="G121" s="21">
        <f t="shared" si="193"/>
        <v>0</v>
      </c>
      <c r="H121" s="21">
        <f t="shared" si="193"/>
        <v>0</v>
      </c>
      <c r="I121" s="85">
        <f t="shared" si="174"/>
        <v>0</v>
      </c>
      <c r="J121" s="85">
        <f t="shared" si="175"/>
        <v>0</v>
      </c>
      <c r="K121" s="85">
        <f t="shared" si="176"/>
        <v>0</v>
      </c>
      <c r="L121" s="85">
        <f t="shared" si="177"/>
        <v>0</v>
      </c>
      <c r="M121" s="17">
        <f t="shared" si="178"/>
        <v>0</v>
      </c>
      <c r="N121" s="85">
        <f t="shared" si="179"/>
        <v>0</v>
      </c>
      <c r="O121" s="85">
        <f t="shared" si="180"/>
        <v>0</v>
      </c>
      <c r="P121" s="85">
        <f t="shared" si="181"/>
        <v>0</v>
      </c>
      <c r="Q121" s="85">
        <f t="shared" si="182"/>
        <v>0</v>
      </c>
      <c r="R121" s="22">
        <f t="shared" si="183"/>
        <v>0</v>
      </c>
      <c r="S121" s="23">
        <f t="shared" si="184"/>
        <v>0</v>
      </c>
      <c r="T121" s="23">
        <f t="shared" si="185"/>
        <v>0</v>
      </c>
      <c r="U121" s="23">
        <f t="shared" si="186"/>
        <v>0</v>
      </c>
      <c r="W121" s="78" t="str">
        <f t="shared" si="188"/>
        <v>Other non-opex income</v>
      </c>
      <c r="X121" s="64"/>
      <c r="Y121" s="64"/>
      <c r="Z121" s="64"/>
      <c r="AA121" s="64"/>
      <c r="AB121" s="60"/>
      <c r="AC121" s="64"/>
      <c r="AD121" s="64"/>
      <c r="AE121" s="64"/>
      <c r="AF121" s="64"/>
      <c r="AG121" s="60"/>
      <c r="AH121" s="64"/>
      <c r="AI121" s="64"/>
      <c r="AJ121" s="64"/>
    </row>
    <row r="122" spans="2:36" hidden="1" outlineLevel="1" x14ac:dyDescent="0.25">
      <c r="B122" s="229" t="s">
        <v>195</v>
      </c>
      <c r="C122" s="229" t="s">
        <v>195</v>
      </c>
      <c r="E122" s="78" t="s">
        <v>178</v>
      </c>
      <c r="F122" s="21">
        <f t="shared" ref="F122:H122" si="194">F248</f>
        <v>0</v>
      </c>
      <c r="G122" s="21">
        <f t="shared" si="194"/>
        <v>0</v>
      </c>
      <c r="H122" s="21">
        <f t="shared" si="194"/>
        <v>0</v>
      </c>
      <c r="I122" s="85">
        <f t="shared" si="174"/>
        <v>0</v>
      </c>
      <c r="J122" s="85">
        <f t="shared" si="175"/>
        <v>0</v>
      </c>
      <c r="K122" s="85">
        <f t="shared" si="176"/>
        <v>0</v>
      </c>
      <c r="L122" s="85">
        <f t="shared" si="177"/>
        <v>0</v>
      </c>
      <c r="M122" s="17">
        <f t="shared" si="178"/>
        <v>0</v>
      </c>
      <c r="N122" s="85">
        <f t="shared" si="179"/>
        <v>0</v>
      </c>
      <c r="O122" s="85">
        <f t="shared" si="180"/>
        <v>0</v>
      </c>
      <c r="P122" s="85">
        <f t="shared" si="181"/>
        <v>0</v>
      </c>
      <c r="Q122" s="85">
        <f t="shared" si="182"/>
        <v>0</v>
      </c>
      <c r="R122" s="22">
        <f t="shared" si="183"/>
        <v>0</v>
      </c>
      <c r="S122" s="23">
        <f t="shared" si="184"/>
        <v>0</v>
      </c>
      <c r="T122" s="23">
        <f t="shared" si="185"/>
        <v>0</v>
      </c>
      <c r="U122" s="23">
        <f t="shared" si="186"/>
        <v>0</v>
      </c>
      <c r="W122" s="78" t="str">
        <f t="shared" si="188"/>
        <v>Other non-opex income</v>
      </c>
      <c r="X122" s="64"/>
      <c r="Y122" s="64"/>
      <c r="Z122" s="64"/>
      <c r="AA122" s="64"/>
      <c r="AB122" s="60"/>
      <c r="AC122" s="64"/>
      <c r="AD122" s="64"/>
      <c r="AE122" s="64"/>
      <c r="AF122" s="64"/>
      <c r="AG122" s="60"/>
      <c r="AH122" s="64"/>
      <c r="AI122" s="64"/>
      <c r="AJ122" s="64"/>
    </row>
    <row r="123" spans="2:36" hidden="1" outlineLevel="1" x14ac:dyDescent="0.25">
      <c r="B123" s="229" t="s">
        <v>195</v>
      </c>
      <c r="C123" s="229" t="s">
        <v>195</v>
      </c>
      <c r="E123" s="78" t="s">
        <v>178</v>
      </c>
      <c r="F123" s="21">
        <f t="shared" ref="F123:H123" si="195">F249</f>
        <v>0</v>
      </c>
      <c r="G123" s="21">
        <f t="shared" si="195"/>
        <v>0</v>
      </c>
      <c r="H123" s="21">
        <f t="shared" si="195"/>
        <v>0</v>
      </c>
      <c r="I123" s="85">
        <f t="shared" si="174"/>
        <v>0</v>
      </c>
      <c r="J123" s="85">
        <f t="shared" si="175"/>
        <v>0</v>
      </c>
      <c r="K123" s="85">
        <f t="shared" si="176"/>
        <v>0</v>
      </c>
      <c r="L123" s="85">
        <f t="shared" si="177"/>
        <v>0</v>
      </c>
      <c r="M123" s="17">
        <f t="shared" si="178"/>
        <v>0</v>
      </c>
      <c r="N123" s="85">
        <f t="shared" si="179"/>
        <v>0</v>
      </c>
      <c r="O123" s="85">
        <f t="shared" si="180"/>
        <v>0</v>
      </c>
      <c r="P123" s="85">
        <f t="shared" si="181"/>
        <v>0</v>
      </c>
      <c r="Q123" s="85">
        <f t="shared" si="182"/>
        <v>0</v>
      </c>
      <c r="R123" s="22">
        <f t="shared" si="183"/>
        <v>0</v>
      </c>
      <c r="S123" s="23">
        <f t="shared" si="184"/>
        <v>0</v>
      </c>
      <c r="T123" s="23">
        <f t="shared" si="185"/>
        <v>0</v>
      </c>
      <c r="U123" s="23">
        <f t="shared" si="186"/>
        <v>0</v>
      </c>
      <c r="W123" s="78" t="str">
        <f t="shared" si="188"/>
        <v>Other non-opex income</v>
      </c>
      <c r="X123" s="64"/>
      <c r="Y123" s="64"/>
      <c r="Z123" s="64"/>
      <c r="AA123" s="64"/>
      <c r="AB123" s="60"/>
      <c r="AC123" s="64"/>
      <c r="AD123" s="64"/>
      <c r="AE123" s="64"/>
      <c r="AF123" s="64"/>
      <c r="AG123" s="60"/>
      <c r="AH123" s="64"/>
      <c r="AI123" s="64"/>
      <c r="AJ123" s="64"/>
    </row>
    <row r="124" spans="2:36" hidden="1" outlineLevel="1" x14ac:dyDescent="0.25">
      <c r="B124" s="229" t="s">
        <v>195</v>
      </c>
      <c r="C124" s="229" t="s">
        <v>195</v>
      </c>
      <c r="E124" s="78" t="s">
        <v>178</v>
      </c>
      <c r="F124" s="21">
        <f t="shared" ref="F124:H124" si="196">F250</f>
        <v>0</v>
      </c>
      <c r="G124" s="21">
        <f t="shared" si="196"/>
        <v>0</v>
      </c>
      <c r="H124" s="21">
        <f t="shared" si="196"/>
        <v>0</v>
      </c>
      <c r="I124" s="85">
        <f t="shared" si="174"/>
        <v>0</v>
      </c>
      <c r="J124" s="85">
        <f t="shared" si="175"/>
        <v>0</v>
      </c>
      <c r="K124" s="85">
        <f t="shared" si="176"/>
        <v>0</v>
      </c>
      <c r="L124" s="85">
        <f t="shared" si="177"/>
        <v>0</v>
      </c>
      <c r="M124" s="17">
        <f t="shared" si="178"/>
        <v>0</v>
      </c>
      <c r="N124" s="85">
        <f t="shared" si="179"/>
        <v>0</v>
      </c>
      <c r="O124" s="85">
        <f t="shared" si="180"/>
        <v>0</v>
      </c>
      <c r="P124" s="85">
        <f t="shared" si="181"/>
        <v>0</v>
      </c>
      <c r="Q124" s="85">
        <f t="shared" si="182"/>
        <v>0</v>
      </c>
      <c r="R124" s="22">
        <f t="shared" si="183"/>
        <v>0</v>
      </c>
      <c r="S124" s="23">
        <f t="shared" si="184"/>
        <v>0</v>
      </c>
      <c r="T124" s="23">
        <f t="shared" si="185"/>
        <v>0</v>
      </c>
      <c r="U124" s="23">
        <f t="shared" si="186"/>
        <v>0</v>
      </c>
      <c r="W124" s="78" t="str">
        <f t="shared" si="188"/>
        <v>Other non-opex income</v>
      </c>
      <c r="X124" s="64"/>
      <c r="Y124" s="64"/>
      <c r="Z124" s="64"/>
      <c r="AA124" s="64"/>
      <c r="AB124" s="60"/>
      <c r="AC124" s="64"/>
      <c r="AD124" s="64"/>
      <c r="AE124" s="64"/>
      <c r="AF124" s="64"/>
      <c r="AG124" s="60"/>
      <c r="AH124" s="64"/>
      <c r="AI124" s="64"/>
      <c r="AJ124" s="64"/>
    </row>
    <row r="125" spans="2:36" ht="15.75" hidden="1" outlineLevel="1" thickBot="1" x14ac:dyDescent="0.3">
      <c r="E125" s="8" t="s">
        <v>27</v>
      </c>
      <c r="F125" s="9">
        <f>SUM(F115:F124)</f>
        <v>0</v>
      </c>
      <c r="G125" s="9">
        <f t="shared" ref="G125" si="197">SUM(G115:G124)</f>
        <v>0</v>
      </c>
      <c r="H125" s="9">
        <f t="shared" ref="H125" si="198">SUM(H115:H124)</f>
        <v>0</v>
      </c>
      <c r="I125" s="86">
        <f t="shared" ref="I125" si="199">SUM(I115:I124)</f>
        <v>0</v>
      </c>
      <c r="J125" s="86">
        <f t="shared" ref="J125" si="200">SUM(J115:J124)</f>
        <v>0</v>
      </c>
      <c r="K125" s="86">
        <f t="shared" ref="K125" si="201">SUM(K115:K124)</f>
        <v>0</v>
      </c>
      <c r="L125" s="86">
        <f t="shared" ref="L125" si="202">SUM(L115:L124)</f>
        <v>0</v>
      </c>
      <c r="M125" s="18">
        <f t="shared" ref="M125" si="203">SUM(M115:M124)</f>
        <v>0</v>
      </c>
      <c r="N125" s="86">
        <f t="shared" ref="N125" si="204">SUM(N115:N124)</f>
        <v>0</v>
      </c>
      <c r="O125" s="86">
        <f t="shared" ref="O125" si="205">SUM(O115:O124)</f>
        <v>0</v>
      </c>
      <c r="P125" s="86">
        <f t="shared" ref="P125" si="206">SUM(P115:P124)</f>
        <v>0</v>
      </c>
      <c r="Q125" s="86">
        <f t="shared" ref="Q125" si="207">SUM(Q115:Q124)</f>
        <v>0</v>
      </c>
      <c r="R125" s="19">
        <f t="shared" ref="R125" si="208">SUM(R115:R124)</f>
        <v>0</v>
      </c>
      <c r="S125" s="20">
        <f t="shared" ref="S125" si="209">SUM(S115:S124)</f>
        <v>0</v>
      </c>
      <c r="T125" s="20">
        <f t="shared" ref="T125" si="210">SUM(T115:T124)</f>
        <v>0</v>
      </c>
      <c r="U125" s="20">
        <f t="shared" ref="U125" si="211">SUM(U115:U124)</f>
        <v>0</v>
      </c>
    </row>
    <row r="126" spans="2:36" ht="15.75" hidden="1" outlineLevel="1" thickTop="1" x14ac:dyDescent="0.25">
      <c r="M126" s="3"/>
    </row>
    <row r="127" spans="2:36" hidden="1" outlineLevel="1" x14ac:dyDescent="0.25">
      <c r="M127" s="3"/>
    </row>
    <row r="128" spans="2:36" hidden="1" outlineLevel="1" x14ac:dyDescent="0.25">
      <c r="M128" s="3"/>
    </row>
    <row r="129" spans="2:36" ht="18.75" collapsed="1" x14ac:dyDescent="0.3">
      <c r="B129" s="4" t="s">
        <v>34</v>
      </c>
      <c r="C129" s="4" t="s">
        <v>387</v>
      </c>
      <c r="E129" s="53" t="str">
        <f>"Scenario 4: "&amp;Inputs!B25</f>
        <v>Scenario 4: Scenario 4</v>
      </c>
      <c r="F129" s="49"/>
      <c r="G129" s="49"/>
      <c r="H129" s="49"/>
      <c r="I129" s="49"/>
      <c r="J129" s="49"/>
      <c r="K129" s="49"/>
      <c r="L129" s="49"/>
      <c r="M129" s="49"/>
      <c r="N129" s="49"/>
      <c r="O129" s="49"/>
      <c r="P129" s="49"/>
      <c r="Q129" s="49"/>
      <c r="R129" s="49"/>
      <c r="S129" s="49"/>
      <c r="T129" s="49"/>
      <c r="U129" s="49"/>
    </row>
    <row r="130" spans="2:36" hidden="1" outlineLevel="1" x14ac:dyDescent="0.25">
      <c r="E130" s="52" t="str">
        <f>Inputs!C25</f>
        <v>Scenario 4 Description</v>
      </c>
    </row>
    <row r="131" spans="2:36" hidden="1" outlineLevel="1" x14ac:dyDescent="0.25"/>
    <row r="132" spans="2:36" hidden="1" outlineLevel="1" x14ac:dyDescent="0.25"/>
    <row r="133" spans="2:36" hidden="1" outlineLevel="1" x14ac:dyDescent="0.25">
      <c r="E133" s="4" t="s">
        <v>162</v>
      </c>
      <c r="W133" s="4" t="str">
        <f>E133</f>
        <v>Non-Operating Expenses</v>
      </c>
    </row>
    <row r="134" spans="2:36" hidden="1" outlineLevel="1" x14ac:dyDescent="0.25">
      <c r="E134" s="6" t="s">
        <v>25</v>
      </c>
      <c r="W134" s="61" t="s">
        <v>62</v>
      </c>
    </row>
    <row r="135" spans="2:36" hidden="1" outlineLevel="1" x14ac:dyDescent="0.25"/>
    <row r="136" spans="2:36" hidden="1" outlineLevel="1" x14ac:dyDescent="0.25">
      <c r="F136" s="12">
        <f>Inputs!$C$7</f>
        <v>2023</v>
      </c>
      <c r="G136" s="12">
        <f>Inputs!$C$8</f>
        <v>2024</v>
      </c>
      <c r="H136" s="12">
        <f>Inputs!$C$9</f>
        <v>2025</v>
      </c>
      <c r="I136" s="13" t="s">
        <v>1</v>
      </c>
      <c r="J136" s="13" t="s">
        <v>2</v>
      </c>
      <c r="K136" s="13" t="s">
        <v>3</v>
      </c>
      <c r="L136" s="13" t="s">
        <v>4</v>
      </c>
      <c r="M136" s="13">
        <f>Inputs!$C$10</f>
        <v>2026</v>
      </c>
      <c r="N136" s="14" t="s">
        <v>1</v>
      </c>
      <c r="O136" s="14" t="s">
        <v>2</v>
      </c>
      <c r="P136" s="14" t="s">
        <v>3</v>
      </c>
      <c r="Q136" s="14" t="s">
        <v>4</v>
      </c>
      <c r="R136" s="15">
        <f>Inputs!$C$11</f>
        <v>2027</v>
      </c>
      <c r="S136" s="16">
        <f>Inputs!$C$12</f>
        <v>2028</v>
      </c>
      <c r="T136" s="16">
        <f>Inputs!$C$13</f>
        <v>2029</v>
      </c>
      <c r="U136" s="16">
        <f>Inputs!$C$14</f>
        <v>2030</v>
      </c>
      <c r="X136" s="13" t="s">
        <v>1</v>
      </c>
      <c r="Y136" s="13" t="s">
        <v>2</v>
      </c>
      <c r="Z136" s="13" t="s">
        <v>3</v>
      </c>
      <c r="AA136" s="13" t="s">
        <v>4</v>
      </c>
      <c r="AB136" s="13">
        <f>Inputs!$C$10</f>
        <v>2026</v>
      </c>
      <c r="AC136" s="14" t="s">
        <v>1</v>
      </c>
      <c r="AD136" s="14" t="s">
        <v>2</v>
      </c>
      <c r="AE136" s="14" t="s">
        <v>3</v>
      </c>
      <c r="AF136" s="14" t="s">
        <v>4</v>
      </c>
      <c r="AG136" s="15">
        <f>Inputs!$C$11</f>
        <v>2027</v>
      </c>
      <c r="AH136" s="16">
        <f>Inputs!$C$12</f>
        <v>2028</v>
      </c>
      <c r="AI136" s="16">
        <f>Inputs!$C$13</f>
        <v>2029</v>
      </c>
      <c r="AJ136" s="16">
        <f>Inputs!$C$14</f>
        <v>2030</v>
      </c>
    </row>
    <row r="137" spans="2:36" hidden="1" outlineLevel="1" x14ac:dyDescent="0.25">
      <c r="F137" s="71" t="s">
        <v>63</v>
      </c>
      <c r="G137" s="71" t="s">
        <v>63</v>
      </c>
      <c r="H137" s="71" t="s">
        <v>63</v>
      </c>
      <c r="I137" s="71" t="s">
        <v>63</v>
      </c>
      <c r="J137" s="71" t="s">
        <v>63</v>
      </c>
      <c r="K137" s="71" t="s">
        <v>63</v>
      </c>
      <c r="L137" s="71" t="s">
        <v>63</v>
      </c>
      <c r="M137" s="71" t="s">
        <v>63</v>
      </c>
      <c r="N137" s="71" t="s">
        <v>63</v>
      </c>
      <c r="O137" s="71" t="s">
        <v>63</v>
      </c>
      <c r="P137" s="71" t="s">
        <v>63</v>
      </c>
      <c r="Q137" s="71" t="s">
        <v>63</v>
      </c>
      <c r="R137" s="71" t="s">
        <v>63</v>
      </c>
      <c r="S137" s="71" t="s">
        <v>63</v>
      </c>
      <c r="T137" s="71" t="s">
        <v>63</v>
      </c>
      <c r="U137" s="71" t="s">
        <v>63</v>
      </c>
      <c r="X137" s="63" t="s">
        <v>30</v>
      </c>
      <c r="Y137" s="63" t="s">
        <v>30</v>
      </c>
      <c r="Z137" s="63" t="s">
        <v>30</v>
      </c>
      <c r="AA137" s="63" t="s">
        <v>30</v>
      </c>
      <c r="AB137" s="62"/>
      <c r="AC137" s="63" t="s">
        <v>30</v>
      </c>
      <c r="AD137" s="63" t="s">
        <v>30</v>
      </c>
      <c r="AE137" s="63" t="s">
        <v>30</v>
      </c>
      <c r="AF137" s="63" t="s">
        <v>30</v>
      </c>
      <c r="AG137" s="62"/>
      <c r="AH137" s="63" t="s">
        <v>30</v>
      </c>
      <c r="AI137" s="63" t="s">
        <v>30</v>
      </c>
      <c r="AJ137" s="63" t="s">
        <v>30</v>
      </c>
    </row>
    <row r="138" spans="2:36" hidden="1" outlineLevel="1" x14ac:dyDescent="0.25">
      <c r="B138" s="229" t="s">
        <v>195</v>
      </c>
      <c r="C138" s="229" t="s">
        <v>195</v>
      </c>
      <c r="E138" s="78" t="s">
        <v>163</v>
      </c>
      <c r="F138" s="21">
        <f>F222</f>
        <v>0</v>
      </c>
      <c r="G138" s="21">
        <f t="shared" ref="G138:H138" si="212">G222</f>
        <v>0</v>
      </c>
      <c r="H138" s="21">
        <f t="shared" si="212"/>
        <v>0</v>
      </c>
      <c r="I138" s="85">
        <f t="shared" ref="I138:I147" si="213">IF(X138="",I222,X138)</f>
        <v>0</v>
      </c>
      <c r="J138" s="85">
        <f t="shared" ref="J138:J147" si="214">IF(Y138="",J222,Y138)</f>
        <v>0</v>
      </c>
      <c r="K138" s="85">
        <f t="shared" ref="K138:K147" si="215">IF(Z138="",K222,Z138)</f>
        <v>0</v>
      </c>
      <c r="L138" s="85">
        <f t="shared" ref="L138:L147" si="216">IF(AA138="",L222,AA138)</f>
        <v>0</v>
      </c>
      <c r="M138" s="17">
        <f t="shared" ref="M138:M147" si="217">SUM(I138:L138)</f>
        <v>0</v>
      </c>
      <c r="N138" s="85">
        <f t="shared" ref="N138:N147" si="218">IF(AC138="",N222,AC138)</f>
        <v>0</v>
      </c>
      <c r="O138" s="85">
        <f t="shared" ref="O138:O147" si="219">IF(AD138="",O222,AD138)</f>
        <v>0</v>
      </c>
      <c r="P138" s="85">
        <f t="shared" ref="P138:P147" si="220">IF(AE138="",P222,AE138)</f>
        <v>0</v>
      </c>
      <c r="Q138" s="85">
        <f t="shared" ref="Q138:Q147" si="221">IF(AF138="",Q222,AF138)</f>
        <v>0</v>
      </c>
      <c r="R138" s="22">
        <f t="shared" ref="R138:R147" si="222">SUM(N138:Q138)</f>
        <v>0</v>
      </c>
      <c r="S138" s="23">
        <f t="shared" ref="S138:S147" si="223">IF(AH138="",S222,AH138)</f>
        <v>0</v>
      </c>
      <c r="T138" s="23">
        <f t="shared" ref="T138:T147" si="224">IF(AI138="",T222,AI138)</f>
        <v>0</v>
      </c>
      <c r="U138" s="23">
        <f t="shared" ref="U138:U147" si="225">IF(AJ138="",U222,AJ138)</f>
        <v>0</v>
      </c>
      <c r="W138" s="78" t="str">
        <f>E138</f>
        <v>Interest Expense</v>
      </c>
      <c r="X138" s="64"/>
      <c r="Y138" s="64"/>
      <c r="Z138" s="64"/>
      <c r="AA138" s="64"/>
      <c r="AB138" s="60"/>
      <c r="AC138" s="64"/>
      <c r="AD138" s="64"/>
      <c r="AE138" s="64"/>
      <c r="AF138" s="64"/>
      <c r="AG138" s="60"/>
      <c r="AH138" s="64"/>
      <c r="AI138" s="64"/>
      <c r="AJ138" s="64"/>
    </row>
    <row r="139" spans="2:36" hidden="1" outlineLevel="1" x14ac:dyDescent="0.25">
      <c r="B139" s="229" t="s">
        <v>195</v>
      </c>
      <c r="C139" s="229" t="s">
        <v>195</v>
      </c>
      <c r="E139" s="78" t="s">
        <v>164</v>
      </c>
      <c r="F139" s="21">
        <f t="shared" ref="F139:H139" si="226">F223</f>
        <v>0</v>
      </c>
      <c r="G139" s="21">
        <f t="shared" si="226"/>
        <v>0</v>
      </c>
      <c r="H139" s="21">
        <f t="shared" si="226"/>
        <v>0</v>
      </c>
      <c r="I139" s="85">
        <f t="shared" si="213"/>
        <v>0</v>
      </c>
      <c r="J139" s="85">
        <f t="shared" si="214"/>
        <v>0</v>
      </c>
      <c r="K139" s="85">
        <f t="shared" si="215"/>
        <v>0</v>
      </c>
      <c r="L139" s="85">
        <f t="shared" si="216"/>
        <v>0</v>
      </c>
      <c r="M139" s="17">
        <f t="shared" si="217"/>
        <v>0</v>
      </c>
      <c r="N139" s="85">
        <f t="shared" si="218"/>
        <v>0</v>
      </c>
      <c r="O139" s="85">
        <f t="shared" si="219"/>
        <v>0</v>
      </c>
      <c r="P139" s="85">
        <f t="shared" si="220"/>
        <v>0</v>
      </c>
      <c r="Q139" s="85">
        <f t="shared" si="221"/>
        <v>0</v>
      </c>
      <c r="R139" s="22">
        <f t="shared" si="222"/>
        <v>0</v>
      </c>
      <c r="S139" s="23">
        <f t="shared" si="223"/>
        <v>0</v>
      </c>
      <c r="T139" s="23">
        <f t="shared" si="224"/>
        <v>0</v>
      </c>
      <c r="U139" s="23">
        <f t="shared" si="225"/>
        <v>0</v>
      </c>
      <c r="W139" s="78" t="str">
        <f t="shared" ref="W139:W147" si="227">E139</f>
        <v>Losses on debt refinancing</v>
      </c>
      <c r="X139" s="64"/>
      <c r="Y139" s="64"/>
      <c r="Z139" s="64"/>
      <c r="AA139" s="64"/>
      <c r="AB139" s="60"/>
      <c r="AC139" s="64"/>
      <c r="AD139" s="64"/>
      <c r="AE139" s="64"/>
      <c r="AF139" s="64"/>
      <c r="AG139" s="60"/>
      <c r="AH139" s="64"/>
      <c r="AI139" s="64"/>
      <c r="AJ139" s="64"/>
    </row>
    <row r="140" spans="2:36" hidden="1" outlineLevel="1" x14ac:dyDescent="0.25">
      <c r="B140" s="229" t="s">
        <v>195</v>
      </c>
      <c r="C140" s="229" t="s">
        <v>195</v>
      </c>
      <c r="E140" s="78" t="s">
        <v>165</v>
      </c>
      <c r="F140" s="21">
        <f t="shared" ref="F140:H140" si="228">F224</f>
        <v>0</v>
      </c>
      <c r="G140" s="21">
        <f t="shared" si="228"/>
        <v>0</v>
      </c>
      <c r="H140" s="21">
        <f t="shared" si="228"/>
        <v>0</v>
      </c>
      <c r="I140" s="85">
        <f t="shared" si="213"/>
        <v>0</v>
      </c>
      <c r="J140" s="85">
        <f t="shared" si="214"/>
        <v>0</v>
      </c>
      <c r="K140" s="85">
        <f t="shared" si="215"/>
        <v>0</v>
      </c>
      <c r="L140" s="85">
        <f t="shared" si="216"/>
        <v>0</v>
      </c>
      <c r="M140" s="17">
        <f t="shared" si="217"/>
        <v>0</v>
      </c>
      <c r="N140" s="85">
        <f t="shared" si="218"/>
        <v>0</v>
      </c>
      <c r="O140" s="85">
        <f t="shared" si="219"/>
        <v>0</v>
      </c>
      <c r="P140" s="85">
        <f t="shared" si="220"/>
        <v>0</v>
      </c>
      <c r="Q140" s="85">
        <f t="shared" si="221"/>
        <v>0</v>
      </c>
      <c r="R140" s="22">
        <f t="shared" si="222"/>
        <v>0</v>
      </c>
      <c r="S140" s="23">
        <f t="shared" si="223"/>
        <v>0</v>
      </c>
      <c r="T140" s="23">
        <f t="shared" si="224"/>
        <v>0</v>
      </c>
      <c r="U140" s="23">
        <f t="shared" si="225"/>
        <v>0</v>
      </c>
      <c r="W140" s="78" t="str">
        <f t="shared" si="227"/>
        <v>Unrealized/Realized Losses on Investments</v>
      </c>
      <c r="X140" s="64"/>
      <c r="Y140" s="64"/>
      <c r="Z140" s="64"/>
      <c r="AA140" s="64"/>
      <c r="AB140" s="60"/>
      <c r="AC140" s="64"/>
      <c r="AD140" s="64"/>
      <c r="AE140" s="64"/>
      <c r="AF140" s="64"/>
      <c r="AG140" s="60"/>
      <c r="AH140" s="64"/>
      <c r="AI140" s="64"/>
      <c r="AJ140" s="64"/>
    </row>
    <row r="141" spans="2:36" hidden="1" outlineLevel="1" x14ac:dyDescent="0.25">
      <c r="B141" s="229" t="s">
        <v>195</v>
      </c>
      <c r="C141" s="229" t="s">
        <v>195</v>
      </c>
      <c r="E141" s="78" t="s">
        <v>166</v>
      </c>
      <c r="F141" s="21">
        <f t="shared" ref="F141:H141" si="229">F225</f>
        <v>0</v>
      </c>
      <c r="G141" s="21">
        <f t="shared" si="229"/>
        <v>0</v>
      </c>
      <c r="H141" s="21">
        <f t="shared" si="229"/>
        <v>0</v>
      </c>
      <c r="I141" s="85">
        <f t="shared" si="213"/>
        <v>0</v>
      </c>
      <c r="J141" s="85">
        <f t="shared" si="214"/>
        <v>0</v>
      </c>
      <c r="K141" s="85">
        <f t="shared" si="215"/>
        <v>0</v>
      </c>
      <c r="L141" s="85">
        <f t="shared" si="216"/>
        <v>0</v>
      </c>
      <c r="M141" s="17">
        <f t="shared" si="217"/>
        <v>0</v>
      </c>
      <c r="N141" s="85">
        <f t="shared" si="218"/>
        <v>0</v>
      </c>
      <c r="O141" s="85">
        <f t="shared" si="219"/>
        <v>0</v>
      </c>
      <c r="P141" s="85">
        <f t="shared" si="220"/>
        <v>0</v>
      </c>
      <c r="Q141" s="85">
        <f t="shared" si="221"/>
        <v>0</v>
      </c>
      <c r="R141" s="22">
        <f t="shared" si="222"/>
        <v>0</v>
      </c>
      <c r="S141" s="23">
        <f t="shared" si="223"/>
        <v>0</v>
      </c>
      <c r="T141" s="23">
        <f t="shared" si="224"/>
        <v>0</v>
      </c>
      <c r="U141" s="23">
        <f t="shared" si="225"/>
        <v>0</v>
      </c>
      <c r="W141" s="78" t="str">
        <f t="shared" si="227"/>
        <v>FX Losses</v>
      </c>
      <c r="X141" s="64"/>
      <c r="Y141" s="64"/>
      <c r="Z141" s="64"/>
      <c r="AA141" s="64"/>
      <c r="AB141" s="60"/>
      <c r="AC141" s="64"/>
      <c r="AD141" s="64"/>
      <c r="AE141" s="64"/>
      <c r="AF141" s="64"/>
      <c r="AG141" s="60"/>
      <c r="AH141" s="64"/>
      <c r="AI141" s="64"/>
      <c r="AJ141" s="64"/>
    </row>
    <row r="142" spans="2:36" hidden="1" outlineLevel="1" x14ac:dyDescent="0.25">
      <c r="B142" s="229" t="s">
        <v>195</v>
      </c>
      <c r="C142" s="229" t="s">
        <v>195</v>
      </c>
      <c r="E142" s="78" t="s">
        <v>167</v>
      </c>
      <c r="F142" s="21">
        <f t="shared" ref="F142:H142" si="230">F226</f>
        <v>0</v>
      </c>
      <c r="G142" s="21">
        <f t="shared" si="230"/>
        <v>0</v>
      </c>
      <c r="H142" s="21">
        <f t="shared" si="230"/>
        <v>0</v>
      </c>
      <c r="I142" s="85">
        <f t="shared" si="213"/>
        <v>0</v>
      </c>
      <c r="J142" s="85">
        <f t="shared" si="214"/>
        <v>0</v>
      </c>
      <c r="K142" s="85">
        <f t="shared" si="215"/>
        <v>0</v>
      </c>
      <c r="L142" s="85">
        <f t="shared" si="216"/>
        <v>0</v>
      </c>
      <c r="M142" s="17">
        <f t="shared" si="217"/>
        <v>0</v>
      </c>
      <c r="N142" s="85">
        <f t="shared" si="218"/>
        <v>0</v>
      </c>
      <c r="O142" s="85">
        <f t="shared" si="219"/>
        <v>0</v>
      </c>
      <c r="P142" s="85">
        <f t="shared" si="220"/>
        <v>0</v>
      </c>
      <c r="Q142" s="85">
        <f t="shared" si="221"/>
        <v>0</v>
      </c>
      <c r="R142" s="22">
        <f t="shared" si="222"/>
        <v>0</v>
      </c>
      <c r="S142" s="23">
        <f t="shared" si="223"/>
        <v>0</v>
      </c>
      <c r="T142" s="23">
        <f t="shared" si="224"/>
        <v>0</v>
      </c>
      <c r="U142" s="23">
        <f t="shared" si="225"/>
        <v>0</v>
      </c>
      <c r="W142" s="78" t="str">
        <f t="shared" si="227"/>
        <v>Impairments of non-operating assets</v>
      </c>
      <c r="X142" s="64"/>
      <c r="Y142" s="64"/>
      <c r="Z142" s="64"/>
      <c r="AA142" s="64"/>
      <c r="AB142" s="60"/>
      <c r="AC142" s="64"/>
      <c r="AD142" s="64"/>
      <c r="AE142" s="64"/>
      <c r="AF142" s="64"/>
      <c r="AG142" s="60"/>
      <c r="AH142" s="64"/>
      <c r="AI142" s="64"/>
      <c r="AJ142" s="64"/>
    </row>
    <row r="143" spans="2:36" hidden="1" outlineLevel="1" x14ac:dyDescent="0.25">
      <c r="B143" s="229" t="s">
        <v>195</v>
      </c>
      <c r="C143" s="229" t="s">
        <v>195</v>
      </c>
      <c r="E143" s="78" t="s">
        <v>168</v>
      </c>
      <c r="F143" s="21">
        <f t="shared" ref="F143:H143" si="231">F227</f>
        <v>0</v>
      </c>
      <c r="G143" s="21">
        <f t="shared" si="231"/>
        <v>0</v>
      </c>
      <c r="H143" s="21">
        <f t="shared" si="231"/>
        <v>0</v>
      </c>
      <c r="I143" s="85">
        <f t="shared" si="213"/>
        <v>0</v>
      </c>
      <c r="J143" s="85">
        <f t="shared" si="214"/>
        <v>0</v>
      </c>
      <c r="K143" s="85">
        <f t="shared" si="215"/>
        <v>0</v>
      </c>
      <c r="L143" s="85">
        <f t="shared" si="216"/>
        <v>0</v>
      </c>
      <c r="M143" s="17">
        <f t="shared" si="217"/>
        <v>0</v>
      </c>
      <c r="N143" s="85">
        <f t="shared" si="218"/>
        <v>0</v>
      </c>
      <c r="O143" s="85">
        <f t="shared" si="219"/>
        <v>0</v>
      </c>
      <c r="P143" s="85">
        <f t="shared" si="220"/>
        <v>0</v>
      </c>
      <c r="Q143" s="85">
        <f t="shared" si="221"/>
        <v>0</v>
      </c>
      <c r="R143" s="22">
        <f t="shared" si="222"/>
        <v>0</v>
      </c>
      <c r="S143" s="23">
        <f t="shared" si="223"/>
        <v>0</v>
      </c>
      <c r="T143" s="23">
        <f t="shared" si="224"/>
        <v>0</v>
      </c>
      <c r="U143" s="23">
        <f t="shared" si="225"/>
        <v>0</v>
      </c>
      <c r="W143" s="78" t="str">
        <f t="shared" si="227"/>
        <v>Legal charges/settlements</v>
      </c>
      <c r="X143" s="64"/>
      <c r="Y143" s="64"/>
      <c r="Z143" s="64"/>
      <c r="AA143" s="64"/>
      <c r="AB143" s="60"/>
      <c r="AC143" s="64"/>
      <c r="AD143" s="64"/>
      <c r="AE143" s="64"/>
      <c r="AF143" s="64"/>
      <c r="AG143" s="60"/>
      <c r="AH143" s="64"/>
      <c r="AI143" s="64"/>
      <c r="AJ143" s="64"/>
    </row>
    <row r="144" spans="2:36" hidden="1" outlineLevel="1" x14ac:dyDescent="0.25">
      <c r="B144" s="229" t="s">
        <v>195</v>
      </c>
      <c r="C144" s="229" t="s">
        <v>195</v>
      </c>
      <c r="E144" s="78" t="s">
        <v>169</v>
      </c>
      <c r="F144" s="21">
        <f t="shared" ref="F144:H144" si="232">F228</f>
        <v>0</v>
      </c>
      <c r="G144" s="21">
        <f t="shared" si="232"/>
        <v>0</v>
      </c>
      <c r="H144" s="21">
        <f t="shared" si="232"/>
        <v>0</v>
      </c>
      <c r="I144" s="85">
        <f t="shared" si="213"/>
        <v>0</v>
      </c>
      <c r="J144" s="85">
        <f t="shared" si="214"/>
        <v>0</v>
      </c>
      <c r="K144" s="85">
        <f t="shared" si="215"/>
        <v>0</v>
      </c>
      <c r="L144" s="85">
        <f t="shared" si="216"/>
        <v>0</v>
      </c>
      <c r="M144" s="17">
        <f t="shared" si="217"/>
        <v>0</v>
      </c>
      <c r="N144" s="85">
        <f t="shared" si="218"/>
        <v>0</v>
      </c>
      <c r="O144" s="85">
        <f t="shared" si="219"/>
        <v>0</v>
      </c>
      <c r="P144" s="85">
        <f t="shared" si="220"/>
        <v>0</v>
      </c>
      <c r="Q144" s="85">
        <f t="shared" si="221"/>
        <v>0</v>
      </c>
      <c r="R144" s="22">
        <f t="shared" si="222"/>
        <v>0</v>
      </c>
      <c r="S144" s="23">
        <f t="shared" si="223"/>
        <v>0</v>
      </c>
      <c r="T144" s="23">
        <f t="shared" si="224"/>
        <v>0</v>
      </c>
      <c r="U144" s="23">
        <f t="shared" si="225"/>
        <v>0</v>
      </c>
      <c r="W144" s="78" t="str">
        <f t="shared" si="227"/>
        <v>Other non-opex</v>
      </c>
      <c r="X144" s="64"/>
      <c r="Y144" s="64"/>
      <c r="Z144" s="64"/>
      <c r="AA144" s="64"/>
      <c r="AB144" s="60"/>
      <c r="AC144" s="64"/>
      <c r="AD144" s="64"/>
      <c r="AE144" s="64"/>
      <c r="AF144" s="64"/>
      <c r="AG144" s="60"/>
      <c r="AH144" s="64"/>
      <c r="AI144" s="64"/>
      <c r="AJ144" s="64"/>
    </row>
    <row r="145" spans="2:36" hidden="1" outlineLevel="1" x14ac:dyDescent="0.25">
      <c r="B145" s="229" t="s">
        <v>195</v>
      </c>
      <c r="C145" s="229" t="s">
        <v>195</v>
      </c>
      <c r="E145" s="78" t="s">
        <v>169</v>
      </c>
      <c r="F145" s="21">
        <f t="shared" ref="F145:H145" si="233">F229</f>
        <v>0</v>
      </c>
      <c r="G145" s="21">
        <f t="shared" si="233"/>
        <v>0</v>
      </c>
      <c r="H145" s="21">
        <f t="shared" si="233"/>
        <v>0</v>
      </c>
      <c r="I145" s="85">
        <f t="shared" si="213"/>
        <v>0</v>
      </c>
      <c r="J145" s="85">
        <f t="shared" si="214"/>
        <v>0</v>
      </c>
      <c r="K145" s="85">
        <f t="shared" si="215"/>
        <v>0</v>
      </c>
      <c r="L145" s="85">
        <f t="shared" si="216"/>
        <v>0</v>
      </c>
      <c r="M145" s="17">
        <f t="shared" si="217"/>
        <v>0</v>
      </c>
      <c r="N145" s="85">
        <f t="shared" si="218"/>
        <v>0</v>
      </c>
      <c r="O145" s="85">
        <f t="shared" si="219"/>
        <v>0</v>
      </c>
      <c r="P145" s="85">
        <f t="shared" si="220"/>
        <v>0</v>
      </c>
      <c r="Q145" s="85">
        <f t="shared" si="221"/>
        <v>0</v>
      </c>
      <c r="R145" s="22">
        <f t="shared" si="222"/>
        <v>0</v>
      </c>
      <c r="S145" s="23">
        <f t="shared" si="223"/>
        <v>0</v>
      </c>
      <c r="T145" s="23">
        <f t="shared" si="224"/>
        <v>0</v>
      </c>
      <c r="U145" s="23">
        <f t="shared" si="225"/>
        <v>0</v>
      </c>
      <c r="W145" s="78" t="str">
        <f t="shared" si="227"/>
        <v>Other non-opex</v>
      </c>
      <c r="X145" s="64"/>
      <c r="Y145" s="64"/>
      <c r="Z145" s="64"/>
      <c r="AA145" s="64"/>
      <c r="AB145" s="60"/>
      <c r="AC145" s="64"/>
      <c r="AD145" s="64"/>
      <c r="AE145" s="64"/>
      <c r="AF145" s="64"/>
      <c r="AG145" s="60"/>
      <c r="AH145" s="64"/>
      <c r="AI145" s="64"/>
      <c r="AJ145" s="64"/>
    </row>
    <row r="146" spans="2:36" hidden="1" outlineLevel="1" x14ac:dyDescent="0.25">
      <c r="B146" s="229" t="s">
        <v>195</v>
      </c>
      <c r="C146" s="229" t="s">
        <v>195</v>
      </c>
      <c r="E146" s="78" t="s">
        <v>169</v>
      </c>
      <c r="F146" s="21">
        <f t="shared" ref="F146:H146" si="234">F230</f>
        <v>0</v>
      </c>
      <c r="G146" s="21">
        <f t="shared" si="234"/>
        <v>0</v>
      </c>
      <c r="H146" s="21">
        <f t="shared" si="234"/>
        <v>0</v>
      </c>
      <c r="I146" s="85">
        <f t="shared" si="213"/>
        <v>0</v>
      </c>
      <c r="J146" s="85">
        <f t="shared" si="214"/>
        <v>0</v>
      </c>
      <c r="K146" s="85">
        <f t="shared" si="215"/>
        <v>0</v>
      </c>
      <c r="L146" s="85">
        <f t="shared" si="216"/>
        <v>0</v>
      </c>
      <c r="M146" s="17">
        <f t="shared" si="217"/>
        <v>0</v>
      </c>
      <c r="N146" s="85">
        <f t="shared" si="218"/>
        <v>0</v>
      </c>
      <c r="O146" s="85">
        <f t="shared" si="219"/>
        <v>0</v>
      </c>
      <c r="P146" s="85">
        <f t="shared" si="220"/>
        <v>0</v>
      </c>
      <c r="Q146" s="85">
        <f t="shared" si="221"/>
        <v>0</v>
      </c>
      <c r="R146" s="22">
        <f t="shared" si="222"/>
        <v>0</v>
      </c>
      <c r="S146" s="23">
        <f t="shared" si="223"/>
        <v>0</v>
      </c>
      <c r="T146" s="23">
        <f t="shared" si="224"/>
        <v>0</v>
      </c>
      <c r="U146" s="23">
        <f t="shared" si="225"/>
        <v>0</v>
      </c>
      <c r="W146" s="78" t="str">
        <f t="shared" si="227"/>
        <v>Other non-opex</v>
      </c>
      <c r="X146" s="64"/>
      <c r="Y146" s="64"/>
      <c r="Z146" s="64"/>
      <c r="AA146" s="64"/>
      <c r="AB146" s="60"/>
      <c r="AC146" s="64"/>
      <c r="AD146" s="64"/>
      <c r="AE146" s="64"/>
      <c r="AF146" s="64"/>
      <c r="AG146" s="60"/>
      <c r="AH146" s="64"/>
      <c r="AI146" s="64"/>
      <c r="AJ146" s="64"/>
    </row>
    <row r="147" spans="2:36" hidden="1" outlineLevel="1" x14ac:dyDescent="0.25">
      <c r="B147" s="229" t="s">
        <v>195</v>
      </c>
      <c r="C147" s="229" t="s">
        <v>195</v>
      </c>
      <c r="E147" s="78" t="s">
        <v>169</v>
      </c>
      <c r="F147" s="21">
        <f t="shared" ref="F147:H147" si="235">F231</f>
        <v>0</v>
      </c>
      <c r="G147" s="21">
        <f t="shared" si="235"/>
        <v>0</v>
      </c>
      <c r="H147" s="21">
        <f t="shared" si="235"/>
        <v>0</v>
      </c>
      <c r="I147" s="85">
        <f t="shared" si="213"/>
        <v>0</v>
      </c>
      <c r="J147" s="85">
        <f t="shared" si="214"/>
        <v>0</v>
      </c>
      <c r="K147" s="85">
        <f t="shared" si="215"/>
        <v>0</v>
      </c>
      <c r="L147" s="85">
        <f t="shared" si="216"/>
        <v>0</v>
      </c>
      <c r="M147" s="17">
        <f t="shared" si="217"/>
        <v>0</v>
      </c>
      <c r="N147" s="85">
        <f t="shared" si="218"/>
        <v>0</v>
      </c>
      <c r="O147" s="85">
        <f t="shared" si="219"/>
        <v>0</v>
      </c>
      <c r="P147" s="85">
        <f t="shared" si="220"/>
        <v>0</v>
      </c>
      <c r="Q147" s="85">
        <f t="shared" si="221"/>
        <v>0</v>
      </c>
      <c r="R147" s="22">
        <f t="shared" si="222"/>
        <v>0</v>
      </c>
      <c r="S147" s="23">
        <f t="shared" si="223"/>
        <v>0</v>
      </c>
      <c r="T147" s="23">
        <f t="shared" si="224"/>
        <v>0</v>
      </c>
      <c r="U147" s="23">
        <f t="shared" si="225"/>
        <v>0</v>
      </c>
      <c r="W147" s="78" t="str">
        <f t="shared" si="227"/>
        <v>Other non-opex</v>
      </c>
      <c r="X147" s="64"/>
      <c r="Y147" s="64"/>
      <c r="Z147" s="64"/>
      <c r="AA147" s="64"/>
      <c r="AB147" s="60"/>
      <c r="AC147" s="64"/>
      <c r="AD147" s="64"/>
      <c r="AE147" s="64"/>
      <c r="AF147" s="64"/>
      <c r="AG147" s="60"/>
      <c r="AH147" s="64"/>
      <c r="AI147" s="64"/>
      <c r="AJ147" s="64"/>
    </row>
    <row r="148" spans="2:36" ht="15.75" hidden="1" outlineLevel="1" thickBot="1" x14ac:dyDescent="0.3">
      <c r="E148" s="8" t="s">
        <v>27</v>
      </c>
      <c r="F148" s="9">
        <f>SUM(F138:F147)</f>
        <v>0</v>
      </c>
      <c r="G148" s="9">
        <f t="shared" ref="G148" si="236">SUM(G138:G147)</f>
        <v>0</v>
      </c>
      <c r="H148" s="9">
        <f t="shared" ref="H148" si="237">SUM(H138:H147)</f>
        <v>0</v>
      </c>
      <c r="I148" s="86">
        <f t="shared" ref="I148" si="238">SUM(I138:I147)</f>
        <v>0</v>
      </c>
      <c r="J148" s="86">
        <f t="shared" ref="J148" si="239">SUM(J138:J147)</f>
        <v>0</v>
      </c>
      <c r="K148" s="86">
        <f t="shared" ref="K148" si="240">SUM(K138:K147)</f>
        <v>0</v>
      </c>
      <c r="L148" s="86">
        <f t="shared" ref="L148" si="241">SUM(L138:L147)</f>
        <v>0</v>
      </c>
      <c r="M148" s="18">
        <f t="shared" ref="M148" si="242">SUM(M138:M147)</f>
        <v>0</v>
      </c>
      <c r="N148" s="86">
        <f t="shared" ref="N148" si="243">SUM(N138:N147)</f>
        <v>0</v>
      </c>
      <c r="O148" s="86">
        <f t="shared" ref="O148" si="244">SUM(O138:O147)</f>
        <v>0</v>
      </c>
      <c r="P148" s="86">
        <f t="shared" ref="P148" si="245">SUM(P138:P147)</f>
        <v>0</v>
      </c>
      <c r="Q148" s="86">
        <f t="shared" ref="Q148" si="246">SUM(Q138:Q147)</f>
        <v>0</v>
      </c>
      <c r="R148" s="19">
        <f t="shared" ref="R148" si="247">SUM(R138:R147)</f>
        <v>0</v>
      </c>
      <c r="S148" s="20">
        <f t="shared" ref="S148" si="248">SUM(S138:S147)</f>
        <v>0</v>
      </c>
      <c r="T148" s="20">
        <f t="shared" ref="T148" si="249">SUM(T138:T147)</f>
        <v>0</v>
      </c>
      <c r="U148" s="20">
        <f t="shared" ref="U148" si="250">SUM(U138:U147)</f>
        <v>0</v>
      </c>
    </row>
    <row r="149" spans="2:36" ht="15.75" hidden="1" outlineLevel="1" thickTop="1" x14ac:dyDescent="0.25">
      <c r="M149" s="3"/>
    </row>
    <row r="150" spans="2:36" hidden="1" outlineLevel="1" x14ac:dyDescent="0.25">
      <c r="M150" s="3"/>
    </row>
    <row r="151" spans="2:36" hidden="1" outlineLevel="1" x14ac:dyDescent="0.25">
      <c r="M151" s="3"/>
    </row>
    <row r="152" spans="2:36" hidden="1" outlineLevel="1" x14ac:dyDescent="0.25">
      <c r="E152" s="4" t="s">
        <v>179</v>
      </c>
      <c r="W152" s="4" t="str">
        <f>E152</f>
        <v>Non-Operating Income (Show as negative)</v>
      </c>
    </row>
    <row r="153" spans="2:36" hidden="1" outlineLevel="1" x14ac:dyDescent="0.25">
      <c r="E153" s="6" t="s">
        <v>25</v>
      </c>
      <c r="W153" s="61" t="s">
        <v>62</v>
      </c>
    </row>
    <row r="154" spans="2:36" hidden="1" outlineLevel="1" x14ac:dyDescent="0.25"/>
    <row r="155" spans="2:36" hidden="1" outlineLevel="1" x14ac:dyDescent="0.25">
      <c r="F155" s="12">
        <f>Inputs!$C$7</f>
        <v>2023</v>
      </c>
      <c r="G155" s="12">
        <f>Inputs!$C$8</f>
        <v>2024</v>
      </c>
      <c r="H155" s="12">
        <f>Inputs!$C$9</f>
        <v>2025</v>
      </c>
      <c r="I155" s="13" t="s">
        <v>1</v>
      </c>
      <c r="J155" s="13" t="s">
        <v>2</v>
      </c>
      <c r="K155" s="13" t="s">
        <v>3</v>
      </c>
      <c r="L155" s="13" t="s">
        <v>4</v>
      </c>
      <c r="M155" s="13">
        <f>Inputs!$C$10</f>
        <v>2026</v>
      </c>
      <c r="N155" s="14" t="s">
        <v>1</v>
      </c>
      <c r="O155" s="14" t="s">
        <v>2</v>
      </c>
      <c r="P155" s="14" t="s">
        <v>3</v>
      </c>
      <c r="Q155" s="14" t="s">
        <v>4</v>
      </c>
      <c r="R155" s="15">
        <f>Inputs!$C$11</f>
        <v>2027</v>
      </c>
      <c r="S155" s="16">
        <f>Inputs!$C$12</f>
        <v>2028</v>
      </c>
      <c r="T155" s="16">
        <f>Inputs!$C$13</f>
        <v>2029</v>
      </c>
      <c r="U155" s="16">
        <f>Inputs!$C$14</f>
        <v>2030</v>
      </c>
      <c r="X155" s="13" t="s">
        <v>1</v>
      </c>
      <c r="Y155" s="13" t="s">
        <v>2</v>
      </c>
      <c r="Z155" s="13" t="s">
        <v>3</v>
      </c>
      <c r="AA155" s="13" t="s">
        <v>4</v>
      </c>
      <c r="AB155" s="13">
        <f>Inputs!$C$10</f>
        <v>2026</v>
      </c>
      <c r="AC155" s="14" t="s">
        <v>1</v>
      </c>
      <c r="AD155" s="14" t="s">
        <v>2</v>
      </c>
      <c r="AE155" s="14" t="s">
        <v>3</v>
      </c>
      <c r="AF155" s="14" t="s">
        <v>4</v>
      </c>
      <c r="AG155" s="15">
        <f>Inputs!$C$11</f>
        <v>2027</v>
      </c>
      <c r="AH155" s="16">
        <f>Inputs!$C$12</f>
        <v>2028</v>
      </c>
      <c r="AI155" s="16">
        <f>Inputs!$C$13</f>
        <v>2029</v>
      </c>
      <c r="AJ155" s="16">
        <f>Inputs!$C$14</f>
        <v>2030</v>
      </c>
    </row>
    <row r="156" spans="2:36" hidden="1" outlineLevel="1" x14ac:dyDescent="0.25">
      <c r="F156" s="71" t="s">
        <v>63</v>
      </c>
      <c r="G156" s="71" t="s">
        <v>63</v>
      </c>
      <c r="H156" s="71" t="s">
        <v>63</v>
      </c>
      <c r="I156" s="71" t="s">
        <v>63</v>
      </c>
      <c r="J156" s="71" t="s">
        <v>63</v>
      </c>
      <c r="K156" s="71" t="s">
        <v>63</v>
      </c>
      <c r="L156" s="71" t="s">
        <v>63</v>
      </c>
      <c r="M156" s="71" t="s">
        <v>63</v>
      </c>
      <c r="N156" s="71" t="s">
        <v>63</v>
      </c>
      <c r="O156" s="71" t="s">
        <v>63</v>
      </c>
      <c r="P156" s="71" t="s">
        <v>63</v>
      </c>
      <c r="Q156" s="71" t="s">
        <v>63</v>
      </c>
      <c r="R156" s="71" t="s">
        <v>63</v>
      </c>
      <c r="S156" s="71" t="s">
        <v>63</v>
      </c>
      <c r="T156" s="71" t="s">
        <v>63</v>
      </c>
      <c r="U156" s="71" t="s">
        <v>63</v>
      </c>
      <c r="X156" s="63" t="s">
        <v>30</v>
      </c>
      <c r="Y156" s="63" t="s">
        <v>30</v>
      </c>
      <c r="Z156" s="63" t="s">
        <v>30</v>
      </c>
      <c r="AA156" s="63" t="s">
        <v>30</v>
      </c>
      <c r="AB156" s="62"/>
      <c r="AC156" s="63" t="s">
        <v>30</v>
      </c>
      <c r="AD156" s="63" t="s">
        <v>30</v>
      </c>
      <c r="AE156" s="63" t="s">
        <v>30</v>
      </c>
      <c r="AF156" s="63" t="s">
        <v>30</v>
      </c>
      <c r="AG156" s="62"/>
      <c r="AH156" s="63" t="s">
        <v>30</v>
      </c>
      <c r="AI156" s="63" t="s">
        <v>30</v>
      </c>
      <c r="AJ156" s="63" t="s">
        <v>30</v>
      </c>
    </row>
    <row r="157" spans="2:36" hidden="1" outlineLevel="1" x14ac:dyDescent="0.25">
      <c r="B157" s="229" t="s">
        <v>195</v>
      </c>
      <c r="C157" s="229" t="s">
        <v>195</v>
      </c>
      <c r="E157" s="78" t="s">
        <v>171</v>
      </c>
      <c r="F157" s="21">
        <f>F241</f>
        <v>0</v>
      </c>
      <c r="G157" s="21">
        <f t="shared" ref="G157:H157" si="251">G241</f>
        <v>0</v>
      </c>
      <c r="H157" s="21">
        <f t="shared" si="251"/>
        <v>0</v>
      </c>
      <c r="I157" s="85">
        <f t="shared" ref="I157:I166" si="252">IF(X157="",I241,X157)</f>
        <v>0</v>
      </c>
      <c r="J157" s="85">
        <f t="shared" ref="J157:J166" si="253">IF(Y157="",J241,Y157)</f>
        <v>0</v>
      </c>
      <c r="K157" s="85">
        <f t="shared" ref="K157:K166" si="254">IF(Z157="",K241,Z157)</f>
        <v>0</v>
      </c>
      <c r="L157" s="85">
        <f t="shared" ref="L157:L166" si="255">IF(AA157="",L241,AA157)</f>
        <v>0</v>
      </c>
      <c r="M157" s="17">
        <f t="shared" ref="M157:M166" si="256">SUM(I157:L157)</f>
        <v>0</v>
      </c>
      <c r="N157" s="85">
        <f t="shared" ref="N157:N166" si="257">IF(AC157="",N241,AC157)</f>
        <v>0</v>
      </c>
      <c r="O157" s="85">
        <f t="shared" ref="O157:O166" si="258">IF(AD157="",O241,AD157)</f>
        <v>0</v>
      </c>
      <c r="P157" s="85">
        <f t="shared" ref="P157:P166" si="259">IF(AE157="",P241,AE157)</f>
        <v>0</v>
      </c>
      <c r="Q157" s="85">
        <f t="shared" ref="Q157:Q166" si="260">IF(AF157="",Q241,AF157)</f>
        <v>0</v>
      </c>
      <c r="R157" s="22">
        <f t="shared" ref="R157:R166" si="261">SUM(N157:Q157)</f>
        <v>0</v>
      </c>
      <c r="S157" s="23">
        <f t="shared" ref="S157:S166" si="262">IF(AH157="",S241,AH157)</f>
        <v>0</v>
      </c>
      <c r="T157" s="23">
        <f t="shared" ref="T157:T166" si="263">IF(AI157="",T241,AI157)</f>
        <v>0</v>
      </c>
      <c r="U157" s="23">
        <f t="shared" ref="U157:U166" si="264">IF(AJ157="",U241,AJ157)</f>
        <v>0</v>
      </c>
      <c r="W157" s="78" t="str">
        <f>E157</f>
        <v>Interest Income</v>
      </c>
      <c r="X157" s="64"/>
      <c r="Y157" s="64"/>
      <c r="Z157" s="64"/>
      <c r="AA157" s="64"/>
      <c r="AB157" s="60"/>
      <c r="AC157" s="64"/>
      <c r="AD157" s="64"/>
      <c r="AE157" s="64"/>
      <c r="AF157" s="64"/>
      <c r="AG157" s="60"/>
      <c r="AH157" s="64"/>
      <c r="AI157" s="64"/>
      <c r="AJ157" s="64"/>
    </row>
    <row r="158" spans="2:36" hidden="1" outlineLevel="1" x14ac:dyDescent="0.25">
      <c r="B158" s="229" t="s">
        <v>195</v>
      </c>
      <c r="C158" s="229" t="s">
        <v>195</v>
      </c>
      <c r="E158" s="78" t="s">
        <v>172</v>
      </c>
      <c r="F158" s="21">
        <f t="shared" ref="F158:H158" si="265">F242</f>
        <v>0</v>
      </c>
      <c r="G158" s="21">
        <f t="shared" si="265"/>
        <v>0</v>
      </c>
      <c r="H158" s="21">
        <f t="shared" si="265"/>
        <v>0</v>
      </c>
      <c r="I158" s="85">
        <f t="shared" si="252"/>
        <v>0</v>
      </c>
      <c r="J158" s="85">
        <f t="shared" si="253"/>
        <v>0</v>
      </c>
      <c r="K158" s="85">
        <f t="shared" si="254"/>
        <v>0</v>
      </c>
      <c r="L158" s="85">
        <f t="shared" si="255"/>
        <v>0</v>
      </c>
      <c r="M158" s="17">
        <f t="shared" si="256"/>
        <v>0</v>
      </c>
      <c r="N158" s="85">
        <f t="shared" si="257"/>
        <v>0</v>
      </c>
      <c r="O158" s="85">
        <f t="shared" si="258"/>
        <v>0</v>
      </c>
      <c r="P158" s="85">
        <f t="shared" si="259"/>
        <v>0</v>
      </c>
      <c r="Q158" s="85">
        <f t="shared" si="260"/>
        <v>0</v>
      </c>
      <c r="R158" s="22">
        <f t="shared" si="261"/>
        <v>0</v>
      </c>
      <c r="S158" s="23">
        <f t="shared" si="262"/>
        <v>0</v>
      </c>
      <c r="T158" s="23">
        <f t="shared" si="263"/>
        <v>0</v>
      </c>
      <c r="U158" s="23">
        <f t="shared" si="264"/>
        <v>0</v>
      </c>
      <c r="W158" s="78" t="str">
        <f t="shared" ref="W158:W166" si="266">E158</f>
        <v>Investment Income</v>
      </c>
      <c r="X158" s="64"/>
      <c r="Y158" s="64"/>
      <c r="Z158" s="64"/>
      <c r="AA158" s="64"/>
      <c r="AB158" s="60"/>
      <c r="AC158" s="64"/>
      <c r="AD158" s="64"/>
      <c r="AE158" s="64"/>
      <c r="AF158" s="64"/>
      <c r="AG158" s="60"/>
      <c r="AH158" s="64"/>
      <c r="AI158" s="64"/>
      <c r="AJ158" s="64"/>
    </row>
    <row r="159" spans="2:36" hidden="1" outlineLevel="1" x14ac:dyDescent="0.25">
      <c r="B159" s="229" t="s">
        <v>195</v>
      </c>
      <c r="C159" s="229" t="s">
        <v>195</v>
      </c>
      <c r="E159" s="78" t="s">
        <v>173</v>
      </c>
      <c r="F159" s="21">
        <f t="shared" ref="F159:H159" si="267">F243</f>
        <v>0</v>
      </c>
      <c r="G159" s="21">
        <f t="shared" si="267"/>
        <v>0</v>
      </c>
      <c r="H159" s="21">
        <f t="shared" si="267"/>
        <v>0</v>
      </c>
      <c r="I159" s="85">
        <f t="shared" si="252"/>
        <v>0</v>
      </c>
      <c r="J159" s="85">
        <f t="shared" si="253"/>
        <v>0</v>
      </c>
      <c r="K159" s="85">
        <f t="shared" si="254"/>
        <v>0</v>
      </c>
      <c r="L159" s="85">
        <f t="shared" si="255"/>
        <v>0</v>
      </c>
      <c r="M159" s="17">
        <f t="shared" si="256"/>
        <v>0</v>
      </c>
      <c r="N159" s="85">
        <f t="shared" si="257"/>
        <v>0</v>
      </c>
      <c r="O159" s="85">
        <f t="shared" si="258"/>
        <v>0</v>
      </c>
      <c r="P159" s="85">
        <f t="shared" si="259"/>
        <v>0</v>
      </c>
      <c r="Q159" s="85">
        <f t="shared" si="260"/>
        <v>0</v>
      </c>
      <c r="R159" s="22">
        <f t="shared" si="261"/>
        <v>0</v>
      </c>
      <c r="S159" s="23">
        <f t="shared" si="262"/>
        <v>0</v>
      </c>
      <c r="T159" s="23">
        <f t="shared" si="263"/>
        <v>0</v>
      </c>
      <c r="U159" s="23">
        <f t="shared" si="264"/>
        <v>0</v>
      </c>
      <c r="W159" s="78" t="str">
        <f t="shared" si="266"/>
        <v>Gains on Sale of Investments</v>
      </c>
      <c r="X159" s="64"/>
      <c r="Y159" s="64"/>
      <c r="Z159" s="64"/>
      <c r="AA159" s="64"/>
      <c r="AB159" s="60"/>
      <c r="AC159" s="64"/>
      <c r="AD159" s="64"/>
      <c r="AE159" s="64"/>
      <c r="AF159" s="64"/>
      <c r="AG159" s="60"/>
      <c r="AH159" s="64"/>
      <c r="AI159" s="64"/>
      <c r="AJ159" s="64"/>
    </row>
    <row r="160" spans="2:36" hidden="1" outlineLevel="1" x14ac:dyDescent="0.25">
      <c r="B160" s="229" t="s">
        <v>195</v>
      </c>
      <c r="C160" s="229" t="s">
        <v>195</v>
      </c>
      <c r="E160" s="78" t="s">
        <v>174</v>
      </c>
      <c r="F160" s="21">
        <f t="shared" ref="F160:H160" si="268">F244</f>
        <v>0</v>
      </c>
      <c r="G160" s="21">
        <f t="shared" si="268"/>
        <v>0</v>
      </c>
      <c r="H160" s="21">
        <f t="shared" si="268"/>
        <v>0</v>
      </c>
      <c r="I160" s="85">
        <f t="shared" si="252"/>
        <v>0</v>
      </c>
      <c r="J160" s="85">
        <f t="shared" si="253"/>
        <v>0</v>
      </c>
      <c r="K160" s="85">
        <f t="shared" si="254"/>
        <v>0</v>
      </c>
      <c r="L160" s="85">
        <f t="shared" si="255"/>
        <v>0</v>
      </c>
      <c r="M160" s="17">
        <f t="shared" si="256"/>
        <v>0</v>
      </c>
      <c r="N160" s="85">
        <f t="shared" si="257"/>
        <v>0</v>
      </c>
      <c r="O160" s="85">
        <f t="shared" si="258"/>
        <v>0</v>
      </c>
      <c r="P160" s="85">
        <f t="shared" si="259"/>
        <v>0</v>
      </c>
      <c r="Q160" s="85">
        <f t="shared" si="260"/>
        <v>0</v>
      </c>
      <c r="R160" s="22">
        <f t="shared" si="261"/>
        <v>0</v>
      </c>
      <c r="S160" s="23">
        <f t="shared" si="262"/>
        <v>0</v>
      </c>
      <c r="T160" s="23">
        <f t="shared" si="263"/>
        <v>0</v>
      </c>
      <c r="U160" s="23">
        <f t="shared" si="264"/>
        <v>0</v>
      </c>
      <c r="W160" s="78" t="str">
        <f t="shared" si="266"/>
        <v>Gains on sale of  long-lived assets</v>
      </c>
      <c r="X160" s="64"/>
      <c r="Y160" s="64"/>
      <c r="Z160" s="64"/>
      <c r="AA160" s="64"/>
      <c r="AB160" s="60"/>
      <c r="AC160" s="64"/>
      <c r="AD160" s="64"/>
      <c r="AE160" s="64"/>
      <c r="AF160" s="64"/>
      <c r="AG160" s="60"/>
      <c r="AH160" s="64"/>
      <c r="AI160" s="64"/>
      <c r="AJ160" s="64"/>
    </row>
    <row r="161" spans="2:36" hidden="1" outlineLevel="1" x14ac:dyDescent="0.25">
      <c r="B161" s="229" t="s">
        <v>195</v>
      </c>
      <c r="C161" s="229" t="s">
        <v>195</v>
      </c>
      <c r="E161" s="78" t="s">
        <v>175</v>
      </c>
      <c r="F161" s="21">
        <f t="shared" ref="F161:H161" si="269">F245</f>
        <v>0</v>
      </c>
      <c r="G161" s="21">
        <f t="shared" si="269"/>
        <v>0</v>
      </c>
      <c r="H161" s="21">
        <f t="shared" si="269"/>
        <v>0</v>
      </c>
      <c r="I161" s="85">
        <f t="shared" si="252"/>
        <v>0</v>
      </c>
      <c r="J161" s="85">
        <f t="shared" si="253"/>
        <v>0</v>
      </c>
      <c r="K161" s="85">
        <f t="shared" si="254"/>
        <v>0</v>
      </c>
      <c r="L161" s="85">
        <f t="shared" si="255"/>
        <v>0</v>
      </c>
      <c r="M161" s="17">
        <f t="shared" si="256"/>
        <v>0</v>
      </c>
      <c r="N161" s="85">
        <f t="shared" si="257"/>
        <v>0</v>
      </c>
      <c r="O161" s="85">
        <f t="shared" si="258"/>
        <v>0</v>
      </c>
      <c r="P161" s="85">
        <f t="shared" si="259"/>
        <v>0</v>
      </c>
      <c r="Q161" s="85">
        <f t="shared" si="260"/>
        <v>0</v>
      </c>
      <c r="R161" s="22">
        <f t="shared" si="261"/>
        <v>0</v>
      </c>
      <c r="S161" s="23">
        <f t="shared" si="262"/>
        <v>0</v>
      </c>
      <c r="T161" s="23">
        <f t="shared" si="263"/>
        <v>0</v>
      </c>
      <c r="U161" s="23">
        <f t="shared" si="264"/>
        <v>0</v>
      </c>
      <c r="W161" s="78" t="str">
        <f t="shared" si="266"/>
        <v>Foreign Exchange</v>
      </c>
      <c r="X161" s="64"/>
      <c r="Y161" s="64"/>
      <c r="Z161" s="64"/>
      <c r="AA161" s="64"/>
      <c r="AB161" s="60"/>
      <c r="AC161" s="64"/>
      <c r="AD161" s="64"/>
      <c r="AE161" s="64"/>
      <c r="AF161" s="64"/>
      <c r="AG161" s="60"/>
      <c r="AH161" s="64"/>
      <c r="AI161" s="64"/>
      <c r="AJ161" s="64"/>
    </row>
    <row r="162" spans="2:36" hidden="1" outlineLevel="1" x14ac:dyDescent="0.25">
      <c r="B162" s="229" t="s">
        <v>195</v>
      </c>
      <c r="C162" s="229" t="s">
        <v>195</v>
      </c>
      <c r="E162" s="78" t="s">
        <v>176</v>
      </c>
      <c r="F162" s="21">
        <f t="shared" ref="F162:H162" si="270">F246</f>
        <v>0</v>
      </c>
      <c r="G162" s="21">
        <f t="shared" si="270"/>
        <v>0</v>
      </c>
      <c r="H162" s="21">
        <f t="shared" si="270"/>
        <v>0</v>
      </c>
      <c r="I162" s="85">
        <f t="shared" si="252"/>
        <v>0</v>
      </c>
      <c r="J162" s="85">
        <f t="shared" si="253"/>
        <v>0</v>
      </c>
      <c r="K162" s="85">
        <f t="shared" si="254"/>
        <v>0</v>
      </c>
      <c r="L162" s="85">
        <f t="shared" si="255"/>
        <v>0</v>
      </c>
      <c r="M162" s="17">
        <f t="shared" si="256"/>
        <v>0</v>
      </c>
      <c r="N162" s="85">
        <f t="shared" si="257"/>
        <v>0</v>
      </c>
      <c r="O162" s="85">
        <f t="shared" si="258"/>
        <v>0</v>
      </c>
      <c r="P162" s="85">
        <f t="shared" si="259"/>
        <v>0</v>
      </c>
      <c r="Q162" s="85">
        <f t="shared" si="260"/>
        <v>0</v>
      </c>
      <c r="R162" s="22">
        <f t="shared" si="261"/>
        <v>0</v>
      </c>
      <c r="S162" s="23">
        <f t="shared" si="262"/>
        <v>0</v>
      </c>
      <c r="T162" s="23">
        <f t="shared" si="263"/>
        <v>0</v>
      </c>
      <c r="U162" s="23">
        <f t="shared" si="264"/>
        <v>0</v>
      </c>
      <c r="W162" s="78" t="str">
        <f t="shared" si="266"/>
        <v>One-time legal settlements</v>
      </c>
      <c r="X162" s="64"/>
      <c r="Y162" s="64"/>
      <c r="Z162" s="64"/>
      <c r="AA162" s="64"/>
      <c r="AB162" s="60"/>
      <c r="AC162" s="64"/>
      <c r="AD162" s="64"/>
      <c r="AE162" s="64"/>
      <c r="AF162" s="64"/>
      <c r="AG162" s="60"/>
      <c r="AH162" s="64"/>
      <c r="AI162" s="64"/>
      <c r="AJ162" s="64"/>
    </row>
    <row r="163" spans="2:36" hidden="1" outlineLevel="1" x14ac:dyDescent="0.25">
      <c r="B163" s="229" t="s">
        <v>195</v>
      </c>
      <c r="C163" s="229" t="s">
        <v>195</v>
      </c>
      <c r="E163" s="78" t="s">
        <v>178</v>
      </c>
      <c r="F163" s="21">
        <f t="shared" ref="F163:H163" si="271">F247</f>
        <v>0</v>
      </c>
      <c r="G163" s="21">
        <f t="shared" si="271"/>
        <v>0</v>
      </c>
      <c r="H163" s="21">
        <f t="shared" si="271"/>
        <v>0</v>
      </c>
      <c r="I163" s="85">
        <f t="shared" si="252"/>
        <v>0</v>
      </c>
      <c r="J163" s="85">
        <f t="shared" si="253"/>
        <v>0</v>
      </c>
      <c r="K163" s="85">
        <f t="shared" si="254"/>
        <v>0</v>
      </c>
      <c r="L163" s="85">
        <f t="shared" si="255"/>
        <v>0</v>
      </c>
      <c r="M163" s="17">
        <f t="shared" si="256"/>
        <v>0</v>
      </c>
      <c r="N163" s="85">
        <f t="shared" si="257"/>
        <v>0</v>
      </c>
      <c r="O163" s="85">
        <f t="shared" si="258"/>
        <v>0</v>
      </c>
      <c r="P163" s="85">
        <f t="shared" si="259"/>
        <v>0</v>
      </c>
      <c r="Q163" s="85">
        <f t="shared" si="260"/>
        <v>0</v>
      </c>
      <c r="R163" s="22">
        <f t="shared" si="261"/>
        <v>0</v>
      </c>
      <c r="S163" s="23">
        <f t="shared" si="262"/>
        <v>0</v>
      </c>
      <c r="T163" s="23">
        <f t="shared" si="263"/>
        <v>0</v>
      </c>
      <c r="U163" s="23">
        <f t="shared" si="264"/>
        <v>0</v>
      </c>
      <c r="W163" s="78" t="str">
        <f t="shared" si="266"/>
        <v>Other non-opex income</v>
      </c>
      <c r="X163" s="64"/>
      <c r="Y163" s="64"/>
      <c r="Z163" s="64"/>
      <c r="AA163" s="64"/>
      <c r="AB163" s="60"/>
      <c r="AC163" s="64"/>
      <c r="AD163" s="64"/>
      <c r="AE163" s="64"/>
      <c r="AF163" s="64"/>
      <c r="AG163" s="60"/>
      <c r="AH163" s="64"/>
      <c r="AI163" s="64"/>
      <c r="AJ163" s="64"/>
    </row>
    <row r="164" spans="2:36" hidden="1" outlineLevel="1" x14ac:dyDescent="0.25">
      <c r="B164" s="229" t="s">
        <v>195</v>
      </c>
      <c r="C164" s="229" t="s">
        <v>195</v>
      </c>
      <c r="E164" s="78" t="s">
        <v>178</v>
      </c>
      <c r="F164" s="21">
        <f t="shared" ref="F164:H164" si="272">F248</f>
        <v>0</v>
      </c>
      <c r="G164" s="21">
        <f t="shared" si="272"/>
        <v>0</v>
      </c>
      <c r="H164" s="21">
        <f t="shared" si="272"/>
        <v>0</v>
      </c>
      <c r="I164" s="85">
        <f t="shared" si="252"/>
        <v>0</v>
      </c>
      <c r="J164" s="85">
        <f t="shared" si="253"/>
        <v>0</v>
      </c>
      <c r="K164" s="85">
        <f t="shared" si="254"/>
        <v>0</v>
      </c>
      <c r="L164" s="85">
        <f t="shared" si="255"/>
        <v>0</v>
      </c>
      <c r="M164" s="17">
        <f t="shared" si="256"/>
        <v>0</v>
      </c>
      <c r="N164" s="85">
        <f t="shared" si="257"/>
        <v>0</v>
      </c>
      <c r="O164" s="85">
        <f t="shared" si="258"/>
        <v>0</v>
      </c>
      <c r="P164" s="85">
        <f t="shared" si="259"/>
        <v>0</v>
      </c>
      <c r="Q164" s="85">
        <f t="shared" si="260"/>
        <v>0</v>
      </c>
      <c r="R164" s="22">
        <f t="shared" si="261"/>
        <v>0</v>
      </c>
      <c r="S164" s="23">
        <f t="shared" si="262"/>
        <v>0</v>
      </c>
      <c r="T164" s="23">
        <f t="shared" si="263"/>
        <v>0</v>
      </c>
      <c r="U164" s="23">
        <f t="shared" si="264"/>
        <v>0</v>
      </c>
      <c r="W164" s="78" t="str">
        <f t="shared" si="266"/>
        <v>Other non-opex income</v>
      </c>
      <c r="X164" s="64"/>
      <c r="Y164" s="64"/>
      <c r="Z164" s="64"/>
      <c r="AA164" s="64"/>
      <c r="AB164" s="60"/>
      <c r="AC164" s="64"/>
      <c r="AD164" s="64"/>
      <c r="AE164" s="64"/>
      <c r="AF164" s="64"/>
      <c r="AG164" s="60"/>
      <c r="AH164" s="64"/>
      <c r="AI164" s="64"/>
      <c r="AJ164" s="64"/>
    </row>
    <row r="165" spans="2:36" hidden="1" outlineLevel="1" x14ac:dyDescent="0.25">
      <c r="B165" s="229" t="s">
        <v>195</v>
      </c>
      <c r="C165" s="229" t="s">
        <v>195</v>
      </c>
      <c r="E165" s="78" t="s">
        <v>178</v>
      </c>
      <c r="F165" s="21">
        <f t="shared" ref="F165:H165" si="273">F249</f>
        <v>0</v>
      </c>
      <c r="G165" s="21">
        <f t="shared" si="273"/>
        <v>0</v>
      </c>
      <c r="H165" s="21">
        <f t="shared" si="273"/>
        <v>0</v>
      </c>
      <c r="I165" s="85">
        <f t="shared" si="252"/>
        <v>0</v>
      </c>
      <c r="J165" s="85">
        <f t="shared" si="253"/>
        <v>0</v>
      </c>
      <c r="K165" s="85">
        <f t="shared" si="254"/>
        <v>0</v>
      </c>
      <c r="L165" s="85">
        <f t="shared" si="255"/>
        <v>0</v>
      </c>
      <c r="M165" s="17">
        <f t="shared" si="256"/>
        <v>0</v>
      </c>
      <c r="N165" s="85">
        <f t="shared" si="257"/>
        <v>0</v>
      </c>
      <c r="O165" s="85">
        <f t="shared" si="258"/>
        <v>0</v>
      </c>
      <c r="P165" s="85">
        <f t="shared" si="259"/>
        <v>0</v>
      </c>
      <c r="Q165" s="85">
        <f t="shared" si="260"/>
        <v>0</v>
      </c>
      <c r="R165" s="22">
        <f t="shared" si="261"/>
        <v>0</v>
      </c>
      <c r="S165" s="23">
        <f t="shared" si="262"/>
        <v>0</v>
      </c>
      <c r="T165" s="23">
        <f t="shared" si="263"/>
        <v>0</v>
      </c>
      <c r="U165" s="23">
        <f t="shared" si="264"/>
        <v>0</v>
      </c>
      <c r="W165" s="78" t="str">
        <f t="shared" si="266"/>
        <v>Other non-opex income</v>
      </c>
      <c r="X165" s="64"/>
      <c r="Y165" s="64"/>
      <c r="Z165" s="64"/>
      <c r="AA165" s="64"/>
      <c r="AB165" s="60"/>
      <c r="AC165" s="64"/>
      <c r="AD165" s="64"/>
      <c r="AE165" s="64"/>
      <c r="AF165" s="64"/>
      <c r="AG165" s="60"/>
      <c r="AH165" s="64"/>
      <c r="AI165" s="64"/>
      <c r="AJ165" s="64"/>
    </row>
    <row r="166" spans="2:36" hidden="1" outlineLevel="1" x14ac:dyDescent="0.25">
      <c r="B166" s="229" t="s">
        <v>195</v>
      </c>
      <c r="C166" s="229" t="s">
        <v>195</v>
      </c>
      <c r="E166" s="78" t="s">
        <v>178</v>
      </c>
      <c r="F166" s="21">
        <f t="shared" ref="F166:H166" si="274">F250</f>
        <v>0</v>
      </c>
      <c r="G166" s="21">
        <f t="shared" si="274"/>
        <v>0</v>
      </c>
      <c r="H166" s="21">
        <f t="shared" si="274"/>
        <v>0</v>
      </c>
      <c r="I166" s="85">
        <f t="shared" si="252"/>
        <v>0</v>
      </c>
      <c r="J166" s="85">
        <f t="shared" si="253"/>
        <v>0</v>
      </c>
      <c r="K166" s="85">
        <f t="shared" si="254"/>
        <v>0</v>
      </c>
      <c r="L166" s="85">
        <f t="shared" si="255"/>
        <v>0</v>
      </c>
      <c r="M166" s="17">
        <f t="shared" si="256"/>
        <v>0</v>
      </c>
      <c r="N166" s="85">
        <f t="shared" si="257"/>
        <v>0</v>
      </c>
      <c r="O166" s="85">
        <f t="shared" si="258"/>
        <v>0</v>
      </c>
      <c r="P166" s="85">
        <f t="shared" si="259"/>
        <v>0</v>
      </c>
      <c r="Q166" s="85">
        <f t="shared" si="260"/>
        <v>0</v>
      </c>
      <c r="R166" s="22">
        <f t="shared" si="261"/>
        <v>0</v>
      </c>
      <c r="S166" s="23">
        <f t="shared" si="262"/>
        <v>0</v>
      </c>
      <c r="T166" s="23">
        <f t="shared" si="263"/>
        <v>0</v>
      </c>
      <c r="U166" s="23">
        <f t="shared" si="264"/>
        <v>0</v>
      </c>
      <c r="W166" s="78" t="str">
        <f t="shared" si="266"/>
        <v>Other non-opex income</v>
      </c>
      <c r="X166" s="64"/>
      <c r="Y166" s="64"/>
      <c r="Z166" s="64"/>
      <c r="AA166" s="64"/>
      <c r="AB166" s="60"/>
      <c r="AC166" s="64"/>
      <c r="AD166" s="64"/>
      <c r="AE166" s="64"/>
      <c r="AF166" s="64"/>
      <c r="AG166" s="60"/>
      <c r="AH166" s="64"/>
      <c r="AI166" s="64"/>
      <c r="AJ166" s="64"/>
    </row>
    <row r="167" spans="2:36" ht="15.75" hidden="1" outlineLevel="1" thickBot="1" x14ac:dyDescent="0.3">
      <c r="E167" s="8" t="s">
        <v>27</v>
      </c>
      <c r="F167" s="9">
        <f>SUM(F157:F166)</f>
        <v>0</v>
      </c>
      <c r="G167" s="9">
        <f t="shared" ref="G167" si="275">SUM(G157:G166)</f>
        <v>0</v>
      </c>
      <c r="H167" s="9">
        <f t="shared" ref="H167" si="276">SUM(H157:H166)</f>
        <v>0</v>
      </c>
      <c r="I167" s="86">
        <f t="shared" ref="I167" si="277">SUM(I157:I166)</f>
        <v>0</v>
      </c>
      <c r="J167" s="86">
        <f t="shared" ref="J167" si="278">SUM(J157:J166)</f>
        <v>0</v>
      </c>
      <c r="K167" s="86">
        <f t="shared" ref="K167" si="279">SUM(K157:K166)</f>
        <v>0</v>
      </c>
      <c r="L167" s="86">
        <f t="shared" ref="L167" si="280">SUM(L157:L166)</f>
        <v>0</v>
      </c>
      <c r="M167" s="18">
        <f t="shared" ref="M167" si="281">SUM(M157:M166)</f>
        <v>0</v>
      </c>
      <c r="N167" s="86">
        <f t="shared" ref="N167" si="282">SUM(N157:N166)</f>
        <v>0</v>
      </c>
      <c r="O167" s="86">
        <f t="shared" ref="O167" si="283">SUM(O157:O166)</f>
        <v>0</v>
      </c>
      <c r="P167" s="86">
        <f t="shared" ref="P167" si="284">SUM(P157:P166)</f>
        <v>0</v>
      </c>
      <c r="Q167" s="86">
        <f t="shared" ref="Q167" si="285">SUM(Q157:Q166)</f>
        <v>0</v>
      </c>
      <c r="R167" s="19">
        <f t="shared" ref="R167" si="286">SUM(R157:R166)</f>
        <v>0</v>
      </c>
      <c r="S167" s="20">
        <f t="shared" ref="S167" si="287">SUM(S157:S166)</f>
        <v>0</v>
      </c>
      <c r="T167" s="20">
        <f t="shared" ref="T167" si="288">SUM(T157:T166)</f>
        <v>0</v>
      </c>
      <c r="U167" s="20">
        <f t="shared" ref="U167" si="289">SUM(U157:U166)</f>
        <v>0</v>
      </c>
    </row>
    <row r="168" spans="2:36" ht="15.75" hidden="1" outlineLevel="1" thickTop="1" x14ac:dyDescent="0.25"/>
    <row r="169" spans="2:36" hidden="1" outlineLevel="1" x14ac:dyDescent="0.25"/>
    <row r="170" spans="2:36" hidden="1" outlineLevel="1" x14ac:dyDescent="0.25"/>
    <row r="171" spans="2:36" ht="18.75" collapsed="1" x14ac:dyDescent="0.3">
      <c r="B171" s="4" t="s">
        <v>34</v>
      </c>
      <c r="C171" s="4" t="s">
        <v>387</v>
      </c>
      <c r="E171" s="53" t="str">
        <f>"Scenario 5: "&amp;Inputs!B26</f>
        <v>Scenario 5: Scenario 5</v>
      </c>
      <c r="F171" s="49"/>
      <c r="G171" s="49"/>
      <c r="H171" s="49"/>
      <c r="I171" s="49"/>
      <c r="J171" s="49"/>
      <c r="K171" s="49"/>
      <c r="L171" s="49"/>
      <c r="M171" s="49"/>
      <c r="N171" s="49"/>
      <c r="O171" s="49"/>
      <c r="P171" s="49"/>
      <c r="Q171" s="49"/>
      <c r="R171" s="49"/>
      <c r="S171" s="49"/>
      <c r="T171" s="49"/>
      <c r="U171" s="49"/>
    </row>
    <row r="172" spans="2:36" hidden="1" outlineLevel="1" x14ac:dyDescent="0.25">
      <c r="E172" s="52" t="str">
        <f>Inputs!C26</f>
        <v>Scenario 5 Description</v>
      </c>
    </row>
    <row r="173" spans="2:36" hidden="1" outlineLevel="1" x14ac:dyDescent="0.25"/>
    <row r="174" spans="2:36" hidden="1" outlineLevel="1" x14ac:dyDescent="0.25"/>
    <row r="175" spans="2:36" hidden="1" outlineLevel="1" x14ac:dyDescent="0.25">
      <c r="E175" s="4" t="s">
        <v>162</v>
      </c>
      <c r="W175" s="4" t="str">
        <f>E175</f>
        <v>Non-Operating Expenses</v>
      </c>
    </row>
    <row r="176" spans="2:36" hidden="1" outlineLevel="1" x14ac:dyDescent="0.25">
      <c r="E176" s="6" t="s">
        <v>25</v>
      </c>
      <c r="W176" s="61" t="s">
        <v>62</v>
      </c>
    </row>
    <row r="177" spans="2:36" hidden="1" outlineLevel="1" x14ac:dyDescent="0.25"/>
    <row r="178" spans="2:36" hidden="1" outlineLevel="1" x14ac:dyDescent="0.25">
      <c r="F178" s="12">
        <f>Inputs!$C$7</f>
        <v>2023</v>
      </c>
      <c r="G178" s="12">
        <f>Inputs!$C$8</f>
        <v>2024</v>
      </c>
      <c r="H178" s="12">
        <f>Inputs!$C$9</f>
        <v>2025</v>
      </c>
      <c r="I178" s="13" t="s">
        <v>1</v>
      </c>
      <c r="J178" s="13" t="s">
        <v>2</v>
      </c>
      <c r="K178" s="13" t="s">
        <v>3</v>
      </c>
      <c r="L178" s="13" t="s">
        <v>4</v>
      </c>
      <c r="M178" s="13">
        <f>Inputs!$C$10</f>
        <v>2026</v>
      </c>
      <c r="N178" s="14" t="s">
        <v>1</v>
      </c>
      <c r="O178" s="14" t="s">
        <v>2</v>
      </c>
      <c r="P178" s="14" t="s">
        <v>3</v>
      </c>
      <c r="Q178" s="14" t="s">
        <v>4</v>
      </c>
      <c r="R178" s="15">
        <f>Inputs!$C$11</f>
        <v>2027</v>
      </c>
      <c r="S178" s="16">
        <f>Inputs!$C$12</f>
        <v>2028</v>
      </c>
      <c r="T178" s="16">
        <f>Inputs!$C$13</f>
        <v>2029</v>
      </c>
      <c r="U178" s="16">
        <f>Inputs!$C$14</f>
        <v>2030</v>
      </c>
      <c r="X178" s="13" t="s">
        <v>1</v>
      </c>
      <c r="Y178" s="13" t="s">
        <v>2</v>
      </c>
      <c r="Z178" s="13" t="s">
        <v>3</v>
      </c>
      <c r="AA178" s="13" t="s">
        <v>4</v>
      </c>
      <c r="AB178" s="13">
        <f>Inputs!$C$10</f>
        <v>2026</v>
      </c>
      <c r="AC178" s="14" t="s">
        <v>1</v>
      </c>
      <c r="AD178" s="14" t="s">
        <v>2</v>
      </c>
      <c r="AE178" s="14" t="s">
        <v>3</v>
      </c>
      <c r="AF178" s="14" t="s">
        <v>4</v>
      </c>
      <c r="AG178" s="15">
        <f>Inputs!$C$11</f>
        <v>2027</v>
      </c>
      <c r="AH178" s="16">
        <f>Inputs!$C$12</f>
        <v>2028</v>
      </c>
      <c r="AI178" s="16">
        <f>Inputs!$C$13</f>
        <v>2029</v>
      </c>
      <c r="AJ178" s="16">
        <f>Inputs!$C$14</f>
        <v>2030</v>
      </c>
    </row>
    <row r="179" spans="2:36" hidden="1" outlineLevel="1" x14ac:dyDescent="0.25">
      <c r="F179" s="71" t="s">
        <v>63</v>
      </c>
      <c r="G179" s="71" t="s">
        <v>63</v>
      </c>
      <c r="H179" s="71" t="s">
        <v>63</v>
      </c>
      <c r="I179" s="71" t="s">
        <v>63</v>
      </c>
      <c r="J179" s="71" t="s">
        <v>63</v>
      </c>
      <c r="K179" s="71" t="s">
        <v>63</v>
      </c>
      <c r="L179" s="71" t="s">
        <v>63</v>
      </c>
      <c r="M179" s="71" t="s">
        <v>63</v>
      </c>
      <c r="N179" s="71" t="s">
        <v>63</v>
      </c>
      <c r="O179" s="71" t="s">
        <v>63</v>
      </c>
      <c r="P179" s="71" t="s">
        <v>63</v>
      </c>
      <c r="Q179" s="71" t="s">
        <v>63</v>
      </c>
      <c r="R179" s="71" t="s">
        <v>63</v>
      </c>
      <c r="S179" s="71" t="s">
        <v>63</v>
      </c>
      <c r="T179" s="71" t="s">
        <v>63</v>
      </c>
      <c r="U179" s="71" t="s">
        <v>63</v>
      </c>
      <c r="X179" s="63" t="s">
        <v>30</v>
      </c>
      <c r="Y179" s="63" t="s">
        <v>30</v>
      </c>
      <c r="Z179" s="63" t="s">
        <v>30</v>
      </c>
      <c r="AA179" s="63" t="s">
        <v>30</v>
      </c>
      <c r="AB179" s="62"/>
      <c r="AC179" s="63" t="s">
        <v>30</v>
      </c>
      <c r="AD179" s="63" t="s">
        <v>30</v>
      </c>
      <c r="AE179" s="63" t="s">
        <v>30</v>
      </c>
      <c r="AF179" s="63" t="s">
        <v>30</v>
      </c>
      <c r="AG179" s="62"/>
      <c r="AH179" s="63" t="s">
        <v>30</v>
      </c>
      <c r="AI179" s="63" t="s">
        <v>30</v>
      </c>
      <c r="AJ179" s="63" t="s">
        <v>30</v>
      </c>
    </row>
    <row r="180" spans="2:36" hidden="1" outlineLevel="1" x14ac:dyDescent="0.25">
      <c r="B180" s="229" t="s">
        <v>195</v>
      </c>
      <c r="C180" s="229" t="s">
        <v>195</v>
      </c>
      <c r="E180" s="78" t="s">
        <v>163</v>
      </c>
      <c r="F180" s="21">
        <f>F222</f>
        <v>0</v>
      </c>
      <c r="G180" s="21">
        <f t="shared" ref="G180:H180" si="290">G222</f>
        <v>0</v>
      </c>
      <c r="H180" s="21">
        <f t="shared" si="290"/>
        <v>0</v>
      </c>
      <c r="I180" s="85">
        <f>IF(X180="",I222,X180)</f>
        <v>0</v>
      </c>
      <c r="J180" s="85">
        <f t="shared" ref="J180:L180" si="291">IF(Y180="",J222,Y180)</f>
        <v>0</v>
      </c>
      <c r="K180" s="85">
        <f t="shared" si="291"/>
        <v>0</v>
      </c>
      <c r="L180" s="85">
        <f t="shared" si="291"/>
        <v>0</v>
      </c>
      <c r="M180" s="17">
        <f t="shared" ref="M180:M189" si="292">SUM(I180:L180)</f>
        <v>0</v>
      </c>
      <c r="N180" s="85">
        <f t="shared" ref="N180:Q180" si="293">IF(AC180="",N222,AC180)</f>
        <v>0</v>
      </c>
      <c r="O180" s="85">
        <f t="shared" si="293"/>
        <v>0</v>
      </c>
      <c r="P180" s="85">
        <f t="shared" si="293"/>
        <v>0</v>
      </c>
      <c r="Q180" s="85">
        <f t="shared" si="293"/>
        <v>0</v>
      </c>
      <c r="R180" s="22">
        <f t="shared" ref="R180:R189" si="294">SUM(N180:Q180)</f>
        <v>0</v>
      </c>
      <c r="S180" s="23">
        <f t="shared" ref="S180:U180" si="295">IF(AH180="",S222,AH180)</f>
        <v>0</v>
      </c>
      <c r="T180" s="23">
        <f t="shared" si="295"/>
        <v>0</v>
      </c>
      <c r="U180" s="23">
        <f t="shared" si="295"/>
        <v>0</v>
      </c>
      <c r="W180" s="78" t="str">
        <f>E180</f>
        <v>Interest Expense</v>
      </c>
      <c r="X180" s="64"/>
      <c r="Y180" s="64"/>
      <c r="Z180" s="64"/>
      <c r="AA180" s="64"/>
      <c r="AB180" s="60"/>
      <c r="AC180" s="64"/>
      <c r="AD180" s="64"/>
      <c r="AE180" s="64"/>
      <c r="AF180" s="64"/>
      <c r="AG180" s="60"/>
      <c r="AH180" s="64"/>
      <c r="AI180" s="64"/>
      <c r="AJ180" s="64"/>
    </row>
    <row r="181" spans="2:36" hidden="1" outlineLevel="1" x14ac:dyDescent="0.25">
      <c r="B181" s="229" t="s">
        <v>195</v>
      </c>
      <c r="C181" s="229" t="s">
        <v>195</v>
      </c>
      <c r="E181" s="78" t="s">
        <v>164</v>
      </c>
      <c r="F181" s="21">
        <f t="shared" ref="F181:H181" si="296">F223</f>
        <v>0</v>
      </c>
      <c r="G181" s="21">
        <f t="shared" si="296"/>
        <v>0</v>
      </c>
      <c r="H181" s="21">
        <f t="shared" si="296"/>
        <v>0</v>
      </c>
      <c r="I181" s="85">
        <f t="shared" ref="I181:L181" si="297">IF(X181="",I223,X181)</f>
        <v>0</v>
      </c>
      <c r="J181" s="85">
        <f t="shared" si="297"/>
        <v>0</v>
      </c>
      <c r="K181" s="85">
        <f t="shared" si="297"/>
        <v>0</v>
      </c>
      <c r="L181" s="85">
        <f t="shared" si="297"/>
        <v>0</v>
      </c>
      <c r="M181" s="17">
        <f t="shared" si="292"/>
        <v>0</v>
      </c>
      <c r="N181" s="85">
        <f t="shared" ref="N181:Q181" si="298">IF(AC181="",N223,AC181)</f>
        <v>0</v>
      </c>
      <c r="O181" s="85">
        <f t="shared" si="298"/>
        <v>0</v>
      </c>
      <c r="P181" s="85">
        <f t="shared" si="298"/>
        <v>0</v>
      </c>
      <c r="Q181" s="85">
        <f t="shared" si="298"/>
        <v>0</v>
      </c>
      <c r="R181" s="22">
        <f t="shared" si="294"/>
        <v>0</v>
      </c>
      <c r="S181" s="23">
        <f t="shared" ref="S181:U181" si="299">IF(AH181="",S223,AH181)</f>
        <v>0</v>
      </c>
      <c r="T181" s="23">
        <f t="shared" si="299"/>
        <v>0</v>
      </c>
      <c r="U181" s="23">
        <f t="shared" si="299"/>
        <v>0</v>
      </c>
      <c r="W181" s="78" t="str">
        <f t="shared" ref="W181:W189" si="300">E181</f>
        <v>Losses on debt refinancing</v>
      </c>
      <c r="X181" s="64"/>
      <c r="Y181" s="64"/>
      <c r="Z181" s="64"/>
      <c r="AA181" s="64"/>
      <c r="AB181" s="60"/>
      <c r="AC181" s="64"/>
      <c r="AD181" s="64"/>
      <c r="AE181" s="64"/>
      <c r="AF181" s="64"/>
      <c r="AG181" s="60"/>
      <c r="AH181" s="64"/>
      <c r="AI181" s="64"/>
      <c r="AJ181" s="64"/>
    </row>
    <row r="182" spans="2:36" hidden="1" outlineLevel="1" x14ac:dyDescent="0.25">
      <c r="B182" s="229" t="s">
        <v>195</v>
      </c>
      <c r="C182" s="229" t="s">
        <v>195</v>
      </c>
      <c r="E182" s="78" t="s">
        <v>165</v>
      </c>
      <c r="F182" s="21">
        <f t="shared" ref="F182:H182" si="301">F224</f>
        <v>0</v>
      </c>
      <c r="G182" s="21">
        <f t="shared" si="301"/>
        <v>0</v>
      </c>
      <c r="H182" s="21">
        <f t="shared" si="301"/>
        <v>0</v>
      </c>
      <c r="I182" s="85">
        <f t="shared" ref="I182:L182" si="302">IF(X182="",I224,X182)</f>
        <v>0</v>
      </c>
      <c r="J182" s="85">
        <f t="shared" si="302"/>
        <v>0</v>
      </c>
      <c r="K182" s="85">
        <f t="shared" si="302"/>
        <v>0</v>
      </c>
      <c r="L182" s="85">
        <f t="shared" si="302"/>
        <v>0</v>
      </c>
      <c r="M182" s="17">
        <f t="shared" si="292"/>
        <v>0</v>
      </c>
      <c r="N182" s="85">
        <f t="shared" ref="N182:Q182" si="303">IF(AC182="",N224,AC182)</f>
        <v>0</v>
      </c>
      <c r="O182" s="85">
        <f t="shared" si="303"/>
        <v>0</v>
      </c>
      <c r="P182" s="85">
        <f t="shared" si="303"/>
        <v>0</v>
      </c>
      <c r="Q182" s="85">
        <f t="shared" si="303"/>
        <v>0</v>
      </c>
      <c r="R182" s="22">
        <f t="shared" si="294"/>
        <v>0</v>
      </c>
      <c r="S182" s="23">
        <f t="shared" ref="S182:U182" si="304">IF(AH182="",S224,AH182)</f>
        <v>0</v>
      </c>
      <c r="T182" s="23">
        <f t="shared" si="304"/>
        <v>0</v>
      </c>
      <c r="U182" s="23">
        <f t="shared" si="304"/>
        <v>0</v>
      </c>
      <c r="W182" s="78" t="str">
        <f t="shared" si="300"/>
        <v>Unrealized/Realized Losses on Investments</v>
      </c>
      <c r="X182" s="64"/>
      <c r="Y182" s="64"/>
      <c r="Z182" s="64"/>
      <c r="AA182" s="64"/>
      <c r="AB182" s="60"/>
      <c r="AC182" s="64"/>
      <c r="AD182" s="64"/>
      <c r="AE182" s="64"/>
      <c r="AF182" s="64"/>
      <c r="AG182" s="60"/>
      <c r="AH182" s="64"/>
      <c r="AI182" s="64"/>
      <c r="AJ182" s="64"/>
    </row>
    <row r="183" spans="2:36" hidden="1" outlineLevel="1" x14ac:dyDescent="0.25">
      <c r="B183" s="229" t="s">
        <v>195</v>
      </c>
      <c r="C183" s="229" t="s">
        <v>195</v>
      </c>
      <c r="E183" s="78" t="s">
        <v>166</v>
      </c>
      <c r="F183" s="21">
        <f t="shared" ref="F183:H183" si="305">F225</f>
        <v>0</v>
      </c>
      <c r="G183" s="21">
        <f t="shared" si="305"/>
        <v>0</v>
      </c>
      <c r="H183" s="21">
        <f t="shared" si="305"/>
        <v>0</v>
      </c>
      <c r="I183" s="85">
        <f t="shared" ref="I183:L183" si="306">IF(X183="",I225,X183)</f>
        <v>0</v>
      </c>
      <c r="J183" s="85">
        <f t="shared" si="306"/>
        <v>0</v>
      </c>
      <c r="K183" s="85">
        <f t="shared" si="306"/>
        <v>0</v>
      </c>
      <c r="L183" s="85">
        <f t="shared" si="306"/>
        <v>0</v>
      </c>
      <c r="M183" s="17">
        <f t="shared" si="292"/>
        <v>0</v>
      </c>
      <c r="N183" s="85">
        <f t="shared" ref="N183:Q183" si="307">IF(AC183="",N225,AC183)</f>
        <v>0</v>
      </c>
      <c r="O183" s="85">
        <f t="shared" si="307"/>
        <v>0</v>
      </c>
      <c r="P183" s="85">
        <f t="shared" si="307"/>
        <v>0</v>
      </c>
      <c r="Q183" s="85">
        <f t="shared" si="307"/>
        <v>0</v>
      </c>
      <c r="R183" s="22">
        <f t="shared" si="294"/>
        <v>0</v>
      </c>
      <c r="S183" s="23">
        <f t="shared" ref="S183:U183" si="308">IF(AH183="",S225,AH183)</f>
        <v>0</v>
      </c>
      <c r="T183" s="23">
        <f t="shared" si="308"/>
        <v>0</v>
      </c>
      <c r="U183" s="23">
        <f t="shared" si="308"/>
        <v>0</v>
      </c>
      <c r="W183" s="78" t="str">
        <f t="shared" si="300"/>
        <v>FX Losses</v>
      </c>
      <c r="X183" s="64"/>
      <c r="Y183" s="64"/>
      <c r="Z183" s="64"/>
      <c r="AA183" s="64"/>
      <c r="AB183" s="60"/>
      <c r="AC183" s="64"/>
      <c r="AD183" s="64"/>
      <c r="AE183" s="64"/>
      <c r="AF183" s="64"/>
      <c r="AG183" s="60"/>
      <c r="AH183" s="64"/>
      <c r="AI183" s="64"/>
      <c r="AJ183" s="64"/>
    </row>
    <row r="184" spans="2:36" hidden="1" outlineLevel="1" x14ac:dyDescent="0.25">
      <c r="B184" s="229" t="s">
        <v>195</v>
      </c>
      <c r="C184" s="229" t="s">
        <v>195</v>
      </c>
      <c r="E184" s="78" t="s">
        <v>167</v>
      </c>
      <c r="F184" s="21">
        <f t="shared" ref="F184:H184" si="309">F226</f>
        <v>0</v>
      </c>
      <c r="G184" s="21">
        <f t="shared" si="309"/>
        <v>0</v>
      </c>
      <c r="H184" s="21">
        <f t="shared" si="309"/>
        <v>0</v>
      </c>
      <c r="I184" s="85">
        <f t="shared" ref="I184:L184" si="310">IF(X184="",I226,X184)</f>
        <v>0</v>
      </c>
      <c r="J184" s="85">
        <f t="shared" si="310"/>
        <v>0</v>
      </c>
      <c r="K184" s="85">
        <f t="shared" si="310"/>
        <v>0</v>
      </c>
      <c r="L184" s="85">
        <f t="shared" si="310"/>
        <v>0</v>
      </c>
      <c r="M184" s="17">
        <f t="shared" si="292"/>
        <v>0</v>
      </c>
      <c r="N184" s="85">
        <f t="shared" ref="N184:Q184" si="311">IF(AC184="",N226,AC184)</f>
        <v>0</v>
      </c>
      <c r="O184" s="85">
        <f t="shared" si="311"/>
        <v>0</v>
      </c>
      <c r="P184" s="85">
        <f t="shared" si="311"/>
        <v>0</v>
      </c>
      <c r="Q184" s="85">
        <f t="shared" si="311"/>
        <v>0</v>
      </c>
      <c r="R184" s="22">
        <f t="shared" si="294"/>
        <v>0</v>
      </c>
      <c r="S184" s="23">
        <f t="shared" ref="S184:U184" si="312">IF(AH184="",S226,AH184)</f>
        <v>0</v>
      </c>
      <c r="T184" s="23">
        <f t="shared" si="312"/>
        <v>0</v>
      </c>
      <c r="U184" s="23">
        <f t="shared" si="312"/>
        <v>0</v>
      </c>
      <c r="W184" s="78" t="str">
        <f t="shared" si="300"/>
        <v>Impairments of non-operating assets</v>
      </c>
      <c r="X184" s="64"/>
      <c r="Y184" s="64"/>
      <c r="Z184" s="64"/>
      <c r="AA184" s="64"/>
      <c r="AB184" s="60"/>
      <c r="AC184" s="64"/>
      <c r="AD184" s="64"/>
      <c r="AE184" s="64"/>
      <c r="AF184" s="64"/>
      <c r="AG184" s="60"/>
      <c r="AH184" s="64"/>
      <c r="AI184" s="64"/>
      <c r="AJ184" s="64"/>
    </row>
    <row r="185" spans="2:36" hidden="1" outlineLevel="1" x14ac:dyDescent="0.25">
      <c r="B185" s="229" t="s">
        <v>195</v>
      </c>
      <c r="C185" s="229" t="s">
        <v>195</v>
      </c>
      <c r="E185" s="78" t="s">
        <v>168</v>
      </c>
      <c r="F185" s="21">
        <f t="shared" ref="F185:H185" si="313">F227</f>
        <v>0</v>
      </c>
      <c r="G185" s="21">
        <f t="shared" si="313"/>
        <v>0</v>
      </c>
      <c r="H185" s="21">
        <f t="shared" si="313"/>
        <v>0</v>
      </c>
      <c r="I185" s="85">
        <f t="shared" ref="I185:L185" si="314">IF(X185="",I227,X185)</f>
        <v>0</v>
      </c>
      <c r="J185" s="85">
        <f t="shared" si="314"/>
        <v>0</v>
      </c>
      <c r="K185" s="85">
        <f t="shared" si="314"/>
        <v>0</v>
      </c>
      <c r="L185" s="85">
        <f t="shared" si="314"/>
        <v>0</v>
      </c>
      <c r="M185" s="17">
        <f t="shared" si="292"/>
        <v>0</v>
      </c>
      <c r="N185" s="85">
        <f t="shared" ref="N185:Q185" si="315">IF(AC185="",N227,AC185)</f>
        <v>0</v>
      </c>
      <c r="O185" s="85">
        <f t="shared" si="315"/>
        <v>0</v>
      </c>
      <c r="P185" s="85">
        <f t="shared" si="315"/>
        <v>0</v>
      </c>
      <c r="Q185" s="85">
        <f t="shared" si="315"/>
        <v>0</v>
      </c>
      <c r="R185" s="22">
        <f t="shared" si="294"/>
        <v>0</v>
      </c>
      <c r="S185" s="23">
        <f t="shared" ref="S185:U185" si="316">IF(AH185="",S227,AH185)</f>
        <v>0</v>
      </c>
      <c r="T185" s="23">
        <f t="shared" si="316"/>
        <v>0</v>
      </c>
      <c r="U185" s="23">
        <f t="shared" si="316"/>
        <v>0</v>
      </c>
      <c r="W185" s="78" t="str">
        <f t="shared" si="300"/>
        <v>Legal charges/settlements</v>
      </c>
      <c r="X185" s="64"/>
      <c r="Y185" s="64"/>
      <c r="Z185" s="64"/>
      <c r="AA185" s="64"/>
      <c r="AB185" s="60"/>
      <c r="AC185" s="64"/>
      <c r="AD185" s="64"/>
      <c r="AE185" s="64"/>
      <c r="AF185" s="64"/>
      <c r="AG185" s="60"/>
      <c r="AH185" s="64"/>
      <c r="AI185" s="64"/>
      <c r="AJ185" s="64"/>
    </row>
    <row r="186" spans="2:36" hidden="1" outlineLevel="1" x14ac:dyDescent="0.25">
      <c r="B186" s="229" t="s">
        <v>195</v>
      </c>
      <c r="C186" s="229" t="s">
        <v>195</v>
      </c>
      <c r="E186" s="78" t="s">
        <v>169</v>
      </c>
      <c r="F186" s="21">
        <f t="shared" ref="F186:H186" si="317">F228</f>
        <v>0</v>
      </c>
      <c r="G186" s="21">
        <f t="shared" si="317"/>
        <v>0</v>
      </c>
      <c r="H186" s="21">
        <f t="shared" si="317"/>
        <v>0</v>
      </c>
      <c r="I186" s="85">
        <f t="shared" ref="I186:L186" si="318">IF(X186="",I228,X186)</f>
        <v>0</v>
      </c>
      <c r="J186" s="85">
        <f t="shared" si="318"/>
        <v>0</v>
      </c>
      <c r="K186" s="85">
        <f t="shared" si="318"/>
        <v>0</v>
      </c>
      <c r="L186" s="85">
        <f t="shared" si="318"/>
        <v>0</v>
      </c>
      <c r="M186" s="17">
        <f t="shared" si="292"/>
        <v>0</v>
      </c>
      <c r="N186" s="85">
        <f t="shared" ref="N186:Q186" si="319">IF(AC186="",N228,AC186)</f>
        <v>0</v>
      </c>
      <c r="O186" s="85">
        <f t="shared" si="319"/>
        <v>0</v>
      </c>
      <c r="P186" s="85">
        <f t="shared" si="319"/>
        <v>0</v>
      </c>
      <c r="Q186" s="85">
        <f t="shared" si="319"/>
        <v>0</v>
      </c>
      <c r="R186" s="22">
        <f t="shared" si="294"/>
        <v>0</v>
      </c>
      <c r="S186" s="23">
        <f t="shared" ref="S186:U186" si="320">IF(AH186="",S228,AH186)</f>
        <v>0</v>
      </c>
      <c r="T186" s="23">
        <f t="shared" si="320"/>
        <v>0</v>
      </c>
      <c r="U186" s="23">
        <f t="shared" si="320"/>
        <v>0</v>
      </c>
      <c r="W186" s="78" t="str">
        <f t="shared" si="300"/>
        <v>Other non-opex</v>
      </c>
      <c r="X186" s="64"/>
      <c r="Y186" s="64"/>
      <c r="Z186" s="64"/>
      <c r="AA186" s="64"/>
      <c r="AB186" s="60"/>
      <c r="AC186" s="64"/>
      <c r="AD186" s="64"/>
      <c r="AE186" s="64"/>
      <c r="AF186" s="64"/>
      <c r="AG186" s="60"/>
      <c r="AH186" s="64"/>
      <c r="AI186" s="64"/>
      <c r="AJ186" s="64"/>
    </row>
    <row r="187" spans="2:36" hidden="1" outlineLevel="1" x14ac:dyDescent="0.25">
      <c r="B187" s="229" t="s">
        <v>195</v>
      </c>
      <c r="C187" s="229" t="s">
        <v>195</v>
      </c>
      <c r="E187" s="78" t="s">
        <v>169</v>
      </c>
      <c r="F187" s="21">
        <f t="shared" ref="F187:H187" si="321">F229</f>
        <v>0</v>
      </c>
      <c r="G187" s="21">
        <f t="shared" si="321"/>
        <v>0</v>
      </c>
      <c r="H187" s="21">
        <f t="shared" si="321"/>
        <v>0</v>
      </c>
      <c r="I187" s="85">
        <f t="shared" ref="I187:L187" si="322">IF(X187="",I229,X187)</f>
        <v>0</v>
      </c>
      <c r="J187" s="85">
        <f t="shared" si="322"/>
        <v>0</v>
      </c>
      <c r="K187" s="85">
        <f t="shared" si="322"/>
        <v>0</v>
      </c>
      <c r="L187" s="85">
        <f t="shared" si="322"/>
        <v>0</v>
      </c>
      <c r="M187" s="17">
        <f t="shared" si="292"/>
        <v>0</v>
      </c>
      <c r="N187" s="85">
        <f t="shared" ref="N187:Q187" si="323">IF(AC187="",N229,AC187)</f>
        <v>0</v>
      </c>
      <c r="O187" s="85">
        <f t="shared" si="323"/>
        <v>0</v>
      </c>
      <c r="P187" s="85">
        <f t="shared" si="323"/>
        <v>0</v>
      </c>
      <c r="Q187" s="85">
        <f t="shared" si="323"/>
        <v>0</v>
      </c>
      <c r="R187" s="22">
        <f t="shared" si="294"/>
        <v>0</v>
      </c>
      <c r="S187" s="23">
        <f t="shared" ref="S187:U187" si="324">IF(AH187="",S229,AH187)</f>
        <v>0</v>
      </c>
      <c r="T187" s="23">
        <f t="shared" si="324"/>
        <v>0</v>
      </c>
      <c r="U187" s="23">
        <f t="shared" si="324"/>
        <v>0</v>
      </c>
      <c r="W187" s="78" t="str">
        <f t="shared" si="300"/>
        <v>Other non-opex</v>
      </c>
      <c r="X187" s="64"/>
      <c r="Y187" s="64"/>
      <c r="Z187" s="64"/>
      <c r="AA187" s="64"/>
      <c r="AB187" s="60"/>
      <c r="AC187" s="64"/>
      <c r="AD187" s="64"/>
      <c r="AE187" s="64"/>
      <c r="AF187" s="64"/>
      <c r="AG187" s="60"/>
      <c r="AH187" s="64"/>
      <c r="AI187" s="64"/>
      <c r="AJ187" s="64"/>
    </row>
    <row r="188" spans="2:36" hidden="1" outlineLevel="1" x14ac:dyDescent="0.25">
      <c r="B188" s="229" t="s">
        <v>195</v>
      </c>
      <c r="C188" s="229" t="s">
        <v>195</v>
      </c>
      <c r="E188" s="78" t="s">
        <v>169</v>
      </c>
      <c r="F188" s="21">
        <f t="shared" ref="F188:H188" si="325">F230</f>
        <v>0</v>
      </c>
      <c r="G188" s="21">
        <f t="shared" si="325"/>
        <v>0</v>
      </c>
      <c r="H188" s="21">
        <f t="shared" si="325"/>
        <v>0</v>
      </c>
      <c r="I188" s="85">
        <f t="shared" ref="I188:L188" si="326">IF(X188="",I230,X188)</f>
        <v>0</v>
      </c>
      <c r="J188" s="85">
        <f t="shared" si="326"/>
        <v>0</v>
      </c>
      <c r="K188" s="85">
        <f t="shared" si="326"/>
        <v>0</v>
      </c>
      <c r="L188" s="85">
        <f t="shared" si="326"/>
        <v>0</v>
      </c>
      <c r="M188" s="17">
        <f t="shared" si="292"/>
        <v>0</v>
      </c>
      <c r="N188" s="85">
        <f t="shared" ref="N188:Q188" si="327">IF(AC188="",N230,AC188)</f>
        <v>0</v>
      </c>
      <c r="O188" s="85">
        <f t="shared" si="327"/>
        <v>0</v>
      </c>
      <c r="P188" s="85">
        <f t="shared" si="327"/>
        <v>0</v>
      </c>
      <c r="Q188" s="85">
        <f t="shared" si="327"/>
        <v>0</v>
      </c>
      <c r="R188" s="22">
        <f t="shared" si="294"/>
        <v>0</v>
      </c>
      <c r="S188" s="23">
        <f t="shared" ref="S188:U188" si="328">IF(AH188="",S230,AH188)</f>
        <v>0</v>
      </c>
      <c r="T188" s="23">
        <f t="shared" si="328"/>
        <v>0</v>
      </c>
      <c r="U188" s="23">
        <f t="shared" si="328"/>
        <v>0</v>
      </c>
      <c r="W188" s="78" t="str">
        <f t="shared" si="300"/>
        <v>Other non-opex</v>
      </c>
      <c r="X188" s="64"/>
      <c r="Y188" s="64"/>
      <c r="Z188" s="64"/>
      <c r="AA188" s="64"/>
      <c r="AB188" s="60"/>
      <c r="AC188" s="64"/>
      <c r="AD188" s="64"/>
      <c r="AE188" s="64"/>
      <c r="AF188" s="64"/>
      <c r="AG188" s="60"/>
      <c r="AH188" s="64"/>
      <c r="AI188" s="64"/>
      <c r="AJ188" s="64"/>
    </row>
    <row r="189" spans="2:36" hidden="1" outlineLevel="1" x14ac:dyDescent="0.25">
      <c r="B189" s="229" t="s">
        <v>195</v>
      </c>
      <c r="C189" s="229" t="s">
        <v>195</v>
      </c>
      <c r="E189" s="78" t="s">
        <v>169</v>
      </c>
      <c r="F189" s="21">
        <f t="shared" ref="F189:H189" si="329">F231</f>
        <v>0</v>
      </c>
      <c r="G189" s="21">
        <f t="shared" si="329"/>
        <v>0</v>
      </c>
      <c r="H189" s="21">
        <f t="shared" si="329"/>
        <v>0</v>
      </c>
      <c r="I189" s="85">
        <f t="shared" ref="I189:L189" si="330">IF(X189="",I231,X189)</f>
        <v>0</v>
      </c>
      <c r="J189" s="85">
        <f t="shared" si="330"/>
        <v>0</v>
      </c>
      <c r="K189" s="85">
        <f t="shared" si="330"/>
        <v>0</v>
      </c>
      <c r="L189" s="85">
        <f t="shared" si="330"/>
        <v>0</v>
      </c>
      <c r="M189" s="17">
        <f t="shared" si="292"/>
        <v>0</v>
      </c>
      <c r="N189" s="85">
        <f t="shared" ref="N189:Q189" si="331">IF(AC189="",N231,AC189)</f>
        <v>0</v>
      </c>
      <c r="O189" s="85">
        <f t="shared" si="331"/>
        <v>0</v>
      </c>
      <c r="P189" s="85">
        <f t="shared" si="331"/>
        <v>0</v>
      </c>
      <c r="Q189" s="85">
        <f t="shared" si="331"/>
        <v>0</v>
      </c>
      <c r="R189" s="22">
        <f t="shared" si="294"/>
        <v>0</v>
      </c>
      <c r="S189" s="23">
        <f t="shared" ref="S189:U189" si="332">IF(AH189="",S231,AH189)</f>
        <v>0</v>
      </c>
      <c r="T189" s="23">
        <f t="shared" si="332"/>
        <v>0</v>
      </c>
      <c r="U189" s="23">
        <f t="shared" si="332"/>
        <v>0</v>
      </c>
      <c r="W189" s="78" t="str">
        <f t="shared" si="300"/>
        <v>Other non-opex</v>
      </c>
      <c r="X189" s="64"/>
      <c r="Y189" s="64"/>
      <c r="Z189" s="64"/>
      <c r="AA189" s="64"/>
      <c r="AB189" s="60"/>
      <c r="AC189" s="64"/>
      <c r="AD189" s="64"/>
      <c r="AE189" s="64"/>
      <c r="AF189" s="64"/>
      <c r="AG189" s="60"/>
      <c r="AH189" s="64"/>
      <c r="AI189" s="64"/>
      <c r="AJ189" s="64"/>
    </row>
    <row r="190" spans="2:36" ht="15.75" hidden="1" outlineLevel="1" thickBot="1" x14ac:dyDescent="0.3">
      <c r="E190" s="8" t="s">
        <v>27</v>
      </c>
      <c r="F190" s="9">
        <f>SUM(F180:F189)</f>
        <v>0</v>
      </c>
      <c r="G190" s="9">
        <f t="shared" ref="G190" si="333">SUM(G180:G189)</f>
        <v>0</v>
      </c>
      <c r="H190" s="9">
        <f t="shared" ref="H190" si="334">SUM(H180:H189)</f>
        <v>0</v>
      </c>
      <c r="I190" s="86">
        <f t="shared" ref="I190" si="335">SUM(I180:I189)</f>
        <v>0</v>
      </c>
      <c r="J190" s="86">
        <f t="shared" ref="J190" si="336">SUM(J180:J189)</f>
        <v>0</v>
      </c>
      <c r="K190" s="86">
        <f t="shared" ref="K190" si="337">SUM(K180:K189)</f>
        <v>0</v>
      </c>
      <c r="L190" s="86">
        <f t="shared" ref="L190" si="338">SUM(L180:L189)</f>
        <v>0</v>
      </c>
      <c r="M190" s="18">
        <f t="shared" ref="M190" si="339">SUM(M180:M189)</f>
        <v>0</v>
      </c>
      <c r="N190" s="86">
        <f t="shared" ref="N190" si="340">SUM(N180:N189)</f>
        <v>0</v>
      </c>
      <c r="O190" s="86">
        <f t="shared" ref="O190" si="341">SUM(O180:O189)</f>
        <v>0</v>
      </c>
      <c r="P190" s="86">
        <f t="shared" ref="P190" si="342">SUM(P180:P189)</f>
        <v>0</v>
      </c>
      <c r="Q190" s="86">
        <f t="shared" ref="Q190" si="343">SUM(Q180:Q189)</f>
        <v>0</v>
      </c>
      <c r="R190" s="19">
        <f t="shared" ref="R190" si="344">SUM(R180:R189)</f>
        <v>0</v>
      </c>
      <c r="S190" s="20">
        <f t="shared" ref="S190" si="345">SUM(S180:S189)</f>
        <v>0</v>
      </c>
      <c r="T190" s="20">
        <f t="shared" ref="T190" si="346">SUM(T180:T189)</f>
        <v>0</v>
      </c>
      <c r="U190" s="20">
        <f t="shared" ref="U190" si="347">SUM(U180:U189)</f>
        <v>0</v>
      </c>
    </row>
    <row r="191" spans="2:36" ht="15.75" hidden="1" outlineLevel="1" thickTop="1" x14ac:dyDescent="0.25">
      <c r="M191" s="3"/>
    </row>
    <row r="192" spans="2:36" hidden="1" outlineLevel="1" x14ac:dyDescent="0.25">
      <c r="M192" s="3"/>
    </row>
    <row r="193" spans="2:36" hidden="1" outlineLevel="1" x14ac:dyDescent="0.25">
      <c r="M193" s="3"/>
    </row>
    <row r="194" spans="2:36" hidden="1" outlineLevel="1" x14ac:dyDescent="0.25">
      <c r="E194" s="4" t="s">
        <v>179</v>
      </c>
      <c r="W194" s="4" t="str">
        <f>E194</f>
        <v>Non-Operating Income (Show as negative)</v>
      </c>
    </row>
    <row r="195" spans="2:36" hidden="1" outlineLevel="1" x14ac:dyDescent="0.25">
      <c r="E195" s="6" t="s">
        <v>25</v>
      </c>
      <c r="W195" s="61" t="s">
        <v>62</v>
      </c>
    </row>
    <row r="196" spans="2:36" hidden="1" outlineLevel="1" x14ac:dyDescent="0.25"/>
    <row r="197" spans="2:36" hidden="1" outlineLevel="1" x14ac:dyDescent="0.25">
      <c r="F197" s="12">
        <f>Inputs!$C$7</f>
        <v>2023</v>
      </c>
      <c r="G197" s="12">
        <f>Inputs!$C$8</f>
        <v>2024</v>
      </c>
      <c r="H197" s="12">
        <f>Inputs!$C$9</f>
        <v>2025</v>
      </c>
      <c r="I197" s="13" t="s">
        <v>1</v>
      </c>
      <c r="J197" s="13" t="s">
        <v>2</v>
      </c>
      <c r="K197" s="13" t="s">
        <v>3</v>
      </c>
      <c r="L197" s="13" t="s">
        <v>4</v>
      </c>
      <c r="M197" s="13">
        <f>Inputs!$C$10</f>
        <v>2026</v>
      </c>
      <c r="N197" s="14" t="s">
        <v>1</v>
      </c>
      <c r="O197" s="14" t="s">
        <v>2</v>
      </c>
      <c r="P197" s="14" t="s">
        <v>3</v>
      </c>
      <c r="Q197" s="14" t="s">
        <v>4</v>
      </c>
      <c r="R197" s="15">
        <f>Inputs!$C$11</f>
        <v>2027</v>
      </c>
      <c r="S197" s="16">
        <f>Inputs!$C$12</f>
        <v>2028</v>
      </c>
      <c r="T197" s="16">
        <f>Inputs!$C$13</f>
        <v>2029</v>
      </c>
      <c r="U197" s="16">
        <f>Inputs!$C$14</f>
        <v>2030</v>
      </c>
      <c r="X197" s="13" t="s">
        <v>1</v>
      </c>
      <c r="Y197" s="13" t="s">
        <v>2</v>
      </c>
      <c r="Z197" s="13" t="s">
        <v>3</v>
      </c>
      <c r="AA197" s="13" t="s">
        <v>4</v>
      </c>
      <c r="AB197" s="13">
        <f>Inputs!$C$10</f>
        <v>2026</v>
      </c>
      <c r="AC197" s="14" t="s">
        <v>1</v>
      </c>
      <c r="AD197" s="14" t="s">
        <v>2</v>
      </c>
      <c r="AE197" s="14" t="s">
        <v>3</v>
      </c>
      <c r="AF197" s="14" t="s">
        <v>4</v>
      </c>
      <c r="AG197" s="15">
        <f>Inputs!$C$11</f>
        <v>2027</v>
      </c>
      <c r="AH197" s="16">
        <f>Inputs!$C$12</f>
        <v>2028</v>
      </c>
      <c r="AI197" s="16">
        <f>Inputs!$C$13</f>
        <v>2029</v>
      </c>
      <c r="AJ197" s="16">
        <f>Inputs!$C$14</f>
        <v>2030</v>
      </c>
    </row>
    <row r="198" spans="2:36" hidden="1" outlineLevel="1" x14ac:dyDescent="0.25">
      <c r="F198" s="71" t="s">
        <v>63</v>
      </c>
      <c r="G198" s="71" t="s">
        <v>63</v>
      </c>
      <c r="H198" s="71" t="s">
        <v>63</v>
      </c>
      <c r="I198" s="71" t="s">
        <v>63</v>
      </c>
      <c r="J198" s="71" t="s">
        <v>63</v>
      </c>
      <c r="K198" s="71" t="s">
        <v>63</v>
      </c>
      <c r="L198" s="71" t="s">
        <v>63</v>
      </c>
      <c r="M198" s="71" t="s">
        <v>63</v>
      </c>
      <c r="N198" s="71" t="s">
        <v>63</v>
      </c>
      <c r="O198" s="71" t="s">
        <v>63</v>
      </c>
      <c r="P198" s="71" t="s">
        <v>63</v>
      </c>
      <c r="Q198" s="71" t="s">
        <v>63</v>
      </c>
      <c r="R198" s="71" t="s">
        <v>63</v>
      </c>
      <c r="S198" s="71" t="s">
        <v>63</v>
      </c>
      <c r="T198" s="71" t="s">
        <v>63</v>
      </c>
      <c r="U198" s="71" t="s">
        <v>63</v>
      </c>
      <c r="X198" s="63" t="s">
        <v>30</v>
      </c>
      <c r="Y198" s="63" t="s">
        <v>30</v>
      </c>
      <c r="Z198" s="63" t="s">
        <v>30</v>
      </c>
      <c r="AA198" s="63" t="s">
        <v>30</v>
      </c>
      <c r="AB198" s="62"/>
      <c r="AC198" s="63" t="s">
        <v>30</v>
      </c>
      <c r="AD198" s="63" t="s">
        <v>30</v>
      </c>
      <c r="AE198" s="63" t="s">
        <v>30</v>
      </c>
      <c r="AF198" s="63" t="s">
        <v>30</v>
      </c>
      <c r="AG198" s="62"/>
      <c r="AH198" s="63" t="s">
        <v>30</v>
      </c>
      <c r="AI198" s="63" t="s">
        <v>30</v>
      </c>
      <c r="AJ198" s="63" t="s">
        <v>30</v>
      </c>
    </row>
    <row r="199" spans="2:36" hidden="1" outlineLevel="1" x14ac:dyDescent="0.25">
      <c r="B199" s="229" t="s">
        <v>195</v>
      </c>
      <c r="C199" s="229" t="s">
        <v>195</v>
      </c>
      <c r="E199" s="78" t="s">
        <v>171</v>
      </c>
      <c r="F199" s="21">
        <f>F241</f>
        <v>0</v>
      </c>
      <c r="G199" s="21">
        <f t="shared" ref="G199:H199" si="348">G241</f>
        <v>0</v>
      </c>
      <c r="H199" s="21">
        <f t="shared" si="348"/>
        <v>0</v>
      </c>
      <c r="I199" s="85">
        <f>IF(X199="",I241,X199)</f>
        <v>0</v>
      </c>
      <c r="J199" s="85">
        <f t="shared" ref="J199:J208" si="349">IF(Y199="",J241,Y199)</f>
        <v>0</v>
      </c>
      <c r="K199" s="85">
        <f t="shared" ref="K199:K208" si="350">IF(Z199="",K241,Z199)</f>
        <v>0</v>
      </c>
      <c r="L199" s="85">
        <f t="shared" ref="L199:L208" si="351">IF(AA199="",L241,AA199)</f>
        <v>0</v>
      </c>
      <c r="M199" s="17">
        <f t="shared" ref="M199:M208" si="352">SUM(I199:L199)</f>
        <v>0</v>
      </c>
      <c r="N199" s="85">
        <f t="shared" ref="N199:N208" si="353">IF(AC199="",N241,AC199)</f>
        <v>0</v>
      </c>
      <c r="O199" s="85">
        <f t="shared" ref="O199:O208" si="354">IF(AD199="",O241,AD199)</f>
        <v>0</v>
      </c>
      <c r="P199" s="85">
        <f t="shared" ref="P199:P208" si="355">IF(AE199="",P241,AE199)</f>
        <v>0</v>
      </c>
      <c r="Q199" s="85">
        <f t="shared" ref="Q199:Q208" si="356">IF(AF199="",Q241,AF199)</f>
        <v>0</v>
      </c>
      <c r="R199" s="22">
        <f t="shared" ref="R199:R208" si="357">SUM(N199:Q199)</f>
        <v>0</v>
      </c>
      <c r="S199" s="23">
        <f t="shared" ref="S199:S208" si="358">IF(AH199="",S241,AH199)</f>
        <v>0</v>
      </c>
      <c r="T199" s="23">
        <f t="shared" ref="T199:T208" si="359">IF(AI199="",T241,AI199)</f>
        <v>0</v>
      </c>
      <c r="U199" s="23">
        <f t="shared" ref="U199:U208" si="360">IF(AJ199="",U241,AJ199)</f>
        <v>0</v>
      </c>
      <c r="W199" s="78" t="str">
        <f>E199</f>
        <v>Interest Income</v>
      </c>
      <c r="X199" s="64"/>
      <c r="Y199" s="64"/>
      <c r="Z199" s="64"/>
      <c r="AA199" s="64"/>
      <c r="AB199" s="60"/>
      <c r="AC199" s="64"/>
      <c r="AD199" s="64"/>
      <c r="AE199" s="64"/>
      <c r="AF199" s="64"/>
      <c r="AG199" s="60"/>
      <c r="AH199" s="64"/>
      <c r="AI199" s="64"/>
      <c r="AJ199" s="64"/>
    </row>
    <row r="200" spans="2:36" hidden="1" outlineLevel="1" x14ac:dyDescent="0.25">
      <c r="B200" s="229" t="s">
        <v>195</v>
      </c>
      <c r="C200" s="229" t="s">
        <v>195</v>
      </c>
      <c r="E200" s="78" t="s">
        <v>172</v>
      </c>
      <c r="F200" s="21">
        <f t="shared" ref="F200:H200" si="361">F242</f>
        <v>0</v>
      </c>
      <c r="G200" s="21">
        <f t="shared" si="361"/>
        <v>0</v>
      </c>
      <c r="H200" s="21">
        <f t="shared" si="361"/>
        <v>0</v>
      </c>
      <c r="I200" s="85">
        <f t="shared" ref="I200:I208" si="362">IF(X200="",I242,X200)</f>
        <v>0</v>
      </c>
      <c r="J200" s="85">
        <f t="shared" si="349"/>
        <v>0</v>
      </c>
      <c r="K200" s="85">
        <f t="shared" si="350"/>
        <v>0</v>
      </c>
      <c r="L200" s="85">
        <f t="shared" si="351"/>
        <v>0</v>
      </c>
      <c r="M200" s="17">
        <f t="shared" si="352"/>
        <v>0</v>
      </c>
      <c r="N200" s="85">
        <f t="shared" si="353"/>
        <v>0</v>
      </c>
      <c r="O200" s="85">
        <f t="shared" si="354"/>
        <v>0</v>
      </c>
      <c r="P200" s="85">
        <f t="shared" si="355"/>
        <v>0</v>
      </c>
      <c r="Q200" s="85">
        <f t="shared" si="356"/>
        <v>0</v>
      </c>
      <c r="R200" s="22">
        <f t="shared" si="357"/>
        <v>0</v>
      </c>
      <c r="S200" s="23">
        <f t="shared" si="358"/>
        <v>0</v>
      </c>
      <c r="T200" s="23">
        <f t="shared" si="359"/>
        <v>0</v>
      </c>
      <c r="U200" s="23">
        <f t="shared" si="360"/>
        <v>0</v>
      </c>
      <c r="W200" s="78" t="str">
        <f t="shared" ref="W200:W208" si="363">E200</f>
        <v>Investment Income</v>
      </c>
      <c r="X200" s="64"/>
      <c r="Y200" s="64"/>
      <c r="Z200" s="64"/>
      <c r="AA200" s="64"/>
      <c r="AB200" s="60"/>
      <c r="AC200" s="64"/>
      <c r="AD200" s="64"/>
      <c r="AE200" s="64"/>
      <c r="AF200" s="64"/>
      <c r="AG200" s="60"/>
      <c r="AH200" s="64"/>
      <c r="AI200" s="64"/>
      <c r="AJ200" s="64"/>
    </row>
    <row r="201" spans="2:36" hidden="1" outlineLevel="1" x14ac:dyDescent="0.25">
      <c r="B201" s="229" t="s">
        <v>195</v>
      </c>
      <c r="C201" s="229" t="s">
        <v>195</v>
      </c>
      <c r="E201" s="78" t="s">
        <v>173</v>
      </c>
      <c r="F201" s="21">
        <f t="shared" ref="F201:H201" si="364">F243</f>
        <v>0</v>
      </c>
      <c r="G201" s="21">
        <f t="shared" si="364"/>
        <v>0</v>
      </c>
      <c r="H201" s="21">
        <f t="shared" si="364"/>
        <v>0</v>
      </c>
      <c r="I201" s="85">
        <f t="shared" si="362"/>
        <v>0</v>
      </c>
      <c r="J201" s="85">
        <f t="shared" si="349"/>
        <v>0</v>
      </c>
      <c r="K201" s="85">
        <f t="shared" si="350"/>
        <v>0</v>
      </c>
      <c r="L201" s="85">
        <f t="shared" si="351"/>
        <v>0</v>
      </c>
      <c r="M201" s="17">
        <f t="shared" si="352"/>
        <v>0</v>
      </c>
      <c r="N201" s="85">
        <f t="shared" si="353"/>
        <v>0</v>
      </c>
      <c r="O201" s="85">
        <f t="shared" si="354"/>
        <v>0</v>
      </c>
      <c r="P201" s="85">
        <f t="shared" si="355"/>
        <v>0</v>
      </c>
      <c r="Q201" s="85">
        <f t="shared" si="356"/>
        <v>0</v>
      </c>
      <c r="R201" s="22">
        <f t="shared" si="357"/>
        <v>0</v>
      </c>
      <c r="S201" s="23">
        <f t="shared" si="358"/>
        <v>0</v>
      </c>
      <c r="T201" s="23">
        <f t="shared" si="359"/>
        <v>0</v>
      </c>
      <c r="U201" s="23">
        <f t="shared" si="360"/>
        <v>0</v>
      </c>
      <c r="W201" s="78" t="str">
        <f t="shared" si="363"/>
        <v>Gains on Sale of Investments</v>
      </c>
      <c r="X201" s="64"/>
      <c r="Y201" s="64"/>
      <c r="Z201" s="64"/>
      <c r="AA201" s="64"/>
      <c r="AB201" s="60"/>
      <c r="AC201" s="64"/>
      <c r="AD201" s="64"/>
      <c r="AE201" s="64"/>
      <c r="AF201" s="64"/>
      <c r="AG201" s="60"/>
      <c r="AH201" s="64"/>
      <c r="AI201" s="64"/>
      <c r="AJ201" s="64"/>
    </row>
    <row r="202" spans="2:36" hidden="1" outlineLevel="1" x14ac:dyDescent="0.25">
      <c r="B202" s="229" t="s">
        <v>195</v>
      </c>
      <c r="C202" s="229" t="s">
        <v>195</v>
      </c>
      <c r="E202" s="78" t="s">
        <v>174</v>
      </c>
      <c r="F202" s="21">
        <f t="shared" ref="F202:H202" si="365">F244</f>
        <v>0</v>
      </c>
      <c r="G202" s="21">
        <f t="shared" si="365"/>
        <v>0</v>
      </c>
      <c r="H202" s="21">
        <f t="shared" si="365"/>
        <v>0</v>
      </c>
      <c r="I202" s="85">
        <f t="shared" si="362"/>
        <v>0</v>
      </c>
      <c r="J202" s="85">
        <f t="shared" si="349"/>
        <v>0</v>
      </c>
      <c r="K202" s="85">
        <f t="shared" si="350"/>
        <v>0</v>
      </c>
      <c r="L202" s="85">
        <f t="shared" si="351"/>
        <v>0</v>
      </c>
      <c r="M202" s="17">
        <f t="shared" si="352"/>
        <v>0</v>
      </c>
      <c r="N202" s="85">
        <f t="shared" si="353"/>
        <v>0</v>
      </c>
      <c r="O202" s="85">
        <f t="shared" si="354"/>
        <v>0</v>
      </c>
      <c r="P202" s="85">
        <f t="shared" si="355"/>
        <v>0</v>
      </c>
      <c r="Q202" s="85">
        <f t="shared" si="356"/>
        <v>0</v>
      </c>
      <c r="R202" s="22">
        <f t="shared" si="357"/>
        <v>0</v>
      </c>
      <c r="S202" s="23">
        <f t="shared" si="358"/>
        <v>0</v>
      </c>
      <c r="T202" s="23">
        <f t="shared" si="359"/>
        <v>0</v>
      </c>
      <c r="U202" s="23">
        <f t="shared" si="360"/>
        <v>0</v>
      </c>
      <c r="W202" s="78" t="str">
        <f t="shared" si="363"/>
        <v>Gains on sale of  long-lived assets</v>
      </c>
      <c r="X202" s="64"/>
      <c r="Y202" s="64"/>
      <c r="Z202" s="64"/>
      <c r="AA202" s="64"/>
      <c r="AB202" s="60"/>
      <c r="AC202" s="64"/>
      <c r="AD202" s="64"/>
      <c r="AE202" s="64"/>
      <c r="AF202" s="64"/>
      <c r="AG202" s="60"/>
      <c r="AH202" s="64"/>
      <c r="AI202" s="64"/>
      <c r="AJ202" s="64"/>
    </row>
    <row r="203" spans="2:36" hidden="1" outlineLevel="1" x14ac:dyDescent="0.25">
      <c r="B203" s="229" t="s">
        <v>195</v>
      </c>
      <c r="C203" s="229" t="s">
        <v>195</v>
      </c>
      <c r="E203" s="78" t="s">
        <v>175</v>
      </c>
      <c r="F203" s="21">
        <f t="shared" ref="F203:H203" si="366">F245</f>
        <v>0</v>
      </c>
      <c r="G203" s="21">
        <f t="shared" si="366"/>
        <v>0</v>
      </c>
      <c r="H203" s="21">
        <f t="shared" si="366"/>
        <v>0</v>
      </c>
      <c r="I203" s="85">
        <f t="shared" si="362"/>
        <v>0</v>
      </c>
      <c r="J203" s="85">
        <f t="shared" si="349"/>
        <v>0</v>
      </c>
      <c r="K203" s="85">
        <f t="shared" si="350"/>
        <v>0</v>
      </c>
      <c r="L203" s="85">
        <f t="shared" si="351"/>
        <v>0</v>
      </c>
      <c r="M203" s="17">
        <f t="shared" si="352"/>
        <v>0</v>
      </c>
      <c r="N203" s="85">
        <f t="shared" si="353"/>
        <v>0</v>
      </c>
      <c r="O203" s="85">
        <f t="shared" si="354"/>
        <v>0</v>
      </c>
      <c r="P203" s="85">
        <f t="shared" si="355"/>
        <v>0</v>
      </c>
      <c r="Q203" s="85">
        <f t="shared" si="356"/>
        <v>0</v>
      </c>
      <c r="R203" s="22">
        <f t="shared" si="357"/>
        <v>0</v>
      </c>
      <c r="S203" s="23">
        <f t="shared" si="358"/>
        <v>0</v>
      </c>
      <c r="T203" s="23">
        <f t="shared" si="359"/>
        <v>0</v>
      </c>
      <c r="U203" s="23">
        <f t="shared" si="360"/>
        <v>0</v>
      </c>
      <c r="W203" s="78" t="str">
        <f t="shared" si="363"/>
        <v>Foreign Exchange</v>
      </c>
      <c r="X203" s="64"/>
      <c r="Y203" s="64"/>
      <c r="Z203" s="64"/>
      <c r="AA203" s="64"/>
      <c r="AB203" s="60"/>
      <c r="AC203" s="64"/>
      <c r="AD203" s="64"/>
      <c r="AE203" s="64"/>
      <c r="AF203" s="64"/>
      <c r="AG203" s="60"/>
      <c r="AH203" s="64"/>
      <c r="AI203" s="64"/>
      <c r="AJ203" s="64"/>
    </row>
    <row r="204" spans="2:36" hidden="1" outlineLevel="1" x14ac:dyDescent="0.25">
      <c r="B204" s="229" t="s">
        <v>195</v>
      </c>
      <c r="C204" s="229" t="s">
        <v>195</v>
      </c>
      <c r="E204" s="78" t="s">
        <v>176</v>
      </c>
      <c r="F204" s="21">
        <f t="shared" ref="F204:H204" si="367">F246</f>
        <v>0</v>
      </c>
      <c r="G204" s="21">
        <f t="shared" si="367"/>
        <v>0</v>
      </c>
      <c r="H204" s="21">
        <f t="shared" si="367"/>
        <v>0</v>
      </c>
      <c r="I204" s="85">
        <f t="shared" si="362"/>
        <v>0</v>
      </c>
      <c r="J204" s="85">
        <f t="shared" si="349"/>
        <v>0</v>
      </c>
      <c r="K204" s="85">
        <f t="shared" si="350"/>
        <v>0</v>
      </c>
      <c r="L204" s="85">
        <f t="shared" si="351"/>
        <v>0</v>
      </c>
      <c r="M204" s="17">
        <f t="shared" si="352"/>
        <v>0</v>
      </c>
      <c r="N204" s="85">
        <f t="shared" si="353"/>
        <v>0</v>
      </c>
      <c r="O204" s="85">
        <f t="shared" si="354"/>
        <v>0</v>
      </c>
      <c r="P204" s="85">
        <f t="shared" si="355"/>
        <v>0</v>
      </c>
      <c r="Q204" s="85">
        <f t="shared" si="356"/>
        <v>0</v>
      </c>
      <c r="R204" s="22">
        <f t="shared" si="357"/>
        <v>0</v>
      </c>
      <c r="S204" s="23">
        <f t="shared" si="358"/>
        <v>0</v>
      </c>
      <c r="T204" s="23">
        <f t="shared" si="359"/>
        <v>0</v>
      </c>
      <c r="U204" s="23">
        <f t="shared" si="360"/>
        <v>0</v>
      </c>
      <c r="W204" s="78" t="str">
        <f t="shared" si="363"/>
        <v>One-time legal settlements</v>
      </c>
      <c r="X204" s="64"/>
      <c r="Y204" s="64"/>
      <c r="Z204" s="64"/>
      <c r="AA204" s="64"/>
      <c r="AB204" s="60"/>
      <c r="AC204" s="64"/>
      <c r="AD204" s="64"/>
      <c r="AE204" s="64"/>
      <c r="AF204" s="64"/>
      <c r="AG204" s="60"/>
      <c r="AH204" s="64"/>
      <c r="AI204" s="64"/>
      <c r="AJ204" s="64"/>
    </row>
    <row r="205" spans="2:36" hidden="1" outlineLevel="1" x14ac:dyDescent="0.25">
      <c r="B205" s="229" t="s">
        <v>195</v>
      </c>
      <c r="C205" s="229" t="s">
        <v>195</v>
      </c>
      <c r="E205" s="78" t="s">
        <v>178</v>
      </c>
      <c r="F205" s="21">
        <f t="shared" ref="F205:H205" si="368">F247</f>
        <v>0</v>
      </c>
      <c r="G205" s="21">
        <f t="shared" si="368"/>
        <v>0</v>
      </c>
      <c r="H205" s="21">
        <f t="shared" si="368"/>
        <v>0</v>
      </c>
      <c r="I205" s="85">
        <f t="shared" si="362"/>
        <v>0</v>
      </c>
      <c r="J205" s="85">
        <f t="shared" si="349"/>
        <v>0</v>
      </c>
      <c r="K205" s="85">
        <f t="shared" si="350"/>
        <v>0</v>
      </c>
      <c r="L205" s="85">
        <f t="shared" si="351"/>
        <v>0</v>
      </c>
      <c r="M205" s="17">
        <f t="shared" si="352"/>
        <v>0</v>
      </c>
      <c r="N205" s="85">
        <f t="shared" si="353"/>
        <v>0</v>
      </c>
      <c r="O205" s="85">
        <f t="shared" si="354"/>
        <v>0</v>
      </c>
      <c r="P205" s="85">
        <f t="shared" si="355"/>
        <v>0</v>
      </c>
      <c r="Q205" s="85">
        <f t="shared" si="356"/>
        <v>0</v>
      </c>
      <c r="R205" s="22">
        <f t="shared" si="357"/>
        <v>0</v>
      </c>
      <c r="S205" s="23">
        <f t="shared" si="358"/>
        <v>0</v>
      </c>
      <c r="T205" s="23">
        <f t="shared" si="359"/>
        <v>0</v>
      </c>
      <c r="U205" s="23">
        <f t="shared" si="360"/>
        <v>0</v>
      </c>
      <c r="W205" s="78" t="str">
        <f t="shared" si="363"/>
        <v>Other non-opex income</v>
      </c>
      <c r="X205" s="64"/>
      <c r="Y205" s="64"/>
      <c r="Z205" s="64"/>
      <c r="AA205" s="64"/>
      <c r="AB205" s="60"/>
      <c r="AC205" s="64"/>
      <c r="AD205" s="64"/>
      <c r="AE205" s="64"/>
      <c r="AF205" s="64"/>
      <c r="AG205" s="60"/>
      <c r="AH205" s="64"/>
      <c r="AI205" s="64"/>
      <c r="AJ205" s="64"/>
    </row>
    <row r="206" spans="2:36" hidden="1" outlineLevel="1" x14ac:dyDescent="0.25">
      <c r="B206" s="229" t="s">
        <v>195</v>
      </c>
      <c r="C206" s="229" t="s">
        <v>195</v>
      </c>
      <c r="E206" s="78" t="s">
        <v>178</v>
      </c>
      <c r="F206" s="21">
        <f t="shared" ref="F206:H206" si="369">F248</f>
        <v>0</v>
      </c>
      <c r="G206" s="21">
        <f t="shared" si="369"/>
        <v>0</v>
      </c>
      <c r="H206" s="21">
        <f t="shared" si="369"/>
        <v>0</v>
      </c>
      <c r="I206" s="85">
        <f t="shared" si="362"/>
        <v>0</v>
      </c>
      <c r="J206" s="85">
        <f t="shared" si="349"/>
        <v>0</v>
      </c>
      <c r="K206" s="85">
        <f t="shared" si="350"/>
        <v>0</v>
      </c>
      <c r="L206" s="85">
        <f t="shared" si="351"/>
        <v>0</v>
      </c>
      <c r="M206" s="17">
        <f t="shared" si="352"/>
        <v>0</v>
      </c>
      <c r="N206" s="85">
        <f t="shared" si="353"/>
        <v>0</v>
      </c>
      <c r="O206" s="85">
        <f t="shared" si="354"/>
        <v>0</v>
      </c>
      <c r="P206" s="85">
        <f t="shared" si="355"/>
        <v>0</v>
      </c>
      <c r="Q206" s="85">
        <f t="shared" si="356"/>
        <v>0</v>
      </c>
      <c r="R206" s="22">
        <f t="shared" si="357"/>
        <v>0</v>
      </c>
      <c r="S206" s="23">
        <f t="shared" si="358"/>
        <v>0</v>
      </c>
      <c r="T206" s="23">
        <f t="shared" si="359"/>
        <v>0</v>
      </c>
      <c r="U206" s="23">
        <f t="shared" si="360"/>
        <v>0</v>
      </c>
      <c r="W206" s="78" t="str">
        <f t="shared" si="363"/>
        <v>Other non-opex income</v>
      </c>
      <c r="X206" s="64"/>
      <c r="Y206" s="64"/>
      <c r="Z206" s="64"/>
      <c r="AA206" s="64"/>
      <c r="AB206" s="60"/>
      <c r="AC206" s="64"/>
      <c r="AD206" s="64"/>
      <c r="AE206" s="64"/>
      <c r="AF206" s="64"/>
      <c r="AG206" s="60"/>
      <c r="AH206" s="64"/>
      <c r="AI206" s="64"/>
      <c r="AJ206" s="64"/>
    </row>
    <row r="207" spans="2:36" hidden="1" outlineLevel="1" x14ac:dyDescent="0.25">
      <c r="B207" s="229" t="s">
        <v>195</v>
      </c>
      <c r="C207" s="229" t="s">
        <v>195</v>
      </c>
      <c r="E207" s="78" t="s">
        <v>178</v>
      </c>
      <c r="F207" s="21">
        <f t="shared" ref="F207:H207" si="370">F249</f>
        <v>0</v>
      </c>
      <c r="G207" s="21">
        <f t="shared" si="370"/>
        <v>0</v>
      </c>
      <c r="H207" s="21">
        <f t="shared" si="370"/>
        <v>0</v>
      </c>
      <c r="I207" s="85">
        <f t="shared" si="362"/>
        <v>0</v>
      </c>
      <c r="J207" s="85">
        <f t="shared" si="349"/>
        <v>0</v>
      </c>
      <c r="K207" s="85">
        <f t="shared" si="350"/>
        <v>0</v>
      </c>
      <c r="L207" s="85">
        <f t="shared" si="351"/>
        <v>0</v>
      </c>
      <c r="M207" s="17">
        <f t="shared" si="352"/>
        <v>0</v>
      </c>
      <c r="N207" s="85">
        <f t="shared" si="353"/>
        <v>0</v>
      </c>
      <c r="O207" s="85">
        <f t="shared" si="354"/>
        <v>0</v>
      </c>
      <c r="P207" s="85">
        <f t="shared" si="355"/>
        <v>0</v>
      </c>
      <c r="Q207" s="85">
        <f t="shared" si="356"/>
        <v>0</v>
      </c>
      <c r="R207" s="22">
        <f t="shared" si="357"/>
        <v>0</v>
      </c>
      <c r="S207" s="23">
        <f t="shared" si="358"/>
        <v>0</v>
      </c>
      <c r="T207" s="23">
        <f t="shared" si="359"/>
        <v>0</v>
      </c>
      <c r="U207" s="23">
        <f t="shared" si="360"/>
        <v>0</v>
      </c>
      <c r="W207" s="78" t="str">
        <f t="shared" si="363"/>
        <v>Other non-opex income</v>
      </c>
      <c r="X207" s="64"/>
      <c r="Y207" s="64"/>
      <c r="Z207" s="64"/>
      <c r="AA207" s="64"/>
      <c r="AB207" s="60"/>
      <c r="AC207" s="64"/>
      <c r="AD207" s="64"/>
      <c r="AE207" s="64"/>
      <c r="AF207" s="64"/>
      <c r="AG207" s="60"/>
      <c r="AH207" s="64"/>
      <c r="AI207" s="64"/>
      <c r="AJ207" s="64"/>
    </row>
    <row r="208" spans="2:36" hidden="1" outlineLevel="1" x14ac:dyDescent="0.25">
      <c r="B208" s="229" t="s">
        <v>195</v>
      </c>
      <c r="C208" s="229" t="s">
        <v>195</v>
      </c>
      <c r="E208" s="78" t="s">
        <v>178</v>
      </c>
      <c r="F208" s="21">
        <f t="shared" ref="F208:H208" si="371">F250</f>
        <v>0</v>
      </c>
      <c r="G208" s="21">
        <f t="shared" si="371"/>
        <v>0</v>
      </c>
      <c r="H208" s="21">
        <f t="shared" si="371"/>
        <v>0</v>
      </c>
      <c r="I208" s="85">
        <f t="shared" si="362"/>
        <v>0</v>
      </c>
      <c r="J208" s="85">
        <f t="shared" si="349"/>
        <v>0</v>
      </c>
      <c r="K208" s="85">
        <f t="shared" si="350"/>
        <v>0</v>
      </c>
      <c r="L208" s="85">
        <f t="shared" si="351"/>
        <v>0</v>
      </c>
      <c r="M208" s="17">
        <f t="shared" si="352"/>
        <v>0</v>
      </c>
      <c r="N208" s="85">
        <f t="shared" si="353"/>
        <v>0</v>
      </c>
      <c r="O208" s="85">
        <f t="shared" si="354"/>
        <v>0</v>
      </c>
      <c r="P208" s="85">
        <f t="shared" si="355"/>
        <v>0</v>
      </c>
      <c r="Q208" s="85">
        <f t="shared" si="356"/>
        <v>0</v>
      </c>
      <c r="R208" s="22">
        <f t="shared" si="357"/>
        <v>0</v>
      </c>
      <c r="S208" s="23">
        <f t="shared" si="358"/>
        <v>0</v>
      </c>
      <c r="T208" s="23">
        <f t="shared" si="359"/>
        <v>0</v>
      </c>
      <c r="U208" s="23">
        <f t="shared" si="360"/>
        <v>0</v>
      </c>
      <c r="W208" s="78" t="str">
        <f t="shared" si="363"/>
        <v>Other non-opex income</v>
      </c>
      <c r="X208" s="64"/>
      <c r="Y208" s="64"/>
      <c r="Z208" s="64"/>
      <c r="AA208" s="64"/>
      <c r="AB208" s="60"/>
      <c r="AC208" s="64"/>
      <c r="AD208" s="64"/>
      <c r="AE208" s="64"/>
      <c r="AF208" s="64"/>
      <c r="AG208" s="60"/>
      <c r="AH208" s="64"/>
      <c r="AI208" s="64"/>
      <c r="AJ208" s="64"/>
    </row>
    <row r="209" spans="5:21" ht="15.75" hidden="1" outlineLevel="1" thickBot="1" x14ac:dyDescent="0.3">
      <c r="E209" s="8" t="s">
        <v>27</v>
      </c>
      <c r="F209" s="9">
        <f>SUM(F199:F208)</f>
        <v>0</v>
      </c>
      <c r="G209" s="9">
        <f t="shared" ref="G209" si="372">SUM(G199:G208)</f>
        <v>0</v>
      </c>
      <c r="H209" s="9">
        <f t="shared" ref="H209" si="373">SUM(H199:H208)</f>
        <v>0</v>
      </c>
      <c r="I209" s="86">
        <f t="shared" ref="I209" si="374">SUM(I199:I208)</f>
        <v>0</v>
      </c>
      <c r="J209" s="86">
        <f t="shared" ref="J209" si="375">SUM(J199:J208)</f>
        <v>0</v>
      </c>
      <c r="K209" s="86">
        <f t="shared" ref="K209" si="376">SUM(K199:K208)</f>
        <v>0</v>
      </c>
      <c r="L209" s="86">
        <f t="shared" ref="L209" si="377">SUM(L199:L208)</f>
        <v>0</v>
      </c>
      <c r="M209" s="18">
        <f t="shared" ref="M209" si="378">SUM(M199:M208)</f>
        <v>0</v>
      </c>
      <c r="N209" s="86">
        <f t="shared" ref="N209" si="379">SUM(N199:N208)</f>
        <v>0</v>
      </c>
      <c r="O209" s="86">
        <f t="shared" ref="O209" si="380">SUM(O199:O208)</f>
        <v>0</v>
      </c>
      <c r="P209" s="86">
        <f t="shared" ref="P209" si="381">SUM(P199:P208)</f>
        <v>0</v>
      </c>
      <c r="Q209" s="86">
        <f t="shared" ref="Q209" si="382">SUM(Q199:Q208)</f>
        <v>0</v>
      </c>
      <c r="R209" s="19">
        <f t="shared" ref="R209" si="383">SUM(R199:R208)</f>
        <v>0</v>
      </c>
      <c r="S209" s="20">
        <f t="shared" ref="S209" si="384">SUM(S199:S208)</f>
        <v>0</v>
      </c>
      <c r="T209" s="20">
        <f t="shared" ref="T209" si="385">SUM(T199:T208)</f>
        <v>0</v>
      </c>
      <c r="U209" s="20">
        <f t="shared" ref="U209" si="386">SUM(U199:U208)</f>
        <v>0</v>
      </c>
    </row>
    <row r="210" spans="5:21" ht="15.75" hidden="1" outlineLevel="1" thickTop="1" x14ac:dyDescent="0.25"/>
    <row r="211" spans="5:21" hidden="1" outlineLevel="1" x14ac:dyDescent="0.25"/>
    <row r="212" spans="5:21" hidden="1" outlineLevel="1" x14ac:dyDescent="0.25"/>
    <row r="213" spans="5:21" ht="18.75" collapsed="1" x14ac:dyDescent="0.3">
      <c r="E213" s="70" t="s">
        <v>40</v>
      </c>
      <c r="F213" s="70"/>
      <c r="G213" s="70"/>
      <c r="H213" s="70"/>
      <c r="I213" s="70"/>
      <c r="J213" s="70"/>
      <c r="K213" s="70"/>
      <c r="L213" s="70"/>
      <c r="M213" s="70"/>
      <c r="N213" s="70"/>
      <c r="O213" s="70"/>
      <c r="P213" s="70"/>
      <c r="Q213" s="70"/>
      <c r="R213" s="70"/>
      <c r="S213" s="70"/>
      <c r="T213" s="70"/>
      <c r="U213" s="70"/>
    </row>
    <row r="214" spans="5:21" x14ac:dyDescent="0.25">
      <c r="E214" s="52" t="s">
        <v>177</v>
      </c>
    </row>
    <row r="217" spans="5:21" x14ac:dyDescent="0.25">
      <c r="E217" s="4" t="s">
        <v>162</v>
      </c>
    </row>
    <row r="218" spans="5:21" x14ac:dyDescent="0.25">
      <c r="E218" s="6" t="s">
        <v>25</v>
      </c>
    </row>
    <row r="220" spans="5:21" x14ac:dyDescent="0.25">
      <c r="F220" s="12">
        <f>Inputs!$C$7</f>
        <v>2023</v>
      </c>
      <c r="G220" s="12">
        <f>Inputs!$C$8</f>
        <v>2024</v>
      </c>
      <c r="H220" s="12">
        <f>Inputs!$C$9</f>
        <v>2025</v>
      </c>
      <c r="I220" s="13" t="s">
        <v>1</v>
      </c>
      <c r="J220" s="13" t="s">
        <v>2</v>
      </c>
      <c r="K220" s="13" t="s">
        <v>3</v>
      </c>
      <c r="L220" s="13" t="s">
        <v>4</v>
      </c>
      <c r="M220" s="13">
        <f>Inputs!$C$10</f>
        <v>2026</v>
      </c>
      <c r="N220" s="14" t="s">
        <v>1</v>
      </c>
      <c r="O220" s="14" t="s">
        <v>2</v>
      </c>
      <c r="P220" s="14" t="s">
        <v>3</v>
      </c>
      <c r="Q220" s="14" t="s">
        <v>4</v>
      </c>
      <c r="R220" s="15">
        <f>Inputs!$C$11</f>
        <v>2027</v>
      </c>
      <c r="S220" s="16">
        <f>Inputs!$C$12</f>
        <v>2028</v>
      </c>
      <c r="T220" s="16">
        <f>Inputs!$C$13</f>
        <v>2029</v>
      </c>
      <c r="U220" s="16">
        <f>Inputs!$C$14</f>
        <v>2030</v>
      </c>
    </row>
    <row r="221" spans="5:21" x14ac:dyDescent="0.25">
      <c r="F221" s="71" t="s">
        <v>63</v>
      </c>
      <c r="G221" s="71" t="s">
        <v>63</v>
      </c>
      <c r="H221" s="71" t="s">
        <v>63</v>
      </c>
      <c r="I221" s="71" t="s">
        <v>63</v>
      </c>
      <c r="J221" s="71" t="s">
        <v>63</v>
      </c>
      <c r="K221" s="71" t="s">
        <v>63</v>
      </c>
      <c r="L221" s="71" t="s">
        <v>63</v>
      </c>
      <c r="M221" s="71" t="s">
        <v>63</v>
      </c>
      <c r="N221" s="71" t="s">
        <v>63</v>
      </c>
      <c r="O221" s="71" t="s">
        <v>63</v>
      </c>
      <c r="P221" s="71" t="s">
        <v>63</v>
      </c>
      <c r="Q221" s="71" t="s">
        <v>63</v>
      </c>
      <c r="R221" s="71" t="s">
        <v>63</v>
      </c>
      <c r="S221" s="71" t="s">
        <v>63</v>
      </c>
      <c r="T221" s="71" t="s">
        <v>63</v>
      </c>
      <c r="U221" s="71" t="s">
        <v>63</v>
      </c>
    </row>
    <row r="222" spans="5:21" x14ac:dyDescent="0.25">
      <c r="E222" s="78" t="s">
        <v>163</v>
      </c>
      <c r="F222" s="21">
        <f>F356</f>
        <v>0</v>
      </c>
      <c r="G222" s="21">
        <f t="shared" ref="G222:H222" si="387">G356</f>
        <v>0</v>
      </c>
      <c r="H222" s="21">
        <f t="shared" si="387"/>
        <v>0</v>
      </c>
      <c r="I222" s="85">
        <f t="shared" ref="I222:I231" si="388">IF(X222="",I356,X222)</f>
        <v>0</v>
      </c>
      <c r="J222" s="85">
        <f t="shared" ref="J222:J231" si="389">IF(Y222="",J356,Y222)</f>
        <v>0</v>
      </c>
      <c r="K222" s="85">
        <f t="shared" ref="K222:K231" si="390">IF(Z222="",K356,Z222)</f>
        <v>0</v>
      </c>
      <c r="L222" s="85">
        <f t="shared" ref="L222:L231" si="391">IF(AA222="",L356,AA222)</f>
        <v>0</v>
      </c>
      <c r="M222" s="17">
        <f t="shared" ref="M222:M231" si="392">SUM(I222:L222)</f>
        <v>0</v>
      </c>
      <c r="N222" s="85">
        <f t="shared" ref="N222:N231" si="393">IF(AC222="",N356,AC222)</f>
        <v>0</v>
      </c>
      <c r="O222" s="85">
        <f t="shared" ref="O222:O231" si="394">IF(AD222="",O356,AD222)</f>
        <v>0</v>
      </c>
      <c r="P222" s="85">
        <f t="shared" ref="P222:P231" si="395">IF(AE222="",P356,AE222)</f>
        <v>0</v>
      </c>
      <c r="Q222" s="85">
        <f t="shared" ref="Q222:Q231" si="396">IF(AF222="",Q356,AF222)</f>
        <v>0</v>
      </c>
      <c r="R222" s="22">
        <f t="shared" ref="R222:R231" si="397">SUM(N222:Q222)</f>
        <v>0</v>
      </c>
      <c r="S222" s="23">
        <f t="shared" ref="S222:S231" si="398">IF(AH222="",S356,AH222)</f>
        <v>0</v>
      </c>
      <c r="T222" s="23">
        <f t="shared" ref="T222:T231" si="399">IF(AI222="",T356,AI222)</f>
        <v>0</v>
      </c>
      <c r="U222" s="23">
        <f t="shared" ref="U222:U231" si="400">IF(AJ222="",U356,AJ222)</f>
        <v>0</v>
      </c>
    </row>
    <row r="223" spans="5:21" x14ac:dyDescent="0.25">
      <c r="E223" s="78" t="s">
        <v>164</v>
      </c>
      <c r="F223" s="21">
        <f t="shared" ref="F223:H223" si="401">F357</f>
        <v>0</v>
      </c>
      <c r="G223" s="21">
        <f t="shared" si="401"/>
        <v>0</v>
      </c>
      <c r="H223" s="21">
        <f t="shared" si="401"/>
        <v>0</v>
      </c>
      <c r="I223" s="85">
        <f t="shared" si="388"/>
        <v>0</v>
      </c>
      <c r="J223" s="85">
        <f t="shared" si="389"/>
        <v>0</v>
      </c>
      <c r="K223" s="85">
        <f t="shared" si="390"/>
        <v>0</v>
      </c>
      <c r="L223" s="85">
        <f t="shared" si="391"/>
        <v>0</v>
      </c>
      <c r="M223" s="17">
        <f t="shared" si="392"/>
        <v>0</v>
      </c>
      <c r="N223" s="85">
        <f t="shared" si="393"/>
        <v>0</v>
      </c>
      <c r="O223" s="85">
        <f t="shared" si="394"/>
        <v>0</v>
      </c>
      <c r="P223" s="85">
        <f t="shared" si="395"/>
        <v>0</v>
      </c>
      <c r="Q223" s="85">
        <f t="shared" si="396"/>
        <v>0</v>
      </c>
      <c r="R223" s="22">
        <f t="shared" si="397"/>
        <v>0</v>
      </c>
      <c r="S223" s="23">
        <f t="shared" si="398"/>
        <v>0</v>
      </c>
      <c r="T223" s="23">
        <f t="shared" si="399"/>
        <v>0</v>
      </c>
      <c r="U223" s="23">
        <f t="shared" si="400"/>
        <v>0</v>
      </c>
    </row>
    <row r="224" spans="5:21" x14ac:dyDescent="0.25">
      <c r="E224" s="78" t="s">
        <v>165</v>
      </c>
      <c r="F224" s="21">
        <f t="shared" ref="F224:H224" si="402">F358</f>
        <v>0</v>
      </c>
      <c r="G224" s="21">
        <f t="shared" si="402"/>
        <v>0</v>
      </c>
      <c r="H224" s="21">
        <f t="shared" si="402"/>
        <v>0</v>
      </c>
      <c r="I224" s="85">
        <f t="shared" si="388"/>
        <v>0</v>
      </c>
      <c r="J224" s="85">
        <f t="shared" si="389"/>
        <v>0</v>
      </c>
      <c r="K224" s="85">
        <f t="shared" si="390"/>
        <v>0</v>
      </c>
      <c r="L224" s="85">
        <f t="shared" si="391"/>
        <v>0</v>
      </c>
      <c r="M224" s="17">
        <f t="shared" si="392"/>
        <v>0</v>
      </c>
      <c r="N224" s="85">
        <f t="shared" si="393"/>
        <v>0</v>
      </c>
      <c r="O224" s="85">
        <f t="shared" si="394"/>
        <v>0</v>
      </c>
      <c r="P224" s="85">
        <f t="shared" si="395"/>
        <v>0</v>
      </c>
      <c r="Q224" s="85">
        <f t="shared" si="396"/>
        <v>0</v>
      </c>
      <c r="R224" s="22">
        <f t="shared" si="397"/>
        <v>0</v>
      </c>
      <c r="S224" s="23">
        <f t="shared" si="398"/>
        <v>0</v>
      </c>
      <c r="T224" s="23">
        <f t="shared" si="399"/>
        <v>0</v>
      </c>
      <c r="U224" s="23">
        <f t="shared" si="400"/>
        <v>0</v>
      </c>
    </row>
    <row r="225" spans="5:24" x14ac:dyDescent="0.25">
      <c r="E225" s="78" t="s">
        <v>166</v>
      </c>
      <c r="F225" s="21">
        <f t="shared" ref="F225:H225" si="403">F359</f>
        <v>0</v>
      </c>
      <c r="G225" s="21">
        <f t="shared" si="403"/>
        <v>0</v>
      </c>
      <c r="H225" s="21">
        <f t="shared" si="403"/>
        <v>0</v>
      </c>
      <c r="I225" s="85">
        <f t="shared" si="388"/>
        <v>0</v>
      </c>
      <c r="J225" s="85">
        <f t="shared" si="389"/>
        <v>0</v>
      </c>
      <c r="K225" s="85">
        <f t="shared" si="390"/>
        <v>0</v>
      </c>
      <c r="L225" s="85">
        <f t="shared" si="391"/>
        <v>0</v>
      </c>
      <c r="M225" s="17">
        <f t="shared" si="392"/>
        <v>0</v>
      </c>
      <c r="N225" s="85">
        <f t="shared" si="393"/>
        <v>0</v>
      </c>
      <c r="O225" s="85">
        <f t="shared" si="394"/>
        <v>0</v>
      </c>
      <c r="P225" s="85">
        <f t="shared" si="395"/>
        <v>0</v>
      </c>
      <c r="Q225" s="85">
        <f t="shared" si="396"/>
        <v>0</v>
      </c>
      <c r="R225" s="22">
        <f t="shared" si="397"/>
        <v>0</v>
      </c>
      <c r="S225" s="23">
        <f t="shared" si="398"/>
        <v>0</v>
      </c>
      <c r="T225" s="23">
        <f t="shared" si="399"/>
        <v>0</v>
      </c>
      <c r="U225" s="23">
        <f t="shared" si="400"/>
        <v>0</v>
      </c>
      <c r="X225" s="54"/>
    </row>
    <row r="226" spans="5:24" x14ac:dyDescent="0.25">
      <c r="E226" s="78" t="s">
        <v>167</v>
      </c>
      <c r="F226" s="21">
        <f t="shared" ref="F226:H226" si="404">F360</f>
        <v>0</v>
      </c>
      <c r="G226" s="21">
        <f t="shared" si="404"/>
        <v>0</v>
      </c>
      <c r="H226" s="21">
        <f t="shared" si="404"/>
        <v>0</v>
      </c>
      <c r="I226" s="85">
        <f t="shared" si="388"/>
        <v>0</v>
      </c>
      <c r="J226" s="85">
        <f t="shared" si="389"/>
        <v>0</v>
      </c>
      <c r="K226" s="85">
        <f t="shared" si="390"/>
        <v>0</v>
      </c>
      <c r="L226" s="85">
        <f t="shared" si="391"/>
        <v>0</v>
      </c>
      <c r="M226" s="17">
        <f t="shared" si="392"/>
        <v>0</v>
      </c>
      <c r="N226" s="85">
        <f t="shared" si="393"/>
        <v>0</v>
      </c>
      <c r="O226" s="85">
        <f t="shared" si="394"/>
        <v>0</v>
      </c>
      <c r="P226" s="85">
        <f t="shared" si="395"/>
        <v>0</v>
      </c>
      <c r="Q226" s="85">
        <f t="shared" si="396"/>
        <v>0</v>
      </c>
      <c r="R226" s="22">
        <f t="shared" si="397"/>
        <v>0</v>
      </c>
      <c r="S226" s="23">
        <f t="shared" si="398"/>
        <v>0</v>
      </c>
      <c r="T226" s="23">
        <f t="shared" si="399"/>
        <v>0</v>
      </c>
      <c r="U226" s="23">
        <f t="shared" si="400"/>
        <v>0</v>
      </c>
    </row>
    <row r="227" spans="5:24" x14ac:dyDescent="0.25">
      <c r="E227" s="78" t="s">
        <v>168</v>
      </c>
      <c r="F227" s="21">
        <f t="shared" ref="F227:H227" si="405">F361</f>
        <v>0</v>
      </c>
      <c r="G227" s="21">
        <f t="shared" si="405"/>
        <v>0</v>
      </c>
      <c r="H227" s="21">
        <f t="shared" si="405"/>
        <v>0</v>
      </c>
      <c r="I227" s="85">
        <f t="shared" si="388"/>
        <v>0</v>
      </c>
      <c r="J227" s="85">
        <f t="shared" si="389"/>
        <v>0</v>
      </c>
      <c r="K227" s="85">
        <f t="shared" si="390"/>
        <v>0</v>
      </c>
      <c r="L227" s="85">
        <f t="shared" si="391"/>
        <v>0</v>
      </c>
      <c r="M227" s="17">
        <f t="shared" si="392"/>
        <v>0</v>
      </c>
      <c r="N227" s="85">
        <f t="shared" si="393"/>
        <v>0</v>
      </c>
      <c r="O227" s="85">
        <f t="shared" si="394"/>
        <v>0</v>
      </c>
      <c r="P227" s="85">
        <f t="shared" si="395"/>
        <v>0</v>
      </c>
      <c r="Q227" s="85">
        <f t="shared" si="396"/>
        <v>0</v>
      </c>
      <c r="R227" s="22">
        <f t="shared" si="397"/>
        <v>0</v>
      </c>
      <c r="S227" s="23">
        <f t="shared" si="398"/>
        <v>0</v>
      </c>
      <c r="T227" s="23">
        <f t="shared" si="399"/>
        <v>0</v>
      </c>
      <c r="U227" s="23">
        <f t="shared" si="400"/>
        <v>0</v>
      </c>
    </row>
    <row r="228" spans="5:24" x14ac:dyDescent="0.25">
      <c r="E228" s="78" t="s">
        <v>169</v>
      </c>
      <c r="F228" s="21">
        <f t="shared" ref="F228:H228" si="406">F362</f>
        <v>0</v>
      </c>
      <c r="G228" s="21">
        <f t="shared" si="406"/>
        <v>0</v>
      </c>
      <c r="H228" s="21">
        <f t="shared" si="406"/>
        <v>0</v>
      </c>
      <c r="I228" s="85">
        <f t="shared" si="388"/>
        <v>0</v>
      </c>
      <c r="J228" s="85">
        <f t="shared" si="389"/>
        <v>0</v>
      </c>
      <c r="K228" s="85">
        <f t="shared" si="390"/>
        <v>0</v>
      </c>
      <c r="L228" s="85">
        <f t="shared" si="391"/>
        <v>0</v>
      </c>
      <c r="M228" s="17">
        <f t="shared" si="392"/>
        <v>0</v>
      </c>
      <c r="N228" s="85">
        <f t="shared" si="393"/>
        <v>0</v>
      </c>
      <c r="O228" s="85">
        <f t="shared" si="394"/>
        <v>0</v>
      </c>
      <c r="P228" s="85">
        <f t="shared" si="395"/>
        <v>0</v>
      </c>
      <c r="Q228" s="85">
        <f t="shared" si="396"/>
        <v>0</v>
      </c>
      <c r="R228" s="22">
        <f t="shared" si="397"/>
        <v>0</v>
      </c>
      <c r="S228" s="23">
        <f t="shared" si="398"/>
        <v>0</v>
      </c>
      <c r="T228" s="23">
        <f t="shared" si="399"/>
        <v>0</v>
      </c>
      <c r="U228" s="23">
        <f t="shared" si="400"/>
        <v>0</v>
      </c>
    </row>
    <row r="229" spans="5:24" x14ac:dyDescent="0.25">
      <c r="E229" s="78" t="s">
        <v>169</v>
      </c>
      <c r="F229" s="21">
        <f t="shared" ref="F229:H229" si="407">F363</f>
        <v>0</v>
      </c>
      <c r="G229" s="21">
        <f t="shared" si="407"/>
        <v>0</v>
      </c>
      <c r="H229" s="21">
        <f t="shared" si="407"/>
        <v>0</v>
      </c>
      <c r="I229" s="85">
        <f t="shared" si="388"/>
        <v>0</v>
      </c>
      <c r="J229" s="85">
        <f t="shared" si="389"/>
        <v>0</v>
      </c>
      <c r="K229" s="85">
        <f t="shared" si="390"/>
        <v>0</v>
      </c>
      <c r="L229" s="85">
        <f t="shared" si="391"/>
        <v>0</v>
      </c>
      <c r="M229" s="17">
        <f t="shared" si="392"/>
        <v>0</v>
      </c>
      <c r="N229" s="85">
        <f t="shared" si="393"/>
        <v>0</v>
      </c>
      <c r="O229" s="85">
        <f t="shared" si="394"/>
        <v>0</v>
      </c>
      <c r="P229" s="85">
        <f t="shared" si="395"/>
        <v>0</v>
      </c>
      <c r="Q229" s="85">
        <f t="shared" si="396"/>
        <v>0</v>
      </c>
      <c r="R229" s="22">
        <f t="shared" si="397"/>
        <v>0</v>
      </c>
      <c r="S229" s="23">
        <f t="shared" si="398"/>
        <v>0</v>
      </c>
      <c r="T229" s="23">
        <f t="shared" si="399"/>
        <v>0</v>
      </c>
      <c r="U229" s="23">
        <f t="shared" si="400"/>
        <v>0</v>
      </c>
    </row>
    <row r="230" spans="5:24" x14ac:dyDescent="0.25">
      <c r="E230" s="78" t="s">
        <v>169</v>
      </c>
      <c r="F230" s="21">
        <f t="shared" ref="F230:H230" si="408">F364</f>
        <v>0</v>
      </c>
      <c r="G230" s="21">
        <f t="shared" si="408"/>
        <v>0</v>
      </c>
      <c r="H230" s="21">
        <f t="shared" si="408"/>
        <v>0</v>
      </c>
      <c r="I230" s="85">
        <f t="shared" si="388"/>
        <v>0</v>
      </c>
      <c r="J230" s="85">
        <f t="shared" si="389"/>
        <v>0</v>
      </c>
      <c r="K230" s="85">
        <f t="shared" si="390"/>
        <v>0</v>
      </c>
      <c r="L230" s="85">
        <f t="shared" si="391"/>
        <v>0</v>
      </c>
      <c r="M230" s="17">
        <f t="shared" si="392"/>
        <v>0</v>
      </c>
      <c r="N230" s="85">
        <f t="shared" si="393"/>
        <v>0</v>
      </c>
      <c r="O230" s="85">
        <f t="shared" si="394"/>
        <v>0</v>
      </c>
      <c r="P230" s="85">
        <f t="shared" si="395"/>
        <v>0</v>
      </c>
      <c r="Q230" s="85">
        <f t="shared" si="396"/>
        <v>0</v>
      </c>
      <c r="R230" s="22">
        <f t="shared" si="397"/>
        <v>0</v>
      </c>
      <c r="S230" s="23">
        <f t="shared" si="398"/>
        <v>0</v>
      </c>
      <c r="T230" s="23">
        <f t="shared" si="399"/>
        <v>0</v>
      </c>
      <c r="U230" s="23">
        <f t="shared" si="400"/>
        <v>0</v>
      </c>
    </row>
    <row r="231" spans="5:24" x14ac:dyDescent="0.25">
      <c r="E231" s="78" t="s">
        <v>169</v>
      </c>
      <c r="F231" s="21">
        <f t="shared" ref="F231:H231" si="409">F365</f>
        <v>0</v>
      </c>
      <c r="G231" s="21">
        <f t="shared" si="409"/>
        <v>0</v>
      </c>
      <c r="H231" s="21">
        <f t="shared" si="409"/>
        <v>0</v>
      </c>
      <c r="I231" s="85">
        <f t="shared" si="388"/>
        <v>0</v>
      </c>
      <c r="J231" s="85">
        <f t="shared" si="389"/>
        <v>0</v>
      </c>
      <c r="K231" s="85">
        <f t="shared" si="390"/>
        <v>0</v>
      </c>
      <c r="L231" s="85">
        <f t="shared" si="391"/>
        <v>0</v>
      </c>
      <c r="M231" s="17">
        <f t="shared" si="392"/>
        <v>0</v>
      </c>
      <c r="N231" s="85">
        <f t="shared" si="393"/>
        <v>0</v>
      </c>
      <c r="O231" s="85">
        <f t="shared" si="394"/>
        <v>0</v>
      </c>
      <c r="P231" s="85">
        <f t="shared" si="395"/>
        <v>0</v>
      </c>
      <c r="Q231" s="85">
        <f t="shared" si="396"/>
        <v>0</v>
      </c>
      <c r="R231" s="22">
        <f t="shared" si="397"/>
        <v>0</v>
      </c>
      <c r="S231" s="23">
        <f t="shared" si="398"/>
        <v>0</v>
      </c>
      <c r="T231" s="23">
        <f t="shared" si="399"/>
        <v>0</v>
      </c>
      <c r="U231" s="23">
        <f t="shared" si="400"/>
        <v>0</v>
      </c>
    </row>
    <row r="232" spans="5:24" ht="15.75" thickBot="1" x14ac:dyDescent="0.3">
      <c r="E232" s="8" t="s">
        <v>27</v>
      </c>
      <c r="F232" s="9">
        <f>SUM(F222:F231)</f>
        <v>0</v>
      </c>
      <c r="G232" s="9">
        <f t="shared" ref="G232" si="410">SUM(G222:G231)</f>
        <v>0</v>
      </c>
      <c r="H232" s="9">
        <f t="shared" ref="H232" si="411">SUM(H222:H231)</f>
        <v>0</v>
      </c>
      <c r="I232" s="86">
        <f t="shared" ref="I232" si="412">SUM(I222:I231)</f>
        <v>0</v>
      </c>
      <c r="J232" s="86">
        <f t="shared" ref="J232" si="413">SUM(J222:J231)</f>
        <v>0</v>
      </c>
      <c r="K232" s="86">
        <f t="shared" ref="K232" si="414">SUM(K222:K231)</f>
        <v>0</v>
      </c>
      <c r="L232" s="86">
        <f t="shared" ref="L232" si="415">SUM(L222:L231)</f>
        <v>0</v>
      </c>
      <c r="M232" s="18">
        <f t="shared" ref="M232" si="416">SUM(M222:M231)</f>
        <v>0</v>
      </c>
      <c r="N232" s="86">
        <f t="shared" ref="N232" si="417">SUM(N222:N231)</f>
        <v>0</v>
      </c>
      <c r="O232" s="86">
        <f t="shared" ref="O232" si="418">SUM(O222:O231)</f>
        <v>0</v>
      </c>
      <c r="P232" s="86">
        <f t="shared" ref="P232" si="419">SUM(P222:P231)</f>
        <v>0</v>
      </c>
      <c r="Q232" s="86">
        <f t="shared" ref="Q232" si="420">SUM(Q222:Q231)</f>
        <v>0</v>
      </c>
      <c r="R232" s="19">
        <f t="shared" ref="R232" si="421">SUM(R222:R231)</f>
        <v>0</v>
      </c>
      <c r="S232" s="20">
        <f t="shared" ref="S232" si="422">SUM(S222:S231)</f>
        <v>0</v>
      </c>
      <c r="T232" s="20">
        <f t="shared" ref="T232" si="423">SUM(T222:T231)</f>
        <v>0</v>
      </c>
      <c r="U232" s="20">
        <f t="shared" ref="U232" si="424">SUM(U222:U231)</f>
        <v>0</v>
      </c>
    </row>
    <row r="233" spans="5:24" ht="15.75" thickTop="1" x14ac:dyDescent="0.25">
      <c r="M233" s="3"/>
    </row>
    <row r="234" spans="5:24" x14ac:dyDescent="0.25">
      <c r="M234" s="3"/>
    </row>
    <row r="235" spans="5:24" x14ac:dyDescent="0.25">
      <c r="M235" s="3"/>
    </row>
    <row r="236" spans="5:24" x14ac:dyDescent="0.25">
      <c r="E236" s="4" t="s">
        <v>170</v>
      </c>
    </row>
    <row r="237" spans="5:24" x14ac:dyDescent="0.25">
      <c r="E237" s="6" t="s">
        <v>25</v>
      </c>
    </row>
    <row r="239" spans="5:24" x14ac:dyDescent="0.25">
      <c r="F239" s="12">
        <f>Inputs!$C$7</f>
        <v>2023</v>
      </c>
      <c r="G239" s="12">
        <f>Inputs!$C$8</f>
        <v>2024</v>
      </c>
      <c r="H239" s="12">
        <f>Inputs!$C$9</f>
        <v>2025</v>
      </c>
      <c r="I239" s="13" t="s">
        <v>1</v>
      </c>
      <c r="J239" s="13" t="s">
        <v>2</v>
      </c>
      <c r="K239" s="13" t="s">
        <v>3</v>
      </c>
      <c r="L239" s="13" t="s">
        <v>4</v>
      </c>
      <c r="M239" s="13">
        <f>Inputs!$C$10</f>
        <v>2026</v>
      </c>
      <c r="N239" s="14" t="s">
        <v>1</v>
      </c>
      <c r="O239" s="14" t="s">
        <v>2</v>
      </c>
      <c r="P239" s="14" t="s">
        <v>3</v>
      </c>
      <c r="Q239" s="14" t="s">
        <v>4</v>
      </c>
      <c r="R239" s="15">
        <f>Inputs!$C$11</f>
        <v>2027</v>
      </c>
      <c r="S239" s="16">
        <f>Inputs!$C$12</f>
        <v>2028</v>
      </c>
      <c r="T239" s="16">
        <f>Inputs!$C$13</f>
        <v>2029</v>
      </c>
      <c r="U239" s="16">
        <f>Inputs!$C$14</f>
        <v>2030</v>
      </c>
    </row>
    <row r="240" spans="5:24" x14ac:dyDescent="0.25">
      <c r="F240" s="71" t="s">
        <v>63</v>
      </c>
      <c r="G240" s="71" t="s">
        <v>63</v>
      </c>
      <c r="H240" s="71" t="s">
        <v>63</v>
      </c>
      <c r="I240" s="71" t="s">
        <v>63</v>
      </c>
      <c r="J240" s="71" t="s">
        <v>63</v>
      </c>
      <c r="K240" s="71" t="s">
        <v>63</v>
      </c>
      <c r="L240" s="71" t="s">
        <v>63</v>
      </c>
      <c r="M240" s="71" t="s">
        <v>63</v>
      </c>
      <c r="N240" s="71" t="s">
        <v>63</v>
      </c>
      <c r="O240" s="71" t="s">
        <v>63</v>
      </c>
      <c r="P240" s="71" t="s">
        <v>63</v>
      </c>
      <c r="Q240" s="71" t="s">
        <v>63</v>
      </c>
      <c r="R240" s="71" t="s">
        <v>63</v>
      </c>
      <c r="S240" s="71" t="s">
        <v>63</v>
      </c>
      <c r="T240" s="71" t="s">
        <v>63</v>
      </c>
      <c r="U240" s="71" t="s">
        <v>63</v>
      </c>
    </row>
    <row r="241" spans="5:21" x14ac:dyDescent="0.25">
      <c r="E241" s="78" t="s">
        <v>171</v>
      </c>
      <c r="F241" s="21">
        <f>F375</f>
        <v>0</v>
      </c>
      <c r="G241" s="21">
        <f t="shared" ref="G241:H241" si="425">G375</f>
        <v>0</v>
      </c>
      <c r="H241" s="21">
        <f t="shared" si="425"/>
        <v>0</v>
      </c>
      <c r="I241" s="85">
        <f t="shared" ref="I241:I250" si="426">IF(X241="",I375,X241)</f>
        <v>0</v>
      </c>
      <c r="J241" s="85">
        <f t="shared" ref="J241:J250" si="427">IF(Y241="",J375,Y241)</f>
        <v>0</v>
      </c>
      <c r="K241" s="85">
        <f t="shared" ref="K241:K250" si="428">IF(Z241="",K375,Z241)</f>
        <v>0</v>
      </c>
      <c r="L241" s="85">
        <f t="shared" ref="L241:L250" si="429">IF(AA241="",L375,AA241)</f>
        <v>0</v>
      </c>
      <c r="M241" s="17">
        <f t="shared" ref="M241:M250" si="430">SUM(I241:L241)</f>
        <v>0</v>
      </c>
      <c r="N241" s="85">
        <f t="shared" ref="N241:N250" si="431">IF(AC241="",N375,AC241)</f>
        <v>0</v>
      </c>
      <c r="O241" s="85">
        <f t="shared" ref="O241:O250" si="432">IF(AD241="",O375,AD241)</f>
        <v>0</v>
      </c>
      <c r="P241" s="85">
        <f t="shared" ref="P241:P250" si="433">IF(AE241="",P375,AE241)</f>
        <v>0</v>
      </c>
      <c r="Q241" s="85">
        <f t="shared" ref="Q241:Q250" si="434">IF(AF241="",Q375,AF241)</f>
        <v>0</v>
      </c>
      <c r="R241" s="22">
        <f t="shared" ref="R241:R250" si="435">SUM(N241:Q241)</f>
        <v>0</v>
      </c>
      <c r="S241" s="23">
        <f t="shared" ref="S241:S250" si="436">IF(AH241="",S375,AH241)</f>
        <v>0</v>
      </c>
      <c r="T241" s="23">
        <f t="shared" ref="T241:T250" si="437">IF(AI241="",T375,AI241)</f>
        <v>0</v>
      </c>
      <c r="U241" s="23">
        <f t="shared" ref="U241:U250" si="438">IF(AJ241="",U375,AJ241)</f>
        <v>0</v>
      </c>
    </row>
    <row r="242" spans="5:21" x14ac:dyDescent="0.25">
      <c r="E242" s="78" t="s">
        <v>172</v>
      </c>
      <c r="F242" s="21">
        <f t="shared" ref="F242:H242" si="439">F376</f>
        <v>0</v>
      </c>
      <c r="G242" s="21">
        <f t="shared" si="439"/>
        <v>0</v>
      </c>
      <c r="H242" s="21">
        <f t="shared" si="439"/>
        <v>0</v>
      </c>
      <c r="I242" s="85">
        <f t="shared" si="426"/>
        <v>0</v>
      </c>
      <c r="J242" s="85">
        <f t="shared" si="427"/>
        <v>0</v>
      </c>
      <c r="K242" s="85">
        <f t="shared" si="428"/>
        <v>0</v>
      </c>
      <c r="L242" s="85">
        <f t="shared" si="429"/>
        <v>0</v>
      </c>
      <c r="M242" s="17">
        <f t="shared" si="430"/>
        <v>0</v>
      </c>
      <c r="N242" s="85">
        <f t="shared" si="431"/>
        <v>0</v>
      </c>
      <c r="O242" s="85">
        <f t="shared" si="432"/>
        <v>0</v>
      </c>
      <c r="P242" s="85">
        <f t="shared" si="433"/>
        <v>0</v>
      </c>
      <c r="Q242" s="85">
        <f t="shared" si="434"/>
        <v>0</v>
      </c>
      <c r="R242" s="22">
        <f t="shared" si="435"/>
        <v>0</v>
      </c>
      <c r="S242" s="23">
        <f t="shared" si="436"/>
        <v>0</v>
      </c>
      <c r="T242" s="23">
        <f t="shared" si="437"/>
        <v>0</v>
      </c>
      <c r="U242" s="23">
        <f t="shared" si="438"/>
        <v>0</v>
      </c>
    </row>
    <row r="243" spans="5:21" x14ac:dyDescent="0.25">
      <c r="E243" s="78" t="s">
        <v>173</v>
      </c>
      <c r="F243" s="21">
        <f t="shared" ref="F243:H243" si="440">F377</f>
        <v>0</v>
      </c>
      <c r="G243" s="21">
        <f t="shared" si="440"/>
        <v>0</v>
      </c>
      <c r="H243" s="21">
        <f t="shared" si="440"/>
        <v>0</v>
      </c>
      <c r="I243" s="85">
        <f t="shared" si="426"/>
        <v>0</v>
      </c>
      <c r="J243" s="85">
        <f t="shared" si="427"/>
        <v>0</v>
      </c>
      <c r="K243" s="85">
        <f t="shared" si="428"/>
        <v>0</v>
      </c>
      <c r="L243" s="85">
        <f t="shared" si="429"/>
        <v>0</v>
      </c>
      <c r="M243" s="17">
        <f t="shared" si="430"/>
        <v>0</v>
      </c>
      <c r="N243" s="85">
        <f t="shared" si="431"/>
        <v>0</v>
      </c>
      <c r="O243" s="85">
        <f t="shared" si="432"/>
        <v>0</v>
      </c>
      <c r="P243" s="85">
        <f t="shared" si="433"/>
        <v>0</v>
      </c>
      <c r="Q243" s="85">
        <f t="shared" si="434"/>
        <v>0</v>
      </c>
      <c r="R243" s="22">
        <f t="shared" si="435"/>
        <v>0</v>
      </c>
      <c r="S243" s="23">
        <f t="shared" si="436"/>
        <v>0</v>
      </c>
      <c r="T243" s="23">
        <f t="shared" si="437"/>
        <v>0</v>
      </c>
      <c r="U243" s="23">
        <f t="shared" si="438"/>
        <v>0</v>
      </c>
    </row>
    <row r="244" spans="5:21" x14ac:dyDescent="0.25">
      <c r="E244" s="78" t="s">
        <v>174</v>
      </c>
      <c r="F244" s="21">
        <f t="shared" ref="F244:H244" si="441">F378</f>
        <v>0</v>
      </c>
      <c r="G244" s="21">
        <f t="shared" si="441"/>
        <v>0</v>
      </c>
      <c r="H244" s="21">
        <f t="shared" si="441"/>
        <v>0</v>
      </c>
      <c r="I244" s="85">
        <f t="shared" si="426"/>
        <v>0</v>
      </c>
      <c r="J244" s="85">
        <f t="shared" si="427"/>
        <v>0</v>
      </c>
      <c r="K244" s="85">
        <f t="shared" si="428"/>
        <v>0</v>
      </c>
      <c r="L244" s="85">
        <f t="shared" si="429"/>
        <v>0</v>
      </c>
      <c r="M244" s="17">
        <f t="shared" si="430"/>
        <v>0</v>
      </c>
      <c r="N244" s="85">
        <f t="shared" si="431"/>
        <v>0</v>
      </c>
      <c r="O244" s="85">
        <f t="shared" si="432"/>
        <v>0</v>
      </c>
      <c r="P244" s="85">
        <f t="shared" si="433"/>
        <v>0</v>
      </c>
      <c r="Q244" s="85">
        <f t="shared" si="434"/>
        <v>0</v>
      </c>
      <c r="R244" s="22">
        <f t="shared" si="435"/>
        <v>0</v>
      </c>
      <c r="S244" s="23">
        <f t="shared" si="436"/>
        <v>0</v>
      </c>
      <c r="T244" s="23">
        <f t="shared" si="437"/>
        <v>0</v>
      </c>
      <c r="U244" s="23">
        <f t="shared" si="438"/>
        <v>0</v>
      </c>
    </row>
    <row r="245" spans="5:21" x14ac:dyDescent="0.25">
      <c r="E245" s="78" t="s">
        <v>175</v>
      </c>
      <c r="F245" s="21">
        <f t="shared" ref="F245:H245" si="442">F379</f>
        <v>0</v>
      </c>
      <c r="G245" s="21">
        <f t="shared" si="442"/>
        <v>0</v>
      </c>
      <c r="H245" s="21">
        <f t="shared" si="442"/>
        <v>0</v>
      </c>
      <c r="I245" s="85">
        <f t="shared" si="426"/>
        <v>0</v>
      </c>
      <c r="J245" s="85">
        <f t="shared" si="427"/>
        <v>0</v>
      </c>
      <c r="K245" s="85">
        <f t="shared" si="428"/>
        <v>0</v>
      </c>
      <c r="L245" s="85">
        <f t="shared" si="429"/>
        <v>0</v>
      </c>
      <c r="M245" s="17">
        <f t="shared" si="430"/>
        <v>0</v>
      </c>
      <c r="N245" s="85">
        <f t="shared" si="431"/>
        <v>0</v>
      </c>
      <c r="O245" s="85">
        <f t="shared" si="432"/>
        <v>0</v>
      </c>
      <c r="P245" s="85">
        <f t="shared" si="433"/>
        <v>0</v>
      </c>
      <c r="Q245" s="85">
        <f t="shared" si="434"/>
        <v>0</v>
      </c>
      <c r="R245" s="22">
        <f t="shared" si="435"/>
        <v>0</v>
      </c>
      <c r="S245" s="23">
        <f t="shared" si="436"/>
        <v>0</v>
      </c>
      <c r="T245" s="23">
        <f t="shared" si="437"/>
        <v>0</v>
      </c>
      <c r="U245" s="23">
        <f t="shared" si="438"/>
        <v>0</v>
      </c>
    </row>
    <row r="246" spans="5:21" x14ac:dyDescent="0.25">
      <c r="E246" s="78" t="s">
        <v>176</v>
      </c>
      <c r="F246" s="21">
        <f t="shared" ref="F246:H246" si="443">F380</f>
        <v>0</v>
      </c>
      <c r="G246" s="21">
        <f t="shared" si="443"/>
        <v>0</v>
      </c>
      <c r="H246" s="21">
        <f t="shared" si="443"/>
        <v>0</v>
      </c>
      <c r="I246" s="85">
        <f t="shared" si="426"/>
        <v>0</v>
      </c>
      <c r="J246" s="85">
        <f t="shared" si="427"/>
        <v>0</v>
      </c>
      <c r="K246" s="85">
        <f t="shared" si="428"/>
        <v>0</v>
      </c>
      <c r="L246" s="85">
        <f t="shared" si="429"/>
        <v>0</v>
      </c>
      <c r="M246" s="17">
        <f t="shared" si="430"/>
        <v>0</v>
      </c>
      <c r="N246" s="85">
        <f t="shared" si="431"/>
        <v>0</v>
      </c>
      <c r="O246" s="85">
        <f t="shared" si="432"/>
        <v>0</v>
      </c>
      <c r="P246" s="85">
        <f t="shared" si="433"/>
        <v>0</v>
      </c>
      <c r="Q246" s="85">
        <f t="shared" si="434"/>
        <v>0</v>
      </c>
      <c r="R246" s="22">
        <f t="shared" si="435"/>
        <v>0</v>
      </c>
      <c r="S246" s="23">
        <f t="shared" si="436"/>
        <v>0</v>
      </c>
      <c r="T246" s="23">
        <f t="shared" si="437"/>
        <v>0</v>
      </c>
      <c r="U246" s="23">
        <f t="shared" si="438"/>
        <v>0</v>
      </c>
    </row>
    <row r="247" spans="5:21" x14ac:dyDescent="0.25">
      <c r="E247" s="78" t="s">
        <v>169</v>
      </c>
      <c r="F247" s="21">
        <f t="shared" ref="F247:H247" si="444">F381</f>
        <v>0</v>
      </c>
      <c r="G247" s="21">
        <f t="shared" si="444"/>
        <v>0</v>
      </c>
      <c r="H247" s="21">
        <f t="shared" si="444"/>
        <v>0</v>
      </c>
      <c r="I247" s="85">
        <f t="shared" si="426"/>
        <v>0</v>
      </c>
      <c r="J247" s="85">
        <f t="shared" si="427"/>
        <v>0</v>
      </c>
      <c r="K247" s="85">
        <f t="shared" si="428"/>
        <v>0</v>
      </c>
      <c r="L247" s="85">
        <f t="shared" si="429"/>
        <v>0</v>
      </c>
      <c r="M247" s="17">
        <f t="shared" si="430"/>
        <v>0</v>
      </c>
      <c r="N247" s="85">
        <f t="shared" si="431"/>
        <v>0</v>
      </c>
      <c r="O247" s="85">
        <f t="shared" si="432"/>
        <v>0</v>
      </c>
      <c r="P247" s="85">
        <f t="shared" si="433"/>
        <v>0</v>
      </c>
      <c r="Q247" s="85">
        <f t="shared" si="434"/>
        <v>0</v>
      </c>
      <c r="R247" s="22">
        <f t="shared" si="435"/>
        <v>0</v>
      </c>
      <c r="S247" s="23">
        <f t="shared" si="436"/>
        <v>0</v>
      </c>
      <c r="T247" s="23">
        <f t="shared" si="437"/>
        <v>0</v>
      </c>
      <c r="U247" s="23">
        <f t="shared" si="438"/>
        <v>0</v>
      </c>
    </row>
    <row r="248" spans="5:21" x14ac:dyDescent="0.25">
      <c r="E248" s="78" t="s">
        <v>169</v>
      </c>
      <c r="F248" s="21">
        <f t="shared" ref="F248:H248" si="445">F382</f>
        <v>0</v>
      </c>
      <c r="G248" s="21">
        <f t="shared" si="445"/>
        <v>0</v>
      </c>
      <c r="H248" s="21">
        <f t="shared" si="445"/>
        <v>0</v>
      </c>
      <c r="I248" s="85">
        <f t="shared" si="426"/>
        <v>0</v>
      </c>
      <c r="J248" s="85">
        <f t="shared" si="427"/>
        <v>0</v>
      </c>
      <c r="K248" s="85">
        <f t="shared" si="428"/>
        <v>0</v>
      </c>
      <c r="L248" s="85">
        <f t="shared" si="429"/>
        <v>0</v>
      </c>
      <c r="M248" s="17">
        <f t="shared" si="430"/>
        <v>0</v>
      </c>
      <c r="N248" s="85">
        <f t="shared" si="431"/>
        <v>0</v>
      </c>
      <c r="O248" s="85">
        <f t="shared" si="432"/>
        <v>0</v>
      </c>
      <c r="P248" s="85">
        <f t="shared" si="433"/>
        <v>0</v>
      </c>
      <c r="Q248" s="85">
        <f t="shared" si="434"/>
        <v>0</v>
      </c>
      <c r="R248" s="22">
        <f t="shared" si="435"/>
        <v>0</v>
      </c>
      <c r="S248" s="23">
        <f t="shared" si="436"/>
        <v>0</v>
      </c>
      <c r="T248" s="23">
        <f t="shared" si="437"/>
        <v>0</v>
      </c>
      <c r="U248" s="23">
        <f t="shared" si="438"/>
        <v>0</v>
      </c>
    </row>
    <row r="249" spans="5:21" x14ac:dyDescent="0.25">
      <c r="E249" s="78" t="s">
        <v>169</v>
      </c>
      <c r="F249" s="21">
        <f t="shared" ref="F249:H249" si="446">F383</f>
        <v>0</v>
      </c>
      <c r="G249" s="21">
        <f t="shared" si="446"/>
        <v>0</v>
      </c>
      <c r="H249" s="21">
        <f t="shared" si="446"/>
        <v>0</v>
      </c>
      <c r="I249" s="85">
        <f t="shared" si="426"/>
        <v>0</v>
      </c>
      <c r="J249" s="85">
        <f t="shared" si="427"/>
        <v>0</v>
      </c>
      <c r="K249" s="85">
        <f t="shared" si="428"/>
        <v>0</v>
      </c>
      <c r="L249" s="85">
        <f t="shared" si="429"/>
        <v>0</v>
      </c>
      <c r="M249" s="17">
        <f t="shared" si="430"/>
        <v>0</v>
      </c>
      <c r="N249" s="85">
        <f t="shared" si="431"/>
        <v>0</v>
      </c>
      <c r="O249" s="85">
        <f t="shared" si="432"/>
        <v>0</v>
      </c>
      <c r="P249" s="85">
        <f t="shared" si="433"/>
        <v>0</v>
      </c>
      <c r="Q249" s="85">
        <f t="shared" si="434"/>
        <v>0</v>
      </c>
      <c r="R249" s="22">
        <f t="shared" si="435"/>
        <v>0</v>
      </c>
      <c r="S249" s="23">
        <f t="shared" si="436"/>
        <v>0</v>
      </c>
      <c r="T249" s="23">
        <f t="shared" si="437"/>
        <v>0</v>
      </c>
      <c r="U249" s="23">
        <f t="shared" si="438"/>
        <v>0</v>
      </c>
    </row>
    <row r="250" spans="5:21" x14ac:dyDescent="0.25">
      <c r="E250" s="78" t="s">
        <v>169</v>
      </c>
      <c r="F250" s="21">
        <f t="shared" ref="F250:H250" si="447">F384</f>
        <v>0</v>
      </c>
      <c r="G250" s="21">
        <f t="shared" si="447"/>
        <v>0</v>
      </c>
      <c r="H250" s="21">
        <f t="shared" si="447"/>
        <v>0</v>
      </c>
      <c r="I250" s="85">
        <f t="shared" si="426"/>
        <v>0</v>
      </c>
      <c r="J250" s="85">
        <f t="shared" si="427"/>
        <v>0</v>
      </c>
      <c r="K250" s="85">
        <f t="shared" si="428"/>
        <v>0</v>
      </c>
      <c r="L250" s="85">
        <f t="shared" si="429"/>
        <v>0</v>
      </c>
      <c r="M250" s="17">
        <f t="shared" si="430"/>
        <v>0</v>
      </c>
      <c r="N250" s="85">
        <f t="shared" si="431"/>
        <v>0</v>
      </c>
      <c r="O250" s="85">
        <f t="shared" si="432"/>
        <v>0</v>
      </c>
      <c r="P250" s="85">
        <f t="shared" si="433"/>
        <v>0</v>
      </c>
      <c r="Q250" s="85">
        <f t="shared" si="434"/>
        <v>0</v>
      </c>
      <c r="R250" s="22">
        <f t="shared" si="435"/>
        <v>0</v>
      </c>
      <c r="S250" s="23">
        <f t="shared" si="436"/>
        <v>0</v>
      </c>
      <c r="T250" s="23">
        <f t="shared" si="437"/>
        <v>0</v>
      </c>
      <c r="U250" s="23">
        <f t="shared" si="438"/>
        <v>0</v>
      </c>
    </row>
    <row r="251" spans="5:21" ht="15.75" thickBot="1" x14ac:dyDescent="0.3">
      <c r="E251" s="8" t="s">
        <v>27</v>
      </c>
      <c r="F251" s="9">
        <f>SUM(F241:F250)</f>
        <v>0</v>
      </c>
      <c r="G251" s="9">
        <f t="shared" ref="G251" si="448">SUM(G241:G250)</f>
        <v>0</v>
      </c>
      <c r="H251" s="9">
        <f t="shared" ref="H251" si="449">SUM(H241:H250)</f>
        <v>0</v>
      </c>
      <c r="I251" s="86">
        <f t="shared" ref="I251" si="450">SUM(I241:I250)</f>
        <v>0</v>
      </c>
      <c r="J251" s="86">
        <f t="shared" ref="J251" si="451">SUM(J241:J250)</f>
        <v>0</v>
      </c>
      <c r="K251" s="86">
        <f t="shared" ref="K251" si="452">SUM(K241:K250)</f>
        <v>0</v>
      </c>
      <c r="L251" s="86">
        <f t="shared" ref="L251" si="453">SUM(L241:L250)</f>
        <v>0</v>
      </c>
      <c r="M251" s="18">
        <f t="shared" ref="M251" si="454">SUM(M241:M250)</f>
        <v>0</v>
      </c>
      <c r="N251" s="86">
        <f t="shared" ref="N251" si="455">SUM(N241:N250)</f>
        <v>0</v>
      </c>
      <c r="O251" s="86">
        <f t="shared" ref="O251" si="456">SUM(O241:O250)</f>
        <v>0</v>
      </c>
      <c r="P251" s="86">
        <f t="shared" ref="P251" si="457">SUM(P241:P250)</f>
        <v>0</v>
      </c>
      <c r="Q251" s="86">
        <f t="shared" ref="Q251" si="458">SUM(Q241:Q250)</f>
        <v>0</v>
      </c>
      <c r="R251" s="19">
        <f t="shared" ref="R251" si="459">SUM(R241:R250)</f>
        <v>0</v>
      </c>
      <c r="S251" s="20">
        <f t="shared" ref="S251" si="460">SUM(S241:S250)</f>
        <v>0</v>
      </c>
      <c r="T251" s="20">
        <f t="shared" ref="T251" si="461">SUM(T241:T250)</f>
        <v>0</v>
      </c>
      <c r="U251" s="20">
        <f t="shared" ref="U251" si="462">SUM(U241:U250)</f>
        <v>0</v>
      </c>
    </row>
    <row r="252" spans="5:21" ht="15.75" thickTop="1"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5142A-5947-400A-A5DA-7F1DF0C178EF}">
  <sheetPr codeName="Sheet14">
    <tabColor theme="0" tint="-0.34998626667073579"/>
  </sheetPr>
  <dimension ref="B1:K63"/>
  <sheetViews>
    <sheetView zoomScale="85" zoomScaleNormal="85" workbookViewId="0">
      <pane ySplit="5" topLeftCell="A6" activePane="bottomLeft" state="frozen"/>
      <selection pane="bottomLeft" activeCell="E19" sqref="E19"/>
    </sheetView>
  </sheetViews>
  <sheetFormatPr defaultColWidth="9.140625" defaultRowHeight="15" x14ac:dyDescent="0.25"/>
  <cols>
    <col min="1" max="1" width="4" style="1" customWidth="1"/>
    <col min="2" max="2" width="15.28515625" style="108" customWidth="1"/>
    <col min="3" max="3" width="5.7109375" style="1" customWidth="1"/>
    <col min="4" max="4" width="42" style="1" customWidth="1"/>
    <col min="5" max="5" width="23.42578125" style="1" customWidth="1"/>
    <col min="6" max="6" width="57" style="1" customWidth="1"/>
    <col min="7" max="7" width="49.28515625" style="1" customWidth="1"/>
    <col min="8" max="8" width="29.140625" style="1" customWidth="1"/>
    <col min="9" max="9" width="18.140625" style="1" customWidth="1"/>
    <col min="10" max="10" width="12" style="1" customWidth="1"/>
    <col min="11" max="16384" width="9.140625" style="1"/>
  </cols>
  <sheetData>
    <row r="1" spans="2:11" ht="9.75" customHeight="1" x14ac:dyDescent="0.25"/>
    <row r="2" spans="2:11" ht="24" customHeight="1" x14ac:dyDescent="0.35">
      <c r="B2" s="207" t="s">
        <v>187</v>
      </c>
      <c r="C2" s="208"/>
      <c r="D2" s="208"/>
      <c r="E2" s="208"/>
      <c r="F2" s="208"/>
      <c r="G2" s="208"/>
      <c r="H2" s="208"/>
      <c r="I2" s="208"/>
      <c r="J2" s="209"/>
    </row>
    <row r="3" spans="2:11" ht="9.75" customHeight="1" thickBot="1" x14ac:dyDescent="0.3"/>
    <row r="4" spans="2:11" ht="15.75" thickBot="1" x14ac:dyDescent="0.3">
      <c r="D4" s="110" t="s">
        <v>188</v>
      </c>
      <c r="E4" s="110" t="s">
        <v>301</v>
      </c>
      <c r="F4" s="110" t="s">
        <v>302</v>
      </c>
      <c r="G4" s="110" t="s">
        <v>303</v>
      </c>
      <c r="H4" s="110" t="s">
        <v>304</v>
      </c>
      <c r="I4" s="110" t="s">
        <v>305</v>
      </c>
      <c r="J4" s="110" t="s">
        <v>306</v>
      </c>
    </row>
    <row r="5" spans="2:11" s="112" customFormat="1" ht="22.5" x14ac:dyDescent="0.25">
      <c r="C5" s="169"/>
      <c r="D5" s="170" t="s">
        <v>192</v>
      </c>
      <c r="E5" s="170" t="s">
        <v>307</v>
      </c>
      <c r="F5" s="170" t="s">
        <v>308</v>
      </c>
      <c r="G5" s="170" t="s">
        <v>309</v>
      </c>
      <c r="H5" s="170" t="s">
        <v>310</v>
      </c>
      <c r="I5" s="170" t="s">
        <v>311</v>
      </c>
      <c r="J5" s="170" t="s">
        <v>312</v>
      </c>
    </row>
    <row r="6" spans="2:11" ht="30" x14ac:dyDescent="0.25">
      <c r="B6" s="171" t="s">
        <v>196</v>
      </c>
      <c r="C6" s="172">
        <v>1</v>
      </c>
      <c r="D6" s="173" t="s">
        <v>197</v>
      </c>
      <c r="E6" s="173"/>
      <c r="F6" s="173" t="s">
        <v>313</v>
      </c>
      <c r="G6" s="174" t="s">
        <v>314</v>
      </c>
      <c r="H6" s="173" t="s">
        <v>315</v>
      </c>
      <c r="I6" s="173"/>
      <c r="J6" s="175"/>
      <c r="K6" s="123"/>
    </row>
    <row r="7" spans="2:11" ht="45" x14ac:dyDescent="0.25">
      <c r="B7" s="176"/>
      <c r="C7" s="177">
        <v>2</v>
      </c>
      <c r="D7" s="126" t="s">
        <v>198</v>
      </c>
      <c r="E7" s="126"/>
      <c r="F7" s="126" t="s">
        <v>316</v>
      </c>
      <c r="G7" s="178" t="s">
        <v>317</v>
      </c>
      <c r="H7" s="126" t="s">
        <v>315</v>
      </c>
      <c r="I7" s="126"/>
      <c r="J7" s="179"/>
      <c r="K7" s="123"/>
    </row>
    <row r="8" spans="2:11" x14ac:dyDescent="0.25">
      <c r="B8" s="180" t="s">
        <v>318</v>
      </c>
      <c r="C8" s="177">
        <v>3</v>
      </c>
      <c r="D8" s="126" t="s">
        <v>200</v>
      </c>
      <c r="E8" s="126"/>
      <c r="F8" s="126" t="s">
        <v>319</v>
      </c>
      <c r="G8" s="178" t="s">
        <v>320</v>
      </c>
      <c r="H8" s="126" t="s">
        <v>321</v>
      </c>
      <c r="I8" s="126"/>
      <c r="J8" s="179"/>
      <c r="K8" s="123"/>
    </row>
    <row r="9" spans="2:11" ht="30" x14ac:dyDescent="0.25">
      <c r="B9" s="180"/>
      <c r="C9" s="177">
        <v>4</v>
      </c>
      <c r="D9" s="126" t="s">
        <v>202</v>
      </c>
      <c r="E9" s="126"/>
      <c r="F9" s="126" t="s">
        <v>322</v>
      </c>
      <c r="G9" s="178" t="s">
        <v>323</v>
      </c>
      <c r="H9" s="126" t="s">
        <v>324</v>
      </c>
      <c r="I9" s="126"/>
      <c r="J9" s="179"/>
      <c r="K9" s="123"/>
    </row>
    <row r="10" spans="2:11" ht="30" x14ac:dyDescent="0.25">
      <c r="B10" s="180"/>
      <c r="C10" s="177">
        <v>5</v>
      </c>
      <c r="D10" s="126" t="s">
        <v>203</v>
      </c>
      <c r="E10" s="126"/>
      <c r="F10" s="181" t="s">
        <v>325</v>
      </c>
      <c r="G10" s="178" t="s">
        <v>326</v>
      </c>
      <c r="H10" s="126" t="s">
        <v>324</v>
      </c>
      <c r="I10" s="126"/>
      <c r="J10" s="179"/>
      <c r="K10" s="123"/>
    </row>
    <row r="11" spans="2:11" x14ac:dyDescent="0.25">
      <c r="B11" s="180"/>
      <c r="C11" s="177">
        <v>6</v>
      </c>
      <c r="D11" s="126" t="s">
        <v>204</v>
      </c>
      <c r="E11" s="126"/>
      <c r="F11" s="126" t="s">
        <v>327</v>
      </c>
      <c r="G11" s="178" t="s">
        <v>326</v>
      </c>
      <c r="H11" s="126" t="s">
        <v>324</v>
      </c>
      <c r="I11" s="126"/>
      <c r="J11" s="179"/>
      <c r="K11" s="123"/>
    </row>
    <row r="12" spans="2:11" ht="30" x14ac:dyDescent="0.25">
      <c r="B12" s="180"/>
      <c r="C12" s="177">
        <v>7</v>
      </c>
      <c r="D12" s="126" t="s">
        <v>205</v>
      </c>
      <c r="E12" s="126"/>
      <c r="F12" s="126" t="s">
        <v>327</v>
      </c>
      <c r="G12" s="178" t="s">
        <v>328</v>
      </c>
      <c r="H12" s="126" t="s">
        <v>324</v>
      </c>
      <c r="I12" s="126"/>
      <c r="J12" s="179"/>
      <c r="K12" s="123"/>
    </row>
    <row r="13" spans="2:11" ht="45" x14ac:dyDescent="0.25">
      <c r="B13" s="180"/>
      <c r="C13" s="177">
        <v>8</v>
      </c>
      <c r="D13" s="126" t="s">
        <v>206</v>
      </c>
      <c r="E13" s="126"/>
      <c r="F13" s="126" t="s">
        <v>329</v>
      </c>
      <c r="G13" s="178" t="s">
        <v>330</v>
      </c>
      <c r="H13" s="126" t="s">
        <v>324</v>
      </c>
      <c r="I13" s="126"/>
      <c r="J13" s="179"/>
      <c r="K13" s="123"/>
    </row>
    <row r="14" spans="2:11" ht="30" x14ac:dyDescent="0.25">
      <c r="B14" s="180"/>
      <c r="C14" s="177">
        <v>9</v>
      </c>
      <c r="D14" s="126" t="s">
        <v>207</v>
      </c>
      <c r="E14" s="126"/>
      <c r="F14" s="126" t="s">
        <v>331</v>
      </c>
      <c r="G14" s="178" t="s">
        <v>332</v>
      </c>
      <c r="H14" s="126" t="s">
        <v>333</v>
      </c>
      <c r="I14" s="126"/>
      <c r="J14" s="179"/>
      <c r="K14" s="123"/>
    </row>
    <row r="15" spans="2:11" x14ac:dyDescent="0.25">
      <c r="B15" s="180"/>
      <c r="C15" s="177">
        <v>10</v>
      </c>
      <c r="D15" s="126" t="s">
        <v>208</v>
      </c>
      <c r="E15" s="126"/>
      <c r="F15" s="126" t="s">
        <v>334</v>
      </c>
      <c r="G15" s="178" t="s">
        <v>335</v>
      </c>
      <c r="H15" s="126" t="s">
        <v>324</v>
      </c>
      <c r="I15" s="126"/>
      <c r="J15" s="179"/>
      <c r="K15" s="123"/>
    </row>
    <row r="16" spans="2:11" ht="30" x14ac:dyDescent="0.25">
      <c r="B16" s="180"/>
      <c r="C16" s="177">
        <v>11</v>
      </c>
      <c r="D16" s="126" t="s">
        <v>209</v>
      </c>
      <c r="E16" s="126"/>
      <c r="F16" s="126" t="s">
        <v>336</v>
      </c>
      <c r="G16" s="178" t="s">
        <v>337</v>
      </c>
      <c r="H16" s="126" t="s">
        <v>324</v>
      </c>
      <c r="I16" s="126"/>
      <c r="J16" s="179"/>
      <c r="K16" s="123"/>
    </row>
    <row r="17" spans="2:11" ht="30" x14ac:dyDescent="0.25">
      <c r="B17" s="180"/>
      <c r="C17" s="177">
        <v>12</v>
      </c>
      <c r="D17" s="126" t="s">
        <v>210</v>
      </c>
      <c r="E17" s="126"/>
      <c r="F17" s="181" t="s">
        <v>338</v>
      </c>
      <c r="G17" s="182" t="s">
        <v>339</v>
      </c>
      <c r="H17" s="126" t="s">
        <v>324</v>
      </c>
      <c r="I17" s="126"/>
      <c r="J17" s="179"/>
      <c r="K17" s="123"/>
    </row>
    <row r="18" spans="2:11" x14ac:dyDescent="0.25">
      <c r="B18" s="180"/>
      <c r="C18" s="183"/>
      <c r="D18" s="184"/>
      <c r="E18" s="184"/>
      <c r="F18" s="184"/>
      <c r="G18" s="185" t="s">
        <v>320</v>
      </c>
      <c r="H18" s="184"/>
      <c r="I18" s="184"/>
      <c r="J18" s="186"/>
      <c r="K18" s="123"/>
    </row>
    <row r="19" spans="2:11" ht="45" x14ac:dyDescent="0.25">
      <c r="B19" s="171" t="s">
        <v>211</v>
      </c>
      <c r="C19" s="187">
        <v>14</v>
      </c>
      <c r="D19" s="188" t="s">
        <v>212</v>
      </c>
      <c r="E19" s="188"/>
      <c r="F19" s="188" t="s">
        <v>336</v>
      </c>
      <c r="G19" s="189" t="s">
        <v>340</v>
      </c>
      <c r="H19" s="188"/>
      <c r="I19" s="188"/>
      <c r="J19" s="190"/>
      <c r="K19" s="123"/>
    </row>
    <row r="20" spans="2:11" ht="45" x14ac:dyDescent="0.25">
      <c r="B20" s="176"/>
      <c r="C20" s="191">
        <v>15</v>
      </c>
      <c r="D20" s="126" t="s">
        <v>213</v>
      </c>
      <c r="E20" s="126"/>
      <c r="F20" s="126" t="s">
        <v>336</v>
      </c>
      <c r="G20" s="189" t="s">
        <v>340</v>
      </c>
      <c r="H20" s="126"/>
      <c r="I20" s="126"/>
      <c r="J20" s="179"/>
      <c r="K20" s="123"/>
    </row>
    <row r="21" spans="2:11" ht="45" x14ac:dyDescent="0.25">
      <c r="B21" s="176"/>
      <c r="C21" s="191">
        <v>16</v>
      </c>
      <c r="D21" s="126" t="s">
        <v>214</v>
      </c>
      <c r="E21" s="126"/>
      <c r="F21" s="126" t="s">
        <v>341</v>
      </c>
      <c r="G21" s="189" t="s">
        <v>340</v>
      </c>
      <c r="H21" s="126"/>
      <c r="I21" s="126"/>
      <c r="J21" s="179"/>
      <c r="K21" s="123"/>
    </row>
    <row r="22" spans="2:11" ht="45" x14ac:dyDescent="0.25">
      <c r="B22" s="176"/>
      <c r="C22" s="191">
        <v>17</v>
      </c>
      <c r="D22" s="126" t="s">
        <v>215</v>
      </c>
      <c r="E22" s="126"/>
      <c r="F22" s="126" t="s">
        <v>336</v>
      </c>
      <c r="G22" s="189" t="s">
        <v>340</v>
      </c>
      <c r="H22" s="126"/>
      <c r="I22" s="126"/>
      <c r="J22" s="179"/>
      <c r="K22" s="123"/>
    </row>
    <row r="23" spans="2:11" ht="45" x14ac:dyDescent="0.25">
      <c r="B23" s="176"/>
      <c r="C23" s="191">
        <v>18</v>
      </c>
      <c r="D23" s="126" t="s">
        <v>216</v>
      </c>
      <c r="E23" s="126"/>
      <c r="F23" s="126" t="s">
        <v>342</v>
      </c>
      <c r="G23" s="189" t="s">
        <v>343</v>
      </c>
      <c r="H23" s="126"/>
      <c r="I23" s="126"/>
      <c r="J23" s="179"/>
      <c r="K23" s="123"/>
    </row>
    <row r="24" spans="2:11" x14ac:dyDescent="0.25">
      <c r="B24" s="176"/>
      <c r="C24" s="191">
        <v>19</v>
      </c>
      <c r="D24" s="126" t="s">
        <v>217</v>
      </c>
      <c r="E24" s="126"/>
      <c r="F24" s="126" t="s">
        <v>344</v>
      </c>
      <c r="G24" s="189" t="s">
        <v>345</v>
      </c>
      <c r="H24" s="126"/>
      <c r="I24" s="126"/>
      <c r="J24" s="179"/>
      <c r="K24" s="123"/>
    </row>
    <row r="25" spans="2:11" ht="30" x14ac:dyDescent="0.25">
      <c r="B25" s="176"/>
      <c r="C25" s="191">
        <v>20</v>
      </c>
      <c r="D25" s="126" t="s">
        <v>218</v>
      </c>
      <c r="E25" s="126"/>
      <c r="F25" s="126" t="s">
        <v>336</v>
      </c>
      <c r="G25" s="189" t="s">
        <v>346</v>
      </c>
      <c r="H25" s="126"/>
      <c r="I25" s="126"/>
      <c r="J25" s="179"/>
      <c r="K25" s="123"/>
    </row>
    <row r="26" spans="2:11" ht="30" x14ac:dyDescent="0.25">
      <c r="B26" s="176"/>
      <c r="C26" s="191">
        <v>21</v>
      </c>
      <c r="D26" s="126" t="s">
        <v>219</v>
      </c>
      <c r="E26" s="126"/>
      <c r="F26" s="126" t="s">
        <v>347</v>
      </c>
      <c r="G26" s="178" t="s">
        <v>348</v>
      </c>
      <c r="H26" s="126"/>
      <c r="I26" s="126"/>
      <c r="J26" s="179"/>
      <c r="K26" s="123"/>
    </row>
    <row r="27" spans="2:11" ht="30" x14ac:dyDescent="0.25">
      <c r="B27" s="176"/>
      <c r="C27" s="191">
        <v>22</v>
      </c>
      <c r="D27" s="126" t="s">
        <v>220</v>
      </c>
      <c r="E27" s="126"/>
      <c r="F27" s="126" t="s">
        <v>347</v>
      </c>
      <c r="G27" s="178" t="s">
        <v>349</v>
      </c>
      <c r="H27" s="126"/>
      <c r="I27" s="126"/>
      <c r="J27" s="179"/>
      <c r="K27" s="123"/>
    </row>
    <row r="28" spans="2:11" ht="30" x14ac:dyDescent="0.25">
      <c r="B28" s="176"/>
      <c r="C28" s="191">
        <v>23</v>
      </c>
      <c r="D28" s="126" t="s">
        <v>350</v>
      </c>
      <c r="E28" s="126"/>
      <c r="F28" s="126" t="s">
        <v>336</v>
      </c>
      <c r="G28" s="178" t="s">
        <v>351</v>
      </c>
      <c r="H28" s="126"/>
      <c r="I28" s="126"/>
      <c r="J28" s="179"/>
      <c r="K28" s="123"/>
    </row>
    <row r="29" spans="2:11" ht="30" x14ac:dyDescent="0.25">
      <c r="B29" s="176"/>
      <c r="C29" s="191">
        <v>24</v>
      </c>
      <c r="D29" s="126" t="s">
        <v>222</v>
      </c>
      <c r="E29" s="126"/>
      <c r="F29" s="126" t="s">
        <v>336</v>
      </c>
      <c r="G29" s="189" t="s">
        <v>346</v>
      </c>
      <c r="H29" s="126"/>
      <c r="I29" s="126"/>
      <c r="J29" s="179"/>
      <c r="K29" s="123"/>
    </row>
    <row r="30" spans="2:11" ht="30" x14ac:dyDescent="0.25">
      <c r="B30" s="176"/>
      <c r="C30" s="191">
        <v>25</v>
      </c>
      <c r="D30" s="126" t="s">
        <v>223</v>
      </c>
      <c r="E30" s="126"/>
      <c r="F30" s="126" t="s">
        <v>352</v>
      </c>
      <c r="G30" s="189" t="s">
        <v>346</v>
      </c>
      <c r="H30" s="126"/>
      <c r="I30" s="126"/>
      <c r="J30" s="179"/>
      <c r="K30" s="123"/>
    </row>
    <row r="31" spans="2:11" ht="45" x14ac:dyDescent="0.25">
      <c r="B31" s="192"/>
      <c r="C31" s="193">
        <v>26</v>
      </c>
      <c r="D31" s="184" t="s">
        <v>224</v>
      </c>
      <c r="E31" s="184"/>
      <c r="F31" s="184" t="s">
        <v>336</v>
      </c>
      <c r="G31" s="194" t="s">
        <v>353</v>
      </c>
      <c r="H31" s="184"/>
      <c r="I31" s="184"/>
      <c r="J31" s="186"/>
      <c r="K31" s="123"/>
    </row>
    <row r="32" spans="2:11" ht="42.6" customHeight="1" x14ac:dyDescent="0.25">
      <c r="B32" s="195" t="s">
        <v>225</v>
      </c>
      <c r="C32" s="187">
        <v>27</v>
      </c>
      <c r="D32" s="188" t="s">
        <v>38</v>
      </c>
      <c r="E32" s="188"/>
      <c r="F32" s="188" t="s">
        <v>354</v>
      </c>
      <c r="G32" s="188" t="s">
        <v>355</v>
      </c>
      <c r="H32" s="188"/>
      <c r="I32" s="188"/>
      <c r="J32" s="190"/>
      <c r="K32" s="123"/>
    </row>
    <row r="33" spans="2:11" ht="31.9" customHeight="1" x14ac:dyDescent="0.25">
      <c r="B33" s="176"/>
      <c r="C33" s="191">
        <v>28</v>
      </c>
      <c r="D33" s="126" t="s">
        <v>36</v>
      </c>
      <c r="E33" s="126"/>
      <c r="F33" s="126" t="s">
        <v>354</v>
      </c>
      <c r="G33" s="188" t="s">
        <v>356</v>
      </c>
      <c r="H33" s="126"/>
      <c r="I33" s="126"/>
      <c r="J33" s="179"/>
      <c r="K33" s="123"/>
    </row>
    <row r="34" spans="2:11" ht="30" x14ac:dyDescent="0.25">
      <c r="B34" s="176"/>
      <c r="C34" s="191">
        <v>29</v>
      </c>
      <c r="D34" s="126" t="s">
        <v>37</v>
      </c>
      <c r="E34" s="126"/>
      <c r="F34" s="126" t="s">
        <v>354</v>
      </c>
      <c r="G34" s="188" t="s">
        <v>356</v>
      </c>
      <c r="H34" s="126"/>
      <c r="I34" s="126"/>
      <c r="J34" s="179"/>
      <c r="K34" s="123"/>
    </row>
    <row r="35" spans="2:11" ht="30" x14ac:dyDescent="0.25">
      <c r="B35" s="176"/>
      <c r="C35" s="191">
        <v>30</v>
      </c>
      <c r="D35" s="126" t="s">
        <v>226</v>
      </c>
      <c r="E35" s="126"/>
      <c r="F35" s="126" t="s">
        <v>357</v>
      </c>
      <c r="G35" s="188" t="s">
        <v>356</v>
      </c>
      <c r="H35" s="126"/>
      <c r="I35" s="126"/>
      <c r="J35" s="179"/>
      <c r="K35" s="123"/>
    </row>
    <row r="36" spans="2:11" ht="30" x14ac:dyDescent="0.25">
      <c r="B36" s="176"/>
      <c r="C36" s="191">
        <v>31</v>
      </c>
      <c r="D36" s="126" t="s">
        <v>79</v>
      </c>
      <c r="E36" s="126"/>
      <c r="F36" s="126" t="s">
        <v>358</v>
      </c>
      <c r="G36" s="188" t="s">
        <v>356</v>
      </c>
      <c r="H36" s="126"/>
      <c r="I36" s="126"/>
      <c r="J36" s="179"/>
      <c r="K36" s="123"/>
    </row>
    <row r="37" spans="2:11" ht="30" x14ac:dyDescent="0.25">
      <c r="B37" s="176"/>
      <c r="C37" s="191">
        <v>32</v>
      </c>
      <c r="D37" s="126" t="s">
        <v>78</v>
      </c>
      <c r="E37" s="126"/>
      <c r="F37" s="126" t="s">
        <v>358</v>
      </c>
      <c r="G37" s="188" t="s">
        <v>356</v>
      </c>
      <c r="H37" s="126"/>
      <c r="I37" s="126"/>
      <c r="J37" s="179"/>
      <c r="K37" s="123"/>
    </row>
    <row r="38" spans="2:11" ht="45" x14ac:dyDescent="0.25">
      <c r="B38" s="192"/>
      <c r="C38" s="193">
        <v>33</v>
      </c>
      <c r="D38" s="184" t="s">
        <v>359</v>
      </c>
      <c r="E38" s="184"/>
      <c r="F38" s="184" t="s">
        <v>360</v>
      </c>
      <c r="G38" s="184" t="s">
        <v>361</v>
      </c>
      <c r="H38" s="184"/>
      <c r="I38" s="184"/>
      <c r="J38" s="186"/>
      <c r="K38" s="123"/>
    </row>
    <row r="39" spans="2:11" ht="45" x14ac:dyDescent="0.25">
      <c r="B39" s="195" t="s">
        <v>228</v>
      </c>
      <c r="C39" s="187">
        <v>34</v>
      </c>
      <c r="D39" s="188" t="s">
        <v>229</v>
      </c>
      <c r="E39" s="196"/>
      <c r="F39" s="196" t="s">
        <v>362</v>
      </c>
      <c r="G39" s="197" t="s">
        <v>363</v>
      </c>
      <c r="H39" s="188"/>
      <c r="I39" s="188"/>
      <c r="J39" s="190"/>
      <c r="K39" s="123"/>
    </row>
    <row r="40" spans="2:11" ht="45" x14ac:dyDescent="0.25">
      <c r="B40" s="176"/>
      <c r="C40" s="191">
        <v>35</v>
      </c>
      <c r="D40" s="138" t="s">
        <v>230</v>
      </c>
      <c r="E40" s="198"/>
      <c r="F40" s="198" t="s">
        <v>364</v>
      </c>
      <c r="G40" s="199" t="s">
        <v>365</v>
      </c>
      <c r="H40" s="138"/>
      <c r="I40" s="138"/>
      <c r="J40" s="200"/>
      <c r="K40" s="123"/>
    </row>
    <row r="41" spans="2:11" x14ac:dyDescent="0.25">
      <c r="B41" s="176"/>
      <c r="C41" s="191">
        <v>36</v>
      </c>
      <c r="D41" s="126" t="s">
        <v>231</v>
      </c>
      <c r="E41" s="141"/>
      <c r="F41" s="141" t="s">
        <v>366</v>
      </c>
      <c r="G41" s="141"/>
      <c r="H41" s="126"/>
      <c r="I41" s="126"/>
      <c r="J41" s="179"/>
      <c r="K41" s="123"/>
    </row>
    <row r="42" spans="2:11" ht="30" x14ac:dyDescent="0.25">
      <c r="B42" s="176"/>
      <c r="C42" s="191">
        <v>37</v>
      </c>
      <c r="D42" s="126" t="s">
        <v>232</v>
      </c>
      <c r="E42" s="141"/>
      <c r="F42" s="141" t="s">
        <v>367</v>
      </c>
      <c r="G42" s="201" t="s">
        <v>368</v>
      </c>
      <c r="H42" s="126"/>
      <c r="I42" s="126"/>
      <c r="J42" s="179"/>
      <c r="K42" s="123"/>
    </row>
    <row r="43" spans="2:11" x14ac:dyDescent="0.25">
      <c r="B43" s="176"/>
      <c r="C43" s="191">
        <v>38</v>
      </c>
      <c r="D43" s="141" t="s">
        <v>28</v>
      </c>
      <c r="E43" s="126"/>
      <c r="F43" s="126"/>
      <c r="G43" s="126"/>
      <c r="H43" s="126"/>
      <c r="I43" s="126"/>
      <c r="J43" s="179"/>
      <c r="K43" s="123"/>
    </row>
    <row r="44" spans="2:11" x14ac:dyDescent="0.25">
      <c r="B44" s="192"/>
      <c r="C44" s="193">
        <v>39</v>
      </c>
      <c r="D44" s="184" t="s">
        <v>233</v>
      </c>
      <c r="E44" s="202"/>
      <c r="F44" s="202"/>
      <c r="G44" s="202" t="s">
        <v>369</v>
      </c>
      <c r="H44" s="184"/>
      <c r="I44" s="184"/>
      <c r="J44" s="186"/>
      <c r="K44" s="123"/>
    </row>
    <row r="45" spans="2:11" ht="30" x14ac:dyDescent="0.25">
      <c r="B45" s="195" t="s">
        <v>45</v>
      </c>
      <c r="C45" s="187">
        <v>40</v>
      </c>
      <c r="D45" s="196" t="s">
        <v>234</v>
      </c>
      <c r="E45" s="188"/>
      <c r="F45" s="188"/>
      <c r="G45" s="188" t="s">
        <v>370</v>
      </c>
      <c r="H45" s="188"/>
      <c r="I45" s="188"/>
      <c r="J45" s="190"/>
      <c r="K45" s="123"/>
    </row>
    <row r="46" spans="2:11" ht="45" x14ac:dyDescent="0.25">
      <c r="B46" s="176"/>
      <c r="C46" s="191">
        <v>41</v>
      </c>
      <c r="D46" s="141" t="s">
        <v>235</v>
      </c>
      <c r="E46" s="126"/>
      <c r="F46" s="126"/>
      <c r="G46" s="126" t="s">
        <v>371</v>
      </c>
      <c r="H46" s="126"/>
      <c r="I46" s="126"/>
      <c r="J46" s="179"/>
      <c r="K46" s="123"/>
    </row>
    <row r="47" spans="2:11" ht="45.6" customHeight="1" x14ac:dyDescent="0.25">
      <c r="B47" s="192"/>
      <c r="C47" s="193">
        <v>42</v>
      </c>
      <c r="D47" s="202" t="s">
        <v>31</v>
      </c>
      <c r="E47" s="184"/>
      <c r="F47" s="184"/>
      <c r="G47" s="184" t="s">
        <v>372</v>
      </c>
      <c r="H47" s="184"/>
      <c r="I47" s="184"/>
      <c r="J47" s="186"/>
      <c r="K47" s="123"/>
    </row>
    <row r="48" spans="2:11" x14ac:dyDescent="0.25">
      <c r="D48" s="123"/>
      <c r="E48" s="123"/>
      <c r="F48" s="123"/>
      <c r="G48" s="123"/>
      <c r="H48" s="123"/>
      <c r="I48" s="123"/>
      <c r="J48" s="123"/>
      <c r="K48" s="123"/>
    </row>
    <row r="49" spans="2:11" ht="45" x14ac:dyDescent="0.25">
      <c r="B49" s="195" t="s">
        <v>236</v>
      </c>
      <c r="C49" s="203" t="s">
        <v>237</v>
      </c>
      <c r="D49" s="188" t="s">
        <v>238</v>
      </c>
      <c r="E49" s="188"/>
      <c r="F49" s="188" t="s">
        <v>373</v>
      </c>
      <c r="G49" s="188" t="s">
        <v>374</v>
      </c>
      <c r="H49" s="188"/>
      <c r="I49" s="188"/>
      <c r="J49" s="190"/>
      <c r="K49" s="123"/>
    </row>
    <row r="50" spans="2:11" ht="75" x14ac:dyDescent="0.25">
      <c r="B50" s="176"/>
      <c r="C50" s="164" t="s">
        <v>239</v>
      </c>
      <c r="D50" s="126" t="s">
        <v>240</v>
      </c>
      <c r="E50" s="126"/>
      <c r="F50" s="126" t="s">
        <v>375</v>
      </c>
      <c r="G50" s="126" t="s">
        <v>376</v>
      </c>
      <c r="H50" s="126"/>
      <c r="I50" s="126"/>
      <c r="J50" s="179"/>
      <c r="K50" s="123"/>
    </row>
    <row r="51" spans="2:11" ht="53.25" customHeight="1" x14ac:dyDescent="0.25">
      <c r="B51" s="192"/>
      <c r="C51" s="204" t="s">
        <v>241</v>
      </c>
      <c r="D51" s="184" t="s">
        <v>242</v>
      </c>
      <c r="E51" s="184"/>
      <c r="F51" s="184" t="s">
        <v>377</v>
      </c>
      <c r="G51" s="184" t="s">
        <v>378</v>
      </c>
      <c r="H51" s="202"/>
      <c r="I51" s="202"/>
      <c r="J51" s="205"/>
    </row>
    <row r="58" spans="2:11" x14ac:dyDescent="0.25">
      <c r="D58" s="1" t="s">
        <v>379</v>
      </c>
      <c r="G58" s="1" t="s">
        <v>380</v>
      </c>
    </row>
    <row r="59" spans="2:11" x14ac:dyDescent="0.25">
      <c r="D59" s="1" t="s">
        <v>381</v>
      </c>
    </row>
    <row r="61" spans="2:11" x14ac:dyDescent="0.25">
      <c r="F61" s="206" t="s">
        <v>382</v>
      </c>
    </row>
    <row r="62" spans="2:11" x14ac:dyDescent="0.25">
      <c r="F62" s="206" t="s">
        <v>383</v>
      </c>
    </row>
    <row r="63" spans="2:11" x14ac:dyDescent="0.25">
      <c r="F63" s="206" t="s">
        <v>384</v>
      </c>
    </row>
  </sheetData>
  <mergeCells count="1">
    <mergeCell ref="B8:B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73E8F62A6F33F43AEDCA2632C83E862" ma:contentTypeVersion="3" ma:contentTypeDescription="Create a new document." ma:contentTypeScope="" ma:versionID="f701c4933cbd5567715de06363782985">
  <xsd:schema xmlns:xsd="http://www.w3.org/2001/XMLSchema" xmlns:xs="http://www.w3.org/2001/XMLSchema" xmlns:p="http://schemas.microsoft.com/office/2006/metadata/properties" xmlns:ns2="e6e37437-bdf9-4b5d-81da-8876567b08fa" targetNamespace="http://schemas.microsoft.com/office/2006/metadata/properties" ma:root="true" ma:fieldsID="8aa6cd2d687a6c99b417191d4d494aa5" ns2:_="">
    <xsd:import namespace="e6e37437-bdf9-4b5d-81da-8876567b08f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e37437-bdf9-4b5d-81da-8876567b08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6CF727-4854-4E0E-8A67-CD6EBD54B2A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2C2B963-1B9C-49FC-AD8D-EAC5119A9DEC}">
  <ds:schemaRefs>
    <ds:schemaRef ds:uri="http://schemas.microsoft.com/sharepoint/v3/contenttype/forms"/>
  </ds:schemaRefs>
</ds:datastoreItem>
</file>

<file path=customXml/itemProps3.xml><?xml version="1.0" encoding="utf-8"?>
<ds:datastoreItem xmlns:ds="http://schemas.openxmlformats.org/officeDocument/2006/customXml" ds:itemID="{8580120E-D8F8-4873-8616-54872018E4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e37437-bdf9-4b5d-81da-8876567b08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54e0f0d-32fc-4382-ae2d-62fc9cef12cb}" enabled="1" method="Standard" siteId="{8df22a8d-9153-489d-950c-a20cccb6562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Overview</vt:lpstr>
      <vt:lpstr>FAQs</vt:lpstr>
      <vt:lpstr>Inputs</vt:lpstr>
      <vt:lpstr>Checklist</vt:lpstr>
      <vt:lpstr>Compare</vt:lpstr>
      <vt:lpstr>Scenarios</vt:lpstr>
      <vt:lpstr>1. Margins</vt:lpstr>
      <vt:lpstr>2. OHCOGS</vt:lpstr>
      <vt:lpstr>3. Opex</vt:lpstr>
      <vt:lpstr>4. Investments</vt:lpstr>
      <vt:lpstr>5. Balance Sheet</vt:lpstr>
      <vt:lpstr>6. Tax</vt:lpstr>
      <vt:lpstr>7. Non-Opex</vt:lpstr>
      <vt:lpstr>Glossary</vt:lpstr>
      <vt:lpstr>tv_growth</vt:lpstr>
      <vt:lpstr>wacc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Rodgers, Dave</dc:creator>
  <cp:keywords/>
  <dc:description/>
  <cp:lastModifiedBy>Blount, Natalia</cp:lastModifiedBy>
  <cp:revision/>
  <dcterms:created xsi:type="dcterms:W3CDTF">2026-02-12T10:17:06Z</dcterms:created>
  <dcterms:modified xsi:type="dcterms:W3CDTF">2026-05-07T20:09:10Z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0x010100973E8F62A6F33F43AEDCA2632C83E862</vt:lpwstr>
  </property>
</Properties>
</file>