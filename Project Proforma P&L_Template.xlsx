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ia.Blount\Downloads\"/>
    </mc:Choice>
  </mc:AlternateContent>
  <xr:revisionPtr revIDLastSave="0" documentId="13_ncr:1_{FE72B71D-4942-47B5-8253-79AC04B4B90E}" xr6:coauthVersionLast="47" xr6:coauthVersionMax="47" xr10:uidLastSave="{00000000-0000-0000-0000-000000000000}"/>
  <bookViews>
    <workbookView xWindow="-120" yWindow="-120" windowWidth="29040" windowHeight="15720" tabRatio="925" xr2:uid="{9492C4D6-DA9B-4877-B0AF-32288B04F460}"/>
  </bookViews>
  <sheets>
    <sheet name="P&amp;L" sheetId="18" r:id="rId1"/>
    <sheet name="Volume Impact" sheetId="15" r:id="rId2"/>
    <sheet name="OHCOGS" sheetId="23" r:id="rId3"/>
    <sheet name="Opex HC" sheetId="16" r:id="rId4"/>
    <sheet name="Cash" sheetId="25" r:id="rId5"/>
    <sheet name="Impact to Cash" sheetId="17" r:id="rId6"/>
  </sheets>
  <definedNames>
    <definedName name="entity">#REF!</definedName>
    <definedName name="entity1">#REF!</definedName>
    <definedName name="scenario">#REF!</definedName>
    <definedName name="yea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25" l="1"/>
  <c r="E9" i="25"/>
  <c r="D9" i="25"/>
  <c r="C9" i="25"/>
  <c r="T46" i="17"/>
  <c r="T57" i="17" s="1"/>
  <c r="T9" i="25" s="1"/>
  <c r="S46" i="17"/>
  <c r="S57" i="17" s="1"/>
  <c r="S9" i="25" s="1"/>
  <c r="R46" i="17"/>
  <c r="R57" i="17" s="1"/>
  <c r="R9" i="25" s="1"/>
  <c r="Q46" i="17"/>
  <c r="Q57" i="17" s="1"/>
  <c r="Q9" i="25" s="1"/>
  <c r="P46" i="17"/>
  <c r="P57" i="17" s="1"/>
  <c r="P9" i="25" s="1"/>
  <c r="N46" i="17"/>
  <c r="N57" i="17" s="1"/>
  <c r="N9" i="25" s="1"/>
  <c r="M46" i="17"/>
  <c r="M57" i="17" s="1"/>
  <c r="M9" i="25" s="1"/>
  <c r="L46" i="17"/>
  <c r="L57" i="17" s="1"/>
  <c r="L9" i="25" s="1"/>
  <c r="K46" i="17"/>
  <c r="K57" i="17" s="1"/>
  <c r="K9" i="25" s="1"/>
  <c r="I46" i="17"/>
  <c r="I57" i="17" s="1"/>
  <c r="I9" i="25" s="1"/>
  <c r="H46" i="17"/>
  <c r="H57" i="17" s="1"/>
  <c r="H9" i="25" s="1"/>
  <c r="G46" i="17"/>
  <c r="G57" i="17" s="1"/>
  <c r="G9" i="25" s="1"/>
  <c r="F46" i="17"/>
  <c r="F57" i="17" s="1"/>
  <c r="F9" i="25" s="1"/>
  <c r="T31" i="16"/>
  <c r="S31" i="16"/>
  <c r="R31" i="16"/>
  <c r="Q31" i="16"/>
  <c r="P31" i="16"/>
  <c r="T30" i="16"/>
  <c r="S30" i="16"/>
  <c r="R30" i="16"/>
  <c r="Q30" i="16"/>
  <c r="P30" i="16"/>
  <c r="T29" i="16"/>
  <c r="S29" i="16"/>
  <c r="R29" i="16"/>
  <c r="Q29" i="16"/>
  <c r="P29" i="16"/>
  <c r="N31" i="16"/>
  <c r="M31" i="16"/>
  <c r="L31" i="16"/>
  <c r="K31" i="16"/>
  <c r="N30" i="16"/>
  <c r="M30" i="16"/>
  <c r="L30" i="16"/>
  <c r="K30" i="16"/>
  <c r="N29" i="16"/>
  <c r="M29" i="16"/>
  <c r="L29" i="16"/>
  <c r="K29" i="16"/>
  <c r="I31" i="16"/>
  <c r="I40" i="16" s="1"/>
  <c r="H31" i="16"/>
  <c r="H40" i="16" s="1"/>
  <c r="G31" i="16"/>
  <c r="G40" i="16" s="1"/>
  <c r="F31" i="16"/>
  <c r="F40" i="16" s="1"/>
  <c r="I30" i="16"/>
  <c r="I39" i="16" s="1"/>
  <c r="H30" i="16"/>
  <c r="H39" i="16" s="1"/>
  <c r="G30" i="16"/>
  <c r="G39" i="16" s="1"/>
  <c r="F30" i="16"/>
  <c r="F39" i="16" s="1"/>
  <c r="I29" i="16"/>
  <c r="I38" i="16" s="1"/>
  <c r="H29" i="16"/>
  <c r="H38" i="16" s="1"/>
  <c r="G29" i="16"/>
  <c r="G38" i="16" s="1"/>
  <c r="F29" i="16"/>
  <c r="F38" i="16" s="1"/>
  <c r="T27" i="17"/>
  <c r="S27" i="17"/>
  <c r="R27" i="17"/>
  <c r="Q27" i="17"/>
  <c r="P27" i="17"/>
  <c r="N27" i="17"/>
  <c r="M27" i="17"/>
  <c r="L27" i="17"/>
  <c r="K27" i="17"/>
  <c r="G27" i="17"/>
  <c r="H27" i="17"/>
  <c r="I27" i="17"/>
  <c r="F27" i="17"/>
  <c r="I56" i="15"/>
  <c r="H56" i="15"/>
  <c r="G56" i="15"/>
  <c r="I55" i="15"/>
  <c r="H55" i="15"/>
  <c r="G55" i="15"/>
  <c r="I54" i="15"/>
  <c r="H54" i="15"/>
  <c r="G54" i="15"/>
  <c r="I53" i="15"/>
  <c r="H53" i="15"/>
  <c r="G53" i="15"/>
  <c r="I52" i="15"/>
  <c r="H52" i="15"/>
  <c r="G52" i="15"/>
  <c r="I51" i="15"/>
  <c r="H51" i="15"/>
  <c r="G51" i="15"/>
  <c r="I50" i="15"/>
  <c r="H50" i="15"/>
  <c r="G50" i="15"/>
  <c r="F56" i="15"/>
  <c r="F55" i="15"/>
  <c r="F54" i="15"/>
  <c r="F53" i="15"/>
  <c r="F52" i="15"/>
  <c r="F51" i="15"/>
  <c r="F50" i="15"/>
  <c r="E14" i="25"/>
  <c r="E16" i="25" s="1"/>
  <c r="D14" i="25"/>
  <c r="D16" i="25" s="1"/>
  <c r="C14" i="25"/>
  <c r="C16" i="25" s="1"/>
  <c r="C57" i="25"/>
  <c r="C53" i="25"/>
  <c r="C49" i="25"/>
  <c r="O57" i="17" l="1"/>
  <c r="O9" i="25" s="1"/>
  <c r="J57" i="17"/>
  <c r="J9" i="25" s="1"/>
  <c r="K38" i="16"/>
  <c r="L38" i="16" s="1"/>
  <c r="M38" i="16" s="1"/>
  <c r="N38" i="16" s="1"/>
  <c r="K40" i="16"/>
  <c r="L40" i="16" s="1"/>
  <c r="M40" i="16" s="1"/>
  <c r="N40" i="16" s="1"/>
  <c r="K39" i="16"/>
  <c r="L39" i="16" s="1"/>
  <c r="M39" i="16" s="1"/>
  <c r="N39" i="16" s="1"/>
  <c r="C58" i="25"/>
  <c r="C60" i="25" s="1"/>
  <c r="P41" i="17" l="1"/>
  <c r="P56" i="17" s="1"/>
  <c r="P14" i="25" s="1"/>
  <c r="P16" i="25" s="1"/>
  <c r="Q41" i="17"/>
  <c r="Q56" i="17" s="1"/>
  <c r="Q14" i="25" s="1"/>
  <c r="Q16" i="25" s="1"/>
  <c r="R41" i="17"/>
  <c r="R56" i="17" s="1"/>
  <c r="R14" i="25" s="1"/>
  <c r="R16" i="25" s="1"/>
  <c r="S41" i="17"/>
  <c r="S56" i="17" s="1"/>
  <c r="S14" i="25" s="1"/>
  <c r="S16" i="25" s="1"/>
  <c r="T41" i="17"/>
  <c r="T56" i="17" s="1"/>
  <c r="T14" i="25" s="1"/>
  <c r="T16" i="25" s="1"/>
  <c r="K41" i="17"/>
  <c r="K56" i="17" s="1"/>
  <c r="K14" i="25" s="1"/>
  <c r="K16" i="25" s="1"/>
  <c r="L41" i="17"/>
  <c r="L56" i="17" s="1"/>
  <c r="L14" i="25" s="1"/>
  <c r="L16" i="25" s="1"/>
  <c r="M41" i="17"/>
  <c r="M56" i="17" s="1"/>
  <c r="M14" i="25" s="1"/>
  <c r="M16" i="25" s="1"/>
  <c r="N41" i="17"/>
  <c r="N56" i="17" s="1"/>
  <c r="N14" i="25" s="1"/>
  <c r="N16" i="25" s="1"/>
  <c r="G41" i="17"/>
  <c r="G56" i="17" s="1"/>
  <c r="G14" i="25" s="1"/>
  <c r="G16" i="25" s="1"/>
  <c r="H41" i="17"/>
  <c r="H56" i="17" s="1"/>
  <c r="H14" i="25" s="1"/>
  <c r="H16" i="25" s="1"/>
  <c r="I41" i="17"/>
  <c r="I56" i="17" s="1"/>
  <c r="I14" i="25" s="1"/>
  <c r="I16" i="25" s="1"/>
  <c r="F41" i="17"/>
  <c r="F56" i="17" s="1"/>
  <c r="F14" i="25" s="1"/>
  <c r="F16" i="25" s="1"/>
  <c r="C55" i="17"/>
  <c r="C10" i="25" s="1"/>
  <c r="D55" i="17"/>
  <c r="D10" i="25" s="1"/>
  <c r="P8" i="17"/>
  <c r="P53" i="17" s="1"/>
  <c r="P27" i="18" s="1"/>
  <c r="Q8" i="17"/>
  <c r="Q53" i="17" s="1"/>
  <c r="Q27" i="18" s="1"/>
  <c r="R8" i="17"/>
  <c r="R53" i="17" s="1"/>
  <c r="R27" i="18" s="1"/>
  <c r="S8" i="17"/>
  <c r="S53" i="17" s="1"/>
  <c r="S27" i="18" s="1"/>
  <c r="T8" i="17"/>
  <c r="T53" i="17" s="1"/>
  <c r="T27" i="18" s="1"/>
  <c r="K8" i="17"/>
  <c r="K53" i="17" s="1"/>
  <c r="K27" i="18" s="1"/>
  <c r="L8" i="17"/>
  <c r="L53" i="17" s="1"/>
  <c r="L27" i="18" s="1"/>
  <c r="M8" i="17"/>
  <c r="M53" i="17" s="1"/>
  <c r="M27" i="18" s="1"/>
  <c r="N8" i="17"/>
  <c r="N53" i="17" s="1"/>
  <c r="N27" i="18" s="1"/>
  <c r="F8" i="17"/>
  <c r="G8" i="17"/>
  <c r="H8" i="17"/>
  <c r="I8" i="17"/>
  <c r="P16" i="17"/>
  <c r="P54" i="17" s="1"/>
  <c r="P28" i="18" s="1"/>
  <c r="Q16" i="17"/>
  <c r="Q54" i="17" s="1"/>
  <c r="Q28" i="18" s="1"/>
  <c r="R16" i="17"/>
  <c r="R54" i="17" s="1"/>
  <c r="R28" i="18" s="1"/>
  <c r="S16" i="17"/>
  <c r="S54" i="17" s="1"/>
  <c r="S28" i="18" s="1"/>
  <c r="T16" i="17"/>
  <c r="T54" i="17" s="1"/>
  <c r="T28" i="18" s="1"/>
  <c r="K16" i="17"/>
  <c r="K54" i="17" s="1"/>
  <c r="K28" i="18" s="1"/>
  <c r="L16" i="17"/>
  <c r="L54" i="17" s="1"/>
  <c r="L28" i="18" s="1"/>
  <c r="M16" i="17"/>
  <c r="M54" i="17" s="1"/>
  <c r="M28" i="18" s="1"/>
  <c r="N16" i="17"/>
  <c r="N54" i="17" s="1"/>
  <c r="N28" i="18" s="1"/>
  <c r="F16" i="17"/>
  <c r="G16" i="17"/>
  <c r="H16" i="17"/>
  <c r="I16" i="17"/>
  <c r="P33" i="17"/>
  <c r="P55" i="17" s="1"/>
  <c r="Q33" i="17"/>
  <c r="Q55" i="17" s="1"/>
  <c r="R33" i="17"/>
  <c r="R55" i="17" s="1"/>
  <c r="S33" i="17"/>
  <c r="S55" i="17" s="1"/>
  <c r="T33" i="17"/>
  <c r="T55" i="17" s="1"/>
  <c r="K33" i="17"/>
  <c r="K55" i="17" s="1"/>
  <c r="L33" i="17"/>
  <c r="L55" i="17" s="1"/>
  <c r="M33" i="17"/>
  <c r="M55" i="17" s="1"/>
  <c r="N33" i="17"/>
  <c r="N55" i="17" s="1"/>
  <c r="F33" i="17"/>
  <c r="G33" i="17"/>
  <c r="G55" i="17" s="1"/>
  <c r="H33" i="17"/>
  <c r="H55" i="17" s="1"/>
  <c r="I33" i="17"/>
  <c r="I55" i="17" s="1"/>
  <c r="F55" i="17" l="1"/>
  <c r="J55" i="17" s="1"/>
  <c r="J56" i="17"/>
  <c r="J14" i="25" s="1"/>
  <c r="J16" i="25" s="1"/>
  <c r="O56" i="17"/>
  <c r="O14" i="25" s="1"/>
  <c r="O16" i="25" s="1"/>
  <c r="G53" i="17" l="1"/>
  <c r="G27" i="18" s="1"/>
  <c r="H53" i="17"/>
  <c r="H27" i="18" s="1"/>
  <c r="I53" i="17"/>
  <c r="I27" i="18" s="1"/>
  <c r="G54" i="17"/>
  <c r="G28" i="18" s="1"/>
  <c r="H54" i="17"/>
  <c r="H28" i="18" s="1"/>
  <c r="I54" i="17"/>
  <c r="I28" i="18" s="1"/>
  <c r="F54" i="17"/>
  <c r="F28" i="18" s="1"/>
  <c r="F53" i="17"/>
  <c r="F27" i="18" s="1"/>
  <c r="E53" i="17"/>
  <c r="E27" i="18" s="1"/>
  <c r="E54" i="17"/>
  <c r="E28" i="18" s="1"/>
  <c r="D54" i="17"/>
  <c r="D28" i="18" s="1"/>
  <c r="D53" i="17"/>
  <c r="D27" i="18" s="1"/>
  <c r="C54" i="17"/>
  <c r="C28" i="18" s="1"/>
  <c r="C53" i="17"/>
  <c r="C27" i="18" s="1"/>
  <c r="G26" i="18"/>
  <c r="H26" i="18"/>
  <c r="G30" i="23"/>
  <c r="G19" i="18" s="1"/>
  <c r="H30" i="23"/>
  <c r="H19" i="18" s="1"/>
  <c r="I30" i="23"/>
  <c r="F30" i="23"/>
  <c r="F19" i="18" s="1"/>
  <c r="G29" i="23"/>
  <c r="G18" i="18" s="1"/>
  <c r="H29" i="23"/>
  <c r="H18" i="18" s="1"/>
  <c r="I29" i="23"/>
  <c r="I18" i="18" s="1"/>
  <c r="F29" i="23"/>
  <c r="F18" i="18" s="1"/>
  <c r="C29" i="23"/>
  <c r="C18" i="18" s="1"/>
  <c r="D29" i="23"/>
  <c r="D18" i="18" s="1"/>
  <c r="E29" i="23"/>
  <c r="E18" i="18" s="1"/>
  <c r="C30" i="23"/>
  <c r="C19" i="18" s="1"/>
  <c r="D30" i="23"/>
  <c r="D19" i="18" s="1"/>
  <c r="E30" i="23"/>
  <c r="E19" i="18" s="1"/>
  <c r="G25" i="18"/>
  <c r="H25" i="18"/>
  <c r="F26" i="18"/>
  <c r="F25" i="18"/>
  <c r="F24" i="18"/>
  <c r="I26" i="18" l="1"/>
  <c r="I25" i="18"/>
  <c r="F29" i="18"/>
  <c r="J10" i="25"/>
  <c r="K30" i="23"/>
  <c r="K19" i="18" s="1"/>
  <c r="I19" i="18"/>
  <c r="J53" i="17"/>
  <c r="J27" i="18" s="1"/>
  <c r="O53" i="17"/>
  <c r="O27" i="18" s="1"/>
  <c r="O54" i="17"/>
  <c r="O28" i="18" s="1"/>
  <c r="J54" i="17"/>
  <c r="J28" i="18" s="1"/>
  <c r="H10" i="25"/>
  <c r="G10" i="25"/>
  <c r="F10" i="25"/>
  <c r="N30" i="23"/>
  <c r="N19" i="18" s="1"/>
  <c r="M30" i="23"/>
  <c r="M19" i="18" s="1"/>
  <c r="L30" i="23"/>
  <c r="L19" i="18" s="1"/>
  <c r="F41" i="16"/>
  <c r="J29" i="23"/>
  <c r="J30" i="23"/>
  <c r="J19" i="18" s="1"/>
  <c r="K25" i="18" l="1"/>
  <c r="K26" i="18"/>
  <c r="I10" i="25"/>
  <c r="O29" i="23"/>
  <c r="O18" i="18" s="1"/>
  <c r="J18" i="18"/>
  <c r="J40" i="16"/>
  <c r="J26" i="18" s="1"/>
  <c r="O30" i="23"/>
  <c r="M29" i="23"/>
  <c r="M18" i="18" s="1"/>
  <c r="N29" i="23"/>
  <c r="N18" i="18" s="1"/>
  <c r="P29" i="23"/>
  <c r="K29" i="23"/>
  <c r="K18" i="18" s="1"/>
  <c r="L26" i="18" l="1"/>
  <c r="L25" i="18"/>
  <c r="N10" i="25"/>
  <c r="L10" i="25"/>
  <c r="L29" i="23"/>
  <c r="L18" i="18" s="1"/>
  <c r="M10" i="25"/>
  <c r="Q29" i="23"/>
  <c r="P18" i="18"/>
  <c r="K10" i="25"/>
  <c r="P30" i="23"/>
  <c r="O19" i="18"/>
  <c r="G41" i="16"/>
  <c r="G24" i="18"/>
  <c r="G29" i="18" s="1"/>
  <c r="I24" i="18"/>
  <c r="I29" i="18" s="1"/>
  <c r="J39" i="16"/>
  <c r="J25" i="18" s="1"/>
  <c r="M25" i="18" l="1"/>
  <c r="M26" i="18"/>
  <c r="R29" i="23"/>
  <c r="Q18" i="18"/>
  <c r="Q30" i="23"/>
  <c r="P19" i="18"/>
  <c r="O55" i="17"/>
  <c r="O10" i="25" s="1"/>
  <c r="H41" i="16"/>
  <c r="H24" i="18"/>
  <c r="H29" i="18" s="1"/>
  <c r="M24" i="18"/>
  <c r="K24" i="18"/>
  <c r="K29" i="18" s="1"/>
  <c r="N24" i="18"/>
  <c r="L24" i="18"/>
  <c r="L29" i="18" s="1"/>
  <c r="M29" i="18" l="1"/>
  <c r="N26" i="18"/>
  <c r="O40" i="16"/>
  <c r="P40" i="16" s="1"/>
  <c r="Q40" i="16" s="1"/>
  <c r="R40" i="16" s="1"/>
  <c r="S40" i="16" s="1"/>
  <c r="T40" i="16" s="1"/>
  <c r="N25" i="18"/>
  <c r="O39" i="16"/>
  <c r="P39" i="16" s="1"/>
  <c r="Q39" i="16" s="1"/>
  <c r="R39" i="16" s="1"/>
  <c r="S39" i="16" s="1"/>
  <c r="T39" i="16" s="1"/>
  <c r="S29" i="23"/>
  <c r="R18" i="18"/>
  <c r="P10" i="25"/>
  <c r="R30" i="23"/>
  <c r="Q19" i="18"/>
  <c r="M41" i="16"/>
  <c r="N41" i="16"/>
  <c r="I41" i="16"/>
  <c r="L41" i="16"/>
  <c r="J38" i="16"/>
  <c r="N29" i="18" l="1"/>
  <c r="O25" i="18"/>
  <c r="O26" i="18"/>
  <c r="S30" i="23"/>
  <c r="R19" i="18"/>
  <c r="T29" i="23"/>
  <c r="T18" i="18" s="1"/>
  <c r="S18" i="18"/>
  <c r="Q10" i="25"/>
  <c r="J41" i="16"/>
  <c r="J24" i="18"/>
  <c r="J29" i="18" s="1"/>
  <c r="O38" i="16"/>
  <c r="P38" i="16" s="1"/>
  <c r="Q38" i="16" s="1"/>
  <c r="R38" i="16" s="1"/>
  <c r="S38" i="16" s="1"/>
  <c r="T38" i="16" s="1"/>
  <c r="K41" i="16"/>
  <c r="P26" i="18" l="1"/>
  <c r="P25" i="18"/>
  <c r="T30" i="23"/>
  <c r="T19" i="18" s="1"/>
  <c r="S19" i="18"/>
  <c r="R10" i="25"/>
  <c r="O24" i="18"/>
  <c r="O29" i="18" s="1"/>
  <c r="O41" i="16"/>
  <c r="P41" i="16"/>
  <c r="Q25" i="18" l="1"/>
  <c r="Q26" i="18"/>
  <c r="S10" i="25"/>
  <c r="P24" i="18"/>
  <c r="P29" i="18" s="1"/>
  <c r="R26" i="18" l="1"/>
  <c r="R25" i="18"/>
  <c r="T10" i="25"/>
  <c r="Q24" i="18"/>
  <c r="Q29" i="18" s="1"/>
  <c r="Q41" i="16"/>
  <c r="T25" i="18" l="1"/>
  <c r="S25" i="18"/>
  <c r="T26" i="18"/>
  <c r="S26" i="18"/>
  <c r="R24" i="18"/>
  <c r="R29" i="18" s="1"/>
  <c r="R41" i="16"/>
  <c r="S24" i="18" l="1"/>
  <c r="S29" i="18" s="1"/>
  <c r="S41" i="16"/>
  <c r="T24" i="18" l="1"/>
  <c r="T29" i="18" s="1"/>
  <c r="T41" i="16"/>
  <c r="E40" i="16" l="1"/>
  <c r="E26" i="18" s="1"/>
  <c r="E39" i="16"/>
  <c r="E25" i="18" s="1"/>
  <c r="E38" i="16"/>
  <c r="D40" i="16"/>
  <c r="D26" i="18" s="1"/>
  <c r="D39" i="16"/>
  <c r="D25" i="18" s="1"/>
  <c r="D38" i="16"/>
  <c r="D24" i="18" s="1"/>
  <c r="C40" i="16"/>
  <c r="C26" i="18" s="1"/>
  <c r="C39" i="16"/>
  <c r="C25" i="18" s="1"/>
  <c r="C38" i="16"/>
  <c r="C24" i="18" s="1"/>
  <c r="C29" i="18" l="1"/>
  <c r="D52" i="15"/>
  <c r="D51" i="15"/>
  <c r="J54" i="15"/>
  <c r="O54" i="15" s="1"/>
  <c r="P54" i="15" s="1"/>
  <c r="Q54" i="15" s="1"/>
  <c r="R54" i="15" s="1"/>
  <c r="S54" i="15" s="1"/>
  <c r="T54" i="15" s="1"/>
  <c r="E56" i="15"/>
  <c r="E54" i="15"/>
  <c r="E50" i="15"/>
  <c r="E53" i="15"/>
  <c r="E51" i="15"/>
  <c r="C55" i="15"/>
  <c r="C54" i="15"/>
  <c r="C50" i="15"/>
  <c r="C51" i="15"/>
  <c r="C56" i="15"/>
  <c r="D50" i="15"/>
  <c r="C53" i="15"/>
  <c r="E52" i="15"/>
  <c r="D56" i="15"/>
  <c r="C52" i="15"/>
  <c r="D55" i="15"/>
  <c r="E55" i="15"/>
  <c r="D54" i="15"/>
  <c r="D53" i="15"/>
  <c r="D29" i="18"/>
  <c r="E41" i="16"/>
  <c r="E24" i="18"/>
  <c r="E29" i="18" s="1"/>
  <c r="C41" i="16"/>
  <c r="D41" i="16"/>
  <c r="G57" i="15" l="1"/>
  <c r="G15" i="18" s="1"/>
  <c r="J53" i="15"/>
  <c r="O53" i="15" s="1"/>
  <c r="P53" i="15" s="1"/>
  <c r="Q53" i="15" s="1"/>
  <c r="R53" i="15" s="1"/>
  <c r="S53" i="15" s="1"/>
  <c r="T53" i="15" s="1"/>
  <c r="E57" i="15"/>
  <c r="E15" i="18" s="1"/>
  <c r="E21" i="18" s="1"/>
  <c r="F57" i="15"/>
  <c r="F15" i="18" s="1"/>
  <c r="F21" i="18" s="1"/>
  <c r="D57" i="15"/>
  <c r="D15" i="18" s="1"/>
  <c r="C57" i="15"/>
  <c r="C15" i="18" s="1"/>
  <c r="C21" i="18" s="1"/>
  <c r="J50" i="15"/>
  <c r="O50" i="15" s="1"/>
  <c r="P50" i="15" s="1"/>
  <c r="Q50" i="15" s="1"/>
  <c r="R50" i="15" s="1"/>
  <c r="S50" i="15" s="1"/>
  <c r="T50" i="15" s="1"/>
  <c r="H57" i="15"/>
  <c r="H15" i="18" s="1"/>
  <c r="H21" i="18" s="1"/>
  <c r="J52" i="15"/>
  <c r="J51" i="15"/>
  <c r="O51" i="15" s="1"/>
  <c r="P51" i="15" s="1"/>
  <c r="Q51" i="15" s="1"/>
  <c r="R51" i="15" s="1"/>
  <c r="S51" i="15" s="1"/>
  <c r="T51" i="15" s="1"/>
  <c r="J56" i="15"/>
  <c r="O56" i="15" s="1"/>
  <c r="P56" i="15" s="1"/>
  <c r="Q56" i="15" s="1"/>
  <c r="R56" i="15" s="1"/>
  <c r="S56" i="15" s="1"/>
  <c r="T56" i="15" s="1"/>
  <c r="J55" i="15"/>
  <c r="O55" i="15" s="1"/>
  <c r="P55" i="15" s="1"/>
  <c r="Q55" i="15" s="1"/>
  <c r="R55" i="15" s="1"/>
  <c r="S55" i="15" s="1"/>
  <c r="T55" i="15" s="1"/>
  <c r="G21" i="18"/>
  <c r="D21" i="18"/>
  <c r="N54" i="15"/>
  <c r="K54" i="15"/>
  <c r="L54" i="15"/>
  <c r="M54" i="15"/>
  <c r="I57" i="15" l="1"/>
  <c r="I15" i="18" s="1"/>
  <c r="J57" i="15"/>
  <c r="J15" i="18" s="1"/>
  <c r="E31" i="18"/>
  <c r="E37" i="18" s="1"/>
  <c r="E7" i="25" s="1"/>
  <c r="E12" i="25" s="1"/>
  <c r="E18" i="25" s="1"/>
  <c r="F20" i="25" s="1"/>
  <c r="F31" i="18"/>
  <c r="F37" i="18" s="1"/>
  <c r="F7" i="25" s="1"/>
  <c r="F12" i="25" s="1"/>
  <c r="F18" i="25" s="1"/>
  <c r="H31" i="18"/>
  <c r="H37" i="18" s="1"/>
  <c r="H7" i="25" s="1"/>
  <c r="H12" i="25" s="1"/>
  <c r="H18" i="25" s="1"/>
  <c r="D31" i="18"/>
  <c r="D37" i="18" s="1"/>
  <c r="D7" i="25" s="1"/>
  <c r="D12" i="25" s="1"/>
  <c r="D18" i="25" s="1"/>
  <c r="D21" i="25" s="1"/>
  <c r="E20" i="25" s="1"/>
  <c r="J21" i="18"/>
  <c r="C31" i="18"/>
  <c r="C37" i="18" s="1"/>
  <c r="C7" i="25" s="1"/>
  <c r="C12" i="25" s="1"/>
  <c r="C18" i="25" s="1"/>
  <c r="C21" i="25" s="1"/>
  <c r="I21" i="18"/>
  <c r="G31" i="18"/>
  <c r="G37" i="18" s="1"/>
  <c r="G7" i="25" s="1"/>
  <c r="G12" i="25" s="1"/>
  <c r="G18" i="25" s="1"/>
  <c r="N50" i="15"/>
  <c r="L50" i="15"/>
  <c r="K50" i="15"/>
  <c r="M50" i="15"/>
  <c r="K53" i="15"/>
  <c r="L53" i="15"/>
  <c r="M53" i="15"/>
  <c r="N53" i="15"/>
  <c r="K51" i="15"/>
  <c r="L51" i="15"/>
  <c r="M51" i="15"/>
  <c r="N51" i="15"/>
  <c r="M55" i="15"/>
  <c r="N55" i="15"/>
  <c r="K55" i="15"/>
  <c r="L55" i="15"/>
  <c r="O52" i="15"/>
  <c r="P52" i="15" s="1"/>
  <c r="Q52" i="15" s="1"/>
  <c r="R52" i="15" s="1"/>
  <c r="S52" i="15" s="1"/>
  <c r="T52" i="15" s="1"/>
  <c r="K56" i="15"/>
  <c r="L56" i="15"/>
  <c r="M56" i="15"/>
  <c r="N56" i="15"/>
  <c r="F21" i="25" l="1"/>
  <c r="G20" i="25" s="1"/>
  <c r="G21" i="25" s="1"/>
  <c r="H20" i="25" s="1"/>
  <c r="H21" i="25" s="1"/>
  <c r="I20" i="25" s="1"/>
  <c r="I31" i="18"/>
  <c r="I37" i="18" s="1"/>
  <c r="I7" i="25" s="1"/>
  <c r="I12" i="25" s="1"/>
  <c r="I18" i="25" s="1"/>
  <c r="J31" i="18"/>
  <c r="J37" i="18" s="1"/>
  <c r="J7" i="25" s="1"/>
  <c r="J12" i="25" s="1"/>
  <c r="J18" i="25" s="1"/>
  <c r="L52" i="15"/>
  <c r="N52" i="15"/>
  <c r="N57" i="15" s="1"/>
  <c r="N15" i="18" s="1"/>
  <c r="M52" i="15"/>
  <c r="M57" i="15" s="1"/>
  <c r="M15" i="18" s="1"/>
  <c r="P57" i="15"/>
  <c r="P15" i="18" s="1"/>
  <c r="K52" i="15"/>
  <c r="K57" i="15" s="1"/>
  <c r="K15" i="18" s="1"/>
  <c r="O57" i="15"/>
  <c r="O15" i="18" s="1"/>
  <c r="I21" i="25" l="1"/>
  <c r="K20" i="25" s="1"/>
  <c r="O20" i="25" s="1"/>
  <c r="J21" i="25"/>
  <c r="N21" i="18"/>
  <c r="P21" i="18"/>
  <c r="O21" i="18"/>
  <c r="K21" i="18"/>
  <c r="M21" i="18"/>
  <c r="L57" i="15"/>
  <c r="L15" i="18" s="1"/>
  <c r="P31" i="18" l="1"/>
  <c r="P37" i="18" s="1"/>
  <c r="P7" i="25" s="1"/>
  <c r="P12" i="25" s="1"/>
  <c r="P18" i="25" s="1"/>
  <c r="M31" i="18"/>
  <c r="M37" i="18" s="1"/>
  <c r="M7" i="25" s="1"/>
  <c r="M12" i="25" s="1"/>
  <c r="M18" i="25" s="1"/>
  <c r="N31" i="18"/>
  <c r="N37" i="18" s="1"/>
  <c r="N7" i="25" s="1"/>
  <c r="N12" i="25" s="1"/>
  <c r="N18" i="25" s="1"/>
  <c r="K31" i="18"/>
  <c r="K37" i="18" s="1"/>
  <c r="K7" i="25" s="1"/>
  <c r="K12" i="25" s="1"/>
  <c r="K18" i="25" s="1"/>
  <c r="K21" i="25" s="1"/>
  <c r="L20" i="25" s="1"/>
  <c r="L21" i="18"/>
  <c r="O31" i="18"/>
  <c r="O37" i="18" s="1"/>
  <c r="O7" i="25" s="1"/>
  <c r="O12" i="25" s="1"/>
  <c r="O18" i="25" s="1"/>
  <c r="Q57" i="15"/>
  <c r="Q15" i="18" s="1"/>
  <c r="L31" i="18" l="1"/>
  <c r="L37" i="18" s="1"/>
  <c r="L7" i="25" s="1"/>
  <c r="L12" i="25" s="1"/>
  <c r="L18" i="25" s="1"/>
  <c r="L21" i="25" s="1"/>
  <c r="M20" i="25" s="1"/>
  <c r="M21" i="25" s="1"/>
  <c r="N20" i="25" s="1"/>
  <c r="N21" i="25" s="1"/>
  <c r="O21" i="25" s="1"/>
  <c r="P20" i="25" s="1"/>
  <c r="P21" i="25" s="1"/>
  <c r="Q20" i="25" s="1"/>
  <c r="Q21" i="18"/>
  <c r="S57" i="15"/>
  <c r="S15" i="18" s="1"/>
  <c r="R57" i="15"/>
  <c r="R15" i="18" s="1"/>
  <c r="Q31" i="18" l="1"/>
  <c r="Q37" i="18" s="1"/>
  <c r="Q7" i="25" s="1"/>
  <c r="Q12" i="25" s="1"/>
  <c r="Q18" i="25" s="1"/>
  <c r="Q21" i="25" s="1"/>
  <c r="R20" i="25" s="1"/>
  <c r="R21" i="18"/>
  <c r="S21" i="18"/>
  <c r="S31" i="18" l="1"/>
  <c r="S37" i="18" s="1"/>
  <c r="S7" i="25" s="1"/>
  <c r="S12" i="25" s="1"/>
  <c r="S18" i="25" s="1"/>
  <c r="R31" i="18"/>
  <c r="R37" i="18" s="1"/>
  <c r="R7" i="25" s="1"/>
  <c r="R12" i="25" s="1"/>
  <c r="R18" i="25" s="1"/>
  <c r="R21" i="25" s="1"/>
  <c r="S20" i="25" s="1"/>
  <c r="T57" i="15"/>
  <c r="T15" i="18" s="1"/>
  <c r="S21" i="25" l="1"/>
  <c r="T20" i="25" s="1"/>
  <c r="T21" i="18"/>
  <c r="T31" i="18" l="1"/>
  <c r="T37" i="18" s="1"/>
  <c r="T7" i="25" s="1"/>
  <c r="T12" i="25" s="1"/>
  <c r="T18" i="25" s="1"/>
  <c r="T21" i="25" s="1"/>
  <c r="C36" i="15" l="1"/>
  <c r="D36" i="15"/>
  <c r="E36" i="15"/>
  <c r="C37" i="15"/>
  <c r="D37" i="15"/>
  <c r="E37" i="15"/>
  <c r="C38" i="15"/>
  <c r="D38" i="15"/>
  <c r="E38" i="15"/>
  <c r="C39" i="15"/>
  <c r="D39" i="15"/>
  <c r="E39" i="15"/>
  <c r="C40" i="15"/>
  <c r="D40" i="15"/>
  <c r="E40" i="15"/>
  <c r="C41" i="15"/>
  <c r="D41" i="15"/>
  <c r="E41" i="15"/>
  <c r="D35" i="15"/>
  <c r="E35" i="15"/>
  <c r="C35" i="15"/>
  <c r="G38" i="15"/>
  <c r="F41" i="15"/>
  <c r="I41" i="15"/>
  <c r="I35" i="15"/>
  <c r="G35" i="15"/>
  <c r="H35" i="15"/>
  <c r="G36" i="15"/>
  <c r="H36" i="15"/>
  <c r="I36" i="15"/>
  <c r="G37" i="15"/>
  <c r="H37" i="15"/>
  <c r="I37" i="15"/>
  <c r="H38" i="15"/>
  <c r="I38" i="15"/>
  <c r="G39" i="15"/>
  <c r="H39" i="15"/>
  <c r="I39" i="15"/>
  <c r="G40" i="15"/>
  <c r="H40" i="15"/>
  <c r="I40" i="15"/>
  <c r="G41" i="15"/>
  <c r="H41" i="15"/>
  <c r="F36" i="15"/>
  <c r="F37" i="15"/>
  <c r="F38" i="15"/>
  <c r="F39" i="15"/>
  <c r="F40" i="15"/>
  <c r="F35" i="15"/>
  <c r="I67" i="15" l="1"/>
  <c r="I9" i="18"/>
  <c r="I66" i="15"/>
  <c r="I8" i="18"/>
  <c r="H70" i="15"/>
  <c r="H12" i="18"/>
  <c r="G66" i="15"/>
  <c r="G8" i="18"/>
  <c r="C71" i="15"/>
  <c r="C13" i="18"/>
  <c r="C67" i="15"/>
  <c r="C9" i="18"/>
  <c r="F67" i="15"/>
  <c r="F9" i="18"/>
  <c r="C68" i="15"/>
  <c r="C10" i="18"/>
  <c r="I70" i="15"/>
  <c r="I12" i="18"/>
  <c r="G70" i="15"/>
  <c r="G12" i="18"/>
  <c r="H65" i="15"/>
  <c r="H7" i="18"/>
  <c r="E70" i="15"/>
  <c r="E12" i="18"/>
  <c r="E66" i="15"/>
  <c r="E8" i="18"/>
  <c r="E68" i="15"/>
  <c r="E10" i="18"/>
  <c r="D65" i="15"/>
  <c r="D7" i="18"/>
  <c r="D67" i="15"/>
  <c r="D9" i="18"/>
  <c r="I69" i="15"/>
  <c r="I11" i="18"/>
  <c r="G65" i="15"/>
  <c r="G7" i="18"/>
  <c r="D70" i="15"/>
  <c r="D12" i="18"/>
  <c r="D66" i="15"/>
  <c r="D8" i="18"/>
  <c r="F66" i="15"/>
  <c r="F8" i="18"/>
  <c r="H71" i="15"/>
  <c r="H13" i="18"/>
  <c r="E71" i="15"/>
  <c r="E13" i="18"/>
  <c r="F65" i="15"/>
  <c r="F7" i="18"/>
  <c r="H69" i="15"/>
  <c r="H11" i="18"/>
  <c r="I65" i="15"/>
  <c r="I7" i="18"/>
  <c r="C70" i="15"/>
  <c r="C12" i="18"/>
  <c r="C66" i="15"/>
  <c r="C8" i="18"/>
  <c r="H67" i="15"/>
  <c r="H9" i="18"/>
  <c r="G71" i="15"/>
  <c r="G13" i="18"/>
  <c r="D71" i="15"/>
  <c r="D13" i="18"/>
  <c r="F70" i="15"/>
  <c r="F12" i="18"/>
  <c r="G69" i="15"/>
  <c r="G11" i="18"/>
  <c r="I71" i="15"/>
  <c r="I13" i="18"/>
  <c r="E69" i="15"/>
  <c r="E11" i="18"/>
  <c r="E65" i="15"/>
  <c r="E7" i="18"/>
  <c r="D68" i="15"/>
  <c r="D10" i="18"/>
  <c r="H66" i="15"/>
  <c r="H8" i="18"/>
  <c r="F69" i="15"/>
  <c r="F11" i="18"/>
  <c r="I68" i="15"/>
  <c r="I10" i="18"/>
  <c r="F71" i="15"/>
  <c r="F13" i="18"/>
  <c r="D69" i="15"/>
  <c r="D11" i="18"/>
  <c r="C65" i="15"/>
  <c r="C7" i="18"/>
  <c r="G67" i="15"/>
  <c r="G9" i="18"/>
  <c r="E67" i="15"/>
  <c r="E9" i="18"/>
  <c r="F68" i="15"/>
  <c r="F10" i="18"/>
  <c r="H68" i="15"/>
  <c r="H10" i="18"/>
  <c r="G68" i="15"/>
  <c r="G10" i="18"/>
  <c r="C69" i="15"/>
  <c r="C11" i="18"/>
  <c r="C42" i="15"/>
  <c r="C72" i="15" s="1"/>
  <c r="D42" i="15"/>
  <c r="D72" i="15" s="1"/>
  <c r="E42" i="15"/>
  <c r="E72" i="15" s="1"/>
  <c r="F6" i="18" l="1"/>
  <c r="G6" i="18"/>
  <c r="H6" i="18"/>
  <c r="H22" i="18" s="1"/>
  <c r="E6" i="18"/>
  <c r="D6" i="18"/>
  <c r="I6" i="18"/>
  <c r="C6" i="18"/>
  <c r="H42" i="15"/>
  <c r="H72" i="15" s="1"/>
  <c r="I42" i="15"/>
  <c r="I72" i="15" s="1"/>
  <c r="F42" i="15"/>
  <c r="F72" i="15" s="1"/>
  <c r="G42" i="15"/>
  <c r="G72" i="15" s="1"/>
  <c r="J41" i="15"/>
  <c r="J13" i="18" s="1"/>
  <c r="J38" i="15"/>
  <c r="J10" i="18" s="1"/>
  <c r="J37" i="15"/>
  <c r="J9" i="18" s="1"/>
  <c r="J35" i="15"/>
  <c r="J7" i="18" s="1"/>
  <c r="J39" i="15"/>
  <c r="J11" i="18" s="1"/>
  <c r="J36" i="15"/>
  <c r="J8" i="18" s="1"/>
  <c r="J40" i="15"/>
  <c r="J12" i="18" s="1"/>
  <c r="H32" i="18" l="1"/>
  <c r="H16" i="18"/>
  <c r="F32" i="18"/>
  <c r="F22" i="18"/>
  <c r="F16" i="18"/>
  <c r="G16" i="18"/>
  <c r="G32" i="18"/>
  <c r="G22" i="18"/>
  <c r="J6" i="18"/>
  <c r="J16" i="18" s="1"/>
  <c r="C16" i="18"/>
  <c r="C22" i="18"/>
  <c r="C32" i="18"/>
  <c r="D16" i="18"/>
  <c r="D22" i="18"/>
  <c r="D32" i="18"/>
  <c r="I16" i="18"/>
  <c r="I22" i="18"/>
  <c r="I32" i="18"/>
  <c r="E16" i="18"/>
  <c r="E22" i="18"/>
  <c r="E32" i="18"/>
  <c r="O38" i="15"/>
  <c r="J68" i="15"/>
  <c r="O40" i="15"/>
  <c r="J70" i="15"/>
  <c r="O36" i="15"/>
  <c r="J66" i="15"/>
  <c r="O39" i="15"/>
  <c r="J69" i="15"/>
  <c r="O35" i="15"/>
  <c r="O7" i="18" s="1"/>
  <c r="J65" i="15"/>
  <c r="O37" i="15"/>
  <c r="J67" i="15"/>
  <c r="O41" i="15"/>
  <c r="O13" i="18" s="1"/>
  <c r="J71" i="15"/>
  <c r="J32" i="18" l="1"/>
  <c r="J22" i="18"/>
  <c r="N40" i="15"/>
  <c r="O12" i="18"/>
  <c r="K40" i="15"/>
  <c r="L38" i="15"/>
  <c r="O10" i="18"/>
  <c r="L41" i="15"/>
  <c r="L40" i="15"/>
  <c r="N41" i="15"/>
  <c r="K41" i="15"/>
  <c r="L39" i="15"/>
  <c r="O11" i="18"/>
  <c r="N37" i="15"/>
  <c r="O9" i="18"/>
  <c r="K38" i="15"/>
  <c r="M41" i="15"/>
  <c r="M40" i="15"/>
  <c r="M36" i="15"/>
  <c r="O8" i="18"/>
  <c r="K39" i="15"/>
  <c r="M38" i="15"/>
  <c r="N36" i="15"/>
  <c r="N38" i="15"/>
  <c r="L37" i="15"/>
  <c r="M39" i="15"/>
  <c r="K37" i="15"/>
  <c r="N39" i="15"/>
  <c r="P35" i="15"/>
  <c r="P7" i="18" s="1"/>
  <c r="O65" i="15"/>
  <c r="L35" i="15"/>
  <c r="P39" i="15"/>
  <c r="P11" i="18" s="1"/>
  <c r="O69" i="15"/>
  <c r="K35" i="15"/>
  <c r="P40" i="15"/>
  <c r="P12" i="18" s="1"/>
  <c r="O70" i="15"/>
  <c r="P36" i="15"/>
  <c r="P8" i="18" s="1"/>
  <c r="O66" i="15"/>
  <c r="L36" i="15"/>
  <c r="K36" i="15"/>
  <c r="P37" i="15"/>
  <c r="P9" i="18" s="1"/>
  <c r="O67" i="15"/>
  <c r="N35" i="15"/>
  <c r="M35" i="15"/>
  <c r="M37" i="15"/>
  <c r="P41" i="15"/>
  <c r="P13" i="18" s="1"/>
  <c r="O71" i="15"/>
  <c r="P38" i="15"/>
  <c r="P10" i="18" s="1"/>
  <c r="O68" i="15"/>
  <c r="O6" i="18" l="1"/>
  <c r="O16" i="18" s="1"/>
  <c r="L67" i="15"/>
  <c r="L9" i="18"/>
  <c r="K71" i="15"/>
  <c r="K13" i="18"/>
  <c r="M68" i="15"/>
  <c r="M10" i="18"/>
  <c r="L70" i="15"/>
  <c r="L12" i="18"/>
  <c r="P6" i="18"/>
  <c r="M71" i="15"/>
  <c r="M13" i="18"/>
  <c r="L68" i="15"/>
  <c r="L10" i="18"/>
  <c r="K66" i="15"/>
  <c r="K8" i="18"/>
  <c r="N69" i="15"/>
  <c r="N11" i="18"/>
  <c r="K68" i="15"/>
  <c r="K10" i="18"/>
  <c r="K70" i="15"/>
  <c r="K12" i="18"/>
  <c r="L69" i="15"/>
  <c r="L11" i="18"/>
  <c r="N66" i="15"/>
  <c r="N8" i="18"/>
  <c r="K65" i="15"/>
  <c r="K7" i="18"/>
  <c r="N71" i="15"/>
  <c r="N13" i="18"/>
  <c r="M67" i="15"/>
  <c r="M9" i="18"/>
  <c r="K69" i="15"/>
  <c r="K11" i="18"/>
  <c r="M65" i="15"/>
  <c r="M7" i="18"/>
  <c r="N65" i="15"/>
  <c r="N7" i="18"/>
  <c r="K67" i="15"/>
  <c r="K9" i="18"/>
  <c r="N68" i="15"/>
  <c r="N10" i="18"/>
  <c r="L71" i="15"/>
  <c r="L13" i="18"/>
  <c r="L65" i="15"/>
  <c r="L7" i="18"/>
  <c r="M66" i="15"/>
  <c r="M8" i="18"/>
  <c r="M70" i="15"/>
  <c r="M12" i="18"/>
  <c r="L66" i="15"/>
  <c r="L8" i="18"/>
  <c r="M69" i="15"/>
  <c r="M11" i="18"/>
  <c r="N67" i="15"/>
  <c r="N9" i="18"/>
  <c r="N70" i="15"/>
  <c r="N12" i="18"/>
  <c r="M42" i="15"/>
  <c r="M72" i="15" s="1"/>
  <c r="K42" i="15"/>
  <c r="K72" i="15" s="1"/>
  <c r="N42" i="15"/>
  <c r="N72" i="15" s="1"/>
  <c r="Q41" i="15"/>
  <c r="Q13" i="18" s="1"/>
  <c r="P71" i="15"/>
  <c r="Q36" i="15"/>
  <c r="Q8" i="18" s="1"/>
  <c r="P66" i="15"/>
  <c r="Q39" i="15"/>
  <c r="Q11" i="18" s="1"/>
  <c r="P69" i="15"/>
  <c r="Q40" i="15"/>
  <c r="Q12" i="18" s="1"/>
  <c r="P70" i="15"/>
  <c r="Q38" i="15"/>
  <c r="Q10" i="18" s="1"/>
  <c r="P68" i="15"/>
  <c r="L42" i="15"/>
  <c r="L72" i="15" s="1"/>
  <c r="Q37" i="15"/>
  <c r="Q9" i="18" s="1"/>
  <c r="P67" i="15"/>
  <c r="Q35" i="15"/>
  <c r="Q7" i="18" s="1"/>
  <c r="P65" i="15"/>
  <c r="O32" i="18" l="1"/>
  <c r="O22" i="18"/>
  <c r="K6" i="18"/>
  <c r="Q6" i="18"/>
  <c r="N6" i="18"/>
  <c r="M6" i="18"/>
  <c r="L6" i="18"/>
  <c r="P16" i="18"/>
  <c r="P22" i="18"/>
  <c r="P32" i="18"/>
  <c r="R37" i="15"/>
  <c r="R9" i="18" s="1"/>
  <c r="Q67" i="15"/>
  <c r="R38" i="15"/>
  <c r="R10" i="18" s="1"/>
  <c r="Q68" i="15"/>
  <c r="R35" i="15"/>
  <c r="R7" i="18" s="1"/>
  <c r="Q65" i="15"/>
  <c r="R40" i="15"/>
  <c r="R12" i="18" s="1"/>
  <c r="Q70" i="15"/>
  <c r="R39" i="15"/>
  <c r="R11" i="18" s="1"/>
  <c r="Q69" i="15"/>
  <c r="R36" i="15"/>
  <c r="R8" i="18" s="1"/>
  <c r="Q66" i="15"/>
  <c r="R41" i="15"/>
  <c r="R13" i="18" s="1"/>
  <c r="Q71" i="15"/>
  <c r="O42" i="15"/>
  <c r="O72" i="15" s="1"/>
  <c r="J42" i="15"/>
  <c r="J72" i="15" s="1"/>
  <c r="M16" i="18" l="1"/>
  <c r="M22" i="18"/>
  <c r="M32" i="18"/>
  <c r="Q16" i="18"/>
  <c r="Q22" i="18"/>
  <c r="Q32" i="18"/>
  <c r="L16" i="18"/>
  <c r="L22" i="18"/>
  <c r="L32" i="18"/>
  <c r="N16" i="18"/>
  <c r="N22" i="18"/>
  <c r="N32" i="18"/>
  <c r="R6" i="18"/>
  <c r="K16" i="18"/>
  <c r="K22" i="18"/>
  <c r="K32" i="18"/>
  <c r="S39" i="15"/>
  <c r="S11" i="18" s="1"/>
  <c r="R69" i="15"/>
  <c r="S40" i="15"/>
  <c r="S12" i="18" s="1"/>
  <c r="R70" i="15"/>
  <c r="S36" i="15"/>
  <c r="S8" i="18" s="1"/>
  <c r="R66" i="15"/>
  <c r="S35" i="15"/>
  <c r="S7" i="18" s="1"/>
  <c r="R65" i="15"/>
  <c r="S38" i="15"/>
  <c r="S10" i="18" s="1"/>
  <c r="R68" i="15"/>
  <c r="S41" i="15"/>
  <c r="S13" i="18" s="1"/>
  <c r="R71" i="15"/>
  <c r="S37" i="15"/>
  <c r="S9" i="18" s="1"/>
  <c r="R67" i="15"/>
  <c r="P42" i="15"/>
  <c r="P72" i="15" s="1"/>
  <c r="R16" i="18" l="1"/>
  <c r="R22" i="18"/>
  <c r="R32" i="18"/>
  <c r="S6" i="18"/>
  <c r="T38" i="15"/>
  <c r="S68" i="15"/>
  <c r="T40" i="15"/>
  <c r="S70" i="15"/>
  <c r="T41" i="15"/>
  <c r="S71" i="15"/>
  <c r="T35" i="15"/>
  <c r="S65" i="15"/>
  <c r="T36" i="15"/>
  <c r="S66" i="15"/>
  <c r="T37" i="15"/>
  <c r="S67" i="15"/>
  <c r="T39" i="15"/>
  <c r="S69" i="15"/>
  <c r="Q42" i="15"/>
  <c r="Q72" i="15" s="1"/>
  <c r="T70" i="15" l="1"/>
  <c r="T12" i="18"/>
  <c r="T65" i="15"/>
  <c r="T7" i="18"/>
  <c r="T71" i="15"/>
  <c r="T13" i="18"/>
  <c r="T69" i="15"/>
  <c r="T11" i="18"/>
  <c r="S16" i="18"/>
  <c r="S22" i="18"/>
  <c r="S32" i="18"/>
  <c r="T68" i="15"/>
  <c r="T10" i="18"/>
  <c r="T67" i="15"/>
  <c r="T9" i="18"/>
  <c r="T66" i="15"/>
  <c r="T8" i="18"/>
  <c r="R42" i="15"/>
  <c r="R72" i="15" s="1"/>
  <c r="T6" i="18" l="1"/>
  <c r="T42" i="15"/>
  <c r="T72" i="15" s="1"/>
  <c r="S42" i="15"/>
  <c r="S72" i="15" s="1"/>
  <c r="T16" i="18" l="1"/>
  <c r="T22" i="18"/>
  <c r="T32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Blount, Natalia</author>
  </authors>
  <commentList>
    <comment ref="B27" authorId="0" shapeId="0" xr:uid="{0FF4DA6F-478E-4E97-B8F2-70C144066F01}">
      <text>
        <r>
          <rPr>
            <b/>
            <sz val="9"/>
            <color indexed="81"/>
            <rFont val="Tahoma"/>
            <family val="2"/>
          </rPr>
          <t>Blount, Natalia:</t>
        </r>
        <r>
          <rPr>
            <sz val="9"/>
            <color indexed="81"/>
            <rFont val="Tahoma"/>
            <family val="2"/>
          </rPr>
          <t xml:space="preserve">
Should ramp down at same rate of volume loss</t>
        </r>
      </text>
    </comment>
  </commentList>
</comments>
</file>

<file path=xl/sharedStrings.xml><?xml version="1.0" encoding="utf-8"?>
<sst xmlns="http://schemas.openxmlformats.org/spreadsheetml/2006/main" count="455" uniqueCount="101">
  <si>
    <t>(000s)</t>
  </si>
  <si>
    <t>Q1</t>
  </si>
  <si>
    <t>Q2</t>
  </si>
  <si>
    <t>Q3</t>
  </si>
  <si>
    <t>Q4</t>
  </si>
  <si>
    <t>Net Sales</t>
  </si>
  <si>
    <t>AMO</t>
  </si>
  <si>
    <t>SVC</t>
  </si>
  <si>
    <t>ATG</t>
  </si>
  <si>
    <t>STP</t>
  </si>
  <si>
    <t>Vapor</t>
  </si>
  <si>
    <t>Orpak POS</t>
  </si>
  <si>
    <t>Other Products</t>
  </si>
  <si>
    <t>Direct Margin</t>
  </si>
  <si>
    <t>Direct Margin %</t>
  </si>
  <si>
    <t>Variances</t>
  </si>
  <si>
    <t>OHCOGS</t>
  </si>
  <si>
    <t>Gross Profit</t>
  </si>
  <si>
    <t>Gross Profit %</t>
  </si>
  <si>
    <t>R&amp;D</t>
  </si>
  <si>
    <t>S&amp;M</t>
  </si>
  <si>
    <t>G&amp;A</t>
  </si>
  <si>
    <t>All Other Period Expenses</t>
  </si>
  <si>
    <t>Restructuring</t>
  </si>
  <si>
    <t>Total Period Expenses</t>
  </si>
  <si>
    <t>Operating Profit</t>
  </si>
  <si>
    <t>OP%</t>
  </si>
  <si>
    <t>Non-Operating Expenses (Income)</t>
  </si>
  <si>
    <t>Taxes</t>
  </si>
  <si>
    <t>Net Income</t>
  </si>
  <si>
    <t>Total Net Sales</t>
  </si>
  <si>
    <t>Direct Margin at Standard</t>
  </si>
  <si>
    <t>Net Sales Impact</t>
  </si>
  <si>
    <t>Loss (%)</t>
  </si>
  <si>
    <t>Annual Loss Rate (%)</t>
  </si>
  <si>
    <t>DM Impact</t>
  </si>
  <si>
    <t>Commerical assumptions 000s</t>
  </si>
  <si>
    <t>All Products</t>
  </si>
  <si>
    <t>Direct Margin at Standard %</t>
  </si>
  <si>
    <t>Expenses by year</t>
  </si>
  <si>
    <t>Expenses by Product</t>
  </si>
  <si>
    <t>% Change</t>
  </si>
  <si>
    <t>Overhead</t>
  </si>
  <si>
    <t>All other Period Exp</t>
  </si>
  <si>
    <t>%Reduction of ppl costs</t>
  </si>
  <si>
    <t>Addl %Reduction from non-ppl costs</t>
  </si>
  <si>
    <t>Total %Reduction</t>
  </si>
  <si>
    <t>Opex</t>
  </si>
  <si>
    <t>Total</t>
  </si>
  <si>
    <t>Operating Income</t>
  </si>
  <si>
    <t>Depreciation &amp; Amortization (+)</t>
  </si>
  <si>
    <t>Change in Working Capital (+/-)</t>
  </si>
  <si>
    <t>Cash Flow from Operating Act.</t>
  </si>
  <si>
    <t>Capital Expenditures</t>
  </si>
  <si>
    <t>Cash Flow from Investment Act.</t>
  </si>
  <si>
    <t>Changes in Cash</t>
  </si>
  <si>
    <t>Cash at Start of Period</t>
  </si>
  <si>
    <t>Cash at End of Period</t>
  </si>
  <si>
    <t>Ref</t>
  </si>
  <si>
    <t>Depreciation &amp; Amortizations</t>
  </si>
  <si>
    <t>Changes in Working Capital</t>
  </si>
  <si>
    <t>Cash Flow From Operating Activities</t>
  </si>
  <si>
    <t>Acquisitions</t>
  </si>
  <si>
    <t>Sales of Investments</t>
  </si>
  <si>
    <t>Cash Flow from Investment Act</t>
  </si>
  <si>
    <t>Changes in Debt Balance</t>
  </si>
  <si>
    <t>Issue/Repurchase Stock</t>
  </si>
  <si>
    <t>Dividend Payouts</t>
  </si>
  <si>
    <t>Cash Flow from Financing Act</t>
  </si>
  <si>
    <t>All other Period Expenses</t>
  </si>
  <si>
    <t>$</t>
  </si>
  <si>
    <t>Working Capital</t>
  </si>
  <si>
    <t>Raw Material Purchases</t>
  </si>
  <si>
    <t>Total Impact to Period Expenses</t>
  </si>
  <si>
    <t>Transfer of Equipment &amp; Inventory</t>
  </si>
  <si>
    <t>Legal Expenses</t>
  </si>
  <si>
    <t>New IT Setup</t>
  </si>
  <si>
    <t>Total Impact to Restructuring</t>
  </si>
  <si>
    <t>Changes to Working Capital</t>
  </si>
  <si>
    <t>Severances &amp; Shutdown Costs</t>
  </si>
  <si>
    <t>Inventory Write Downs</t>
  </si>
  <si>
    <t>Lease Termination Penalties</t>
  </si>
  <si>
    <t>Asset Liquidation</t>
  </si>
  <si>
    <t>Accounts Payable</t>
  </si>
  <si>
    <t>Total Var to Working Capital</t>
  </si>
  <si>
    <t>Total Capital Expenditures</t>
  </si>
  <si>
    <t>Depreciation &amp; Amortization</t>
  </si>
  <si>
    <t>Depreciation</t>
  </si>
  <si>
    <t>Amortization</t>
  </si>
  <si>
    <t>Total Depreciation &amp; Amortization</t>
  </si>
  <si>
    <t>Change in Working Capital</t>
  </si>
  <si>
    <t>Project X P&amp;L</t>
  </si>
  <si>
    <t>Project X Cash Flow</t>
  </si>
  <si>
    <t>Prod Line 1</t>
  </si>
  <si>
    <t>Prod Line 2</t>
  </si>
  <si>
    <t>Prod Line 3</t>
  </si>
  <si>
    <t>Prod Line 4</t>
  </si>
  <si>
    <t>Prod Line 5</t>
  </si>
  <si>
    <t>Prod Line 6</t>
  </si>
  <si>
    <t>Prod Line 7</t>
  </si>
  <si>
    <t>Equipment (Setup)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</si>
</sst>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0.0%"/>
    <numFmt numFmtId="167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i/>
      <sz val="11"/>
      <color theme="8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38" fontId="0" fillId="0" borderId="0" xfId="0" applyNumberFormat="1"/>
    <xf numFmtId="0" fontId="0" fillId="2" borderId="0" xfId="0" applyFill="1"/>
    <xf numFmtId="167" fontId="0" fillId="0" borderId="0" xfId="1" applyNumberFormat="1" applyFont="1"/>
    <xf numFmtId="0" fontId="4" fillId="0" borderId="0" xfId="0" applyFont="1"/>
    <xf numFmtId="0" fontId="0" fillId="0" borderId="0" xfId="0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38" fontId="7" fillId="7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9" fontId="9" fillId="2" borderId="0" xfId="0" applyNumberFormat="1" applyFont="1" applyFill="1" applyAlignment="1">
      <alignment horizontal="center" vertical="center"/>
    </xf>
    <xf numFmtId="9" fontId="7" fillId="2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right"/>
    </xf>
    <xf numFmtId="167" fontId="4" fillId="3" borderId="2" xfId="1" applyNumberFormat="1" applyFont="1" applyFill="1" applyBorder="1" applyAlignment="1">
      <alignment horizontal="right" vertical="center"/>
    </xf>
    <xf numFmtId="38" fontId="0" fillId="0" borderId="0" xfId="0" applyNumberFormat="1" applyAlignment="1">
      <alignment horizontal="right" vertical="center"/>
    </xf>
    <xf numFmtId="38" fontId="4" fillId="0" borderId="2" xfId="0" applyNumberFormat="1" applyFont="1" applyBorder="1" applyAlignment="1">
      <alignment horizontal="right" vertical="center"/>
    </xf>
    <xf numFmtId="0" fontId="1" fillId="6" borderId="0" xfId="0" applyFont="1" applyFill="1" applyAlignment="1">
      <alignment horizontal="right"/>
    </xf>
    <xf numFmtId="0" fontId="1" fillId="4" borderId="0" xfId="0" applyFont="1" applyFill="1" applyAlignment="1">
      <alignment horizontal="right" vertical="center"/>
    </xf>
    <xf numFmtId="0" fontId="1" fillId="10" borderId="0" xfId="0" applyFont="1" applyFill="1" applyAlignment="1">
      <alignment horizontal="right" vertical="center"/>
    </xf>
    <xf numFmtId="0" fontId="1" fillId="10" borderId="0" xfId="0" applyFont="1" applyFill="1" applyAlignment="1">
      <alignment horizontal="right"/>
    </xf>
    <xf numFmtId="0" fontId="1" fillId="8" borderId="0" xfId="0" applyFont="1" applyFill="1" applyAlignment="1">
      <alignment horizontal="right"/>
    </xf>
    <xf numFmtId="38" fontId="4" fillId="5" borderId="0" xfId="0" applyNumberFormat="1" applyFont="1" applyFill="1" applyAlignment="1">
      <alignment horizontal="right" vertical="center"/>
    </xf>
    <xf numFmtId="38" fontId="4" fillId="5" borderId="2" xfId="0" applyNumberFormat="1" applyFont="1" applyFill="1" applyBorder="1" applyAlignment="1">
      <alignment horizontal="right" vertical="center"/>
    </xf>
    <xf numFmtId="38" fontId="4" fillId="11" borderId="2" xfId="0" applyNumberFormat="1" applyFont="1" applyFill="1" applyBorder="1" applyAlignment="1">
      <alignment horizontal="right"/>
    </xf>
    <xf numFmtId="38" fontId="4" fillId="9" borderId="2" xfId="0" applyNumberFormat="1" applyFont="1" applyFill="1" applyBorder="1" applyAlignment="1">
      <alignment horizontal="right"/>
    </xf>
    <xf numFmtId="38" fontId="4" fillId="3" borderId="0" xfId="0" applyNumberFormat="1" applyFont="1" applyFill="1" applyAlignment="1">
      <alignment horizontal="right" vertical="center"/>
    </xf>
    <xf numFmtId="38" fontId="4" fillId="11" borderId="0" xfId="1" applyNumberFormat="1" applyFont="1" applyFill="1" applyAlignment="1">
      <alignment horizontal="right"/>
    </xf>
    <xf numFmtId="38" fontId="4" fillId="9" borderId="0" xfId="1" applyNumberFormat="1" applyFont="1" applyFill="1" applyAlignment="1">
      <alignment horizontal="right"/>
    </xf>
    <xf numFmtId="166" fontId="11" fillId="0" borderId="0" xfId="2" applyNumberFormat="1" applyFont="1" applyFill="1" applyAlignment="1">
      <alignment horizontal="right" vertical="center"/>
    </xf>
    <xf numFmtId="166" fontId="11" fillId="0" borderId="0" xfId="2" applyNumberFormat="1" applyFont="1" applyAlignment="1">
      <alignment horizontal="right" vertical="center"/>
    </xf>
    <xf numFmtId="166" fontId="4" fillId="3" borderId="0" xfId="2" applyNumberFormat="1" applyFont="1" applyFill="1" applyAlignment="1">
      <alignment horizontal="right" vertical="center"/>
    </xf>
    <xf numFmtId="166" fontId="0" fillId="0" borderId="0" xfId="2" applyNumberFormat="1" applyFont="1" applyAlignment="1">
      <alignment horizontal="right" vertical="center"/>
    </xf>
    <xf numFmtId="166" fontId="4" fillId="5" borderId="0" xfId="2" applyNumberFormat="1" applyFont="1" applyFill="1" applyAlignment="1">
      <alignment horizontal="right" vertical="center"/>
    </xf>
    <xf numFmtId="166" fontId="4" fillId="11" borderId="0" xfId="2" applyNumberFormat="1" applyFont="1" applyFill="1" applyAlignment="1">
      <alignment horizontal="right"/>
    </xf>
    <xf numFmtId="166" fontId="4" fillId="9" borderId="0" xfId="2" applyNumberFormat="1" applyFont="1" applyFill="1" applyAlignment="1">
      <alignment horizontal="right"/>
    </xf>
    <xf numFmtId="166" fontId="4" fillId="3" borderId="2" xfId="2" applyNumberFormat="1" applyFont="1" applyFill="1" applyBorder="1" applyAlignment="1">
      <alignment horizontal="right" vertical="center"/>
    </xf>
    <xf numFmtId="166" fontId="4" fillId="0" borderId="2" xfId="2" applyNumberFormat="1" applyFont="1" applyBorder="1" applyAlignment="1">
      <alignment horizontal="right" vertical="center"/>
    </xf>
    <xf numFmtId="166" fontId="4" fillId="5" borderId="2" xfId="2" applyNumberFormat="1" applyFont="1" applyFill="1" applyBorder="1" applyAlignment="1">
      <alignment horizontal="right" vertical="center"/>
    </xf>
    <xf numFmtId="166" fontId="4" fillId="11" borderId="2" xfId="2" applyNumberFormat="1" applyFont="1" applyFill="1" applyBorder="1" applyAlignment="1">
      <alignment horizontal="right"/>
    </xf>
    <xf numFmtId="166" fontId="4" fillId="9" borderId="2" xfId="2" applyNumberFormat="1" applyFont="1" applyFill="1" applyBorder="1" applyAlignment="1">
      <alignment horizontal="right"/>
    </xf>
    <xf numFmtId="0" fontId="8" fillId="7" borderId="0" xfId="0" applyFont="1" applyFill="1" applyAlignment="1">
      <alignment horizontal="center" vertical="center" wrapText="1"/>
    </xf>
    <xf numFmtId="38" fontId="7" fillId="2" borderId="0" xfId="0" applyNumberFormat="1" applyFont="1" applyFill="1" applyAlignment="1">
      <alignment horizontal="center" vertical="center"/>
    </xf>
    <xf numFmtId="0" fontId="7" fillId="2" borderId="0" xfId="0" applyFont="1" applyFill="1"/>
    <xf numFmtId="9" fontId="9" fillId="2" borderId="0" xfId="2" applyFont="1" applyFill="1" applyAlignment="1">
      <alignment horizontal="center" vertical="center"/>
    </xf>
    <xf numFmtId="0" fontId="10" fillId="0" borderId="0" xfId="0" applyFont="1" applyAlignment="1">
      <alignment horizontal="right"/>
    </xf>
    <xf numFmtId="38" fontId="7" fillId="2" borderId="0" xfId="0" applyNumberFormat="1" applyFont="1" applyFill="1"/>
    <xf numFmtId="38" fontId="7" fillId="0" borderId="0" xfId="0" applyNumberFormat="1" applyFont="1"/>
    <xf numFmtId="0" fontId="9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9" fontId="12" fillId="0" borderId="0" xfId="0" applyNumberFormat="1" applyFont="1"/>
    <xf numFmtId="0" fontId="0" fillId="7" borderId="0" xfId="0" applyFill="1"/>
    <xf numFmtId="0" fontId="0" fillId="11" borderId="0" xfId="0" applyFill="1"/>
    <xf numFmtId="0" fontId="10" fillId="0" borderId="0" xfId="0" applyFont="1"/>
    <xf numFmtId="0" fontId="0" fillId="0" borderId="0" xfId="0" applyAlignment="1">
      <alignment horizontal="left"/>
    </xf>
    <xf numFmtId="0" fontId="13" fillId="0" borderId="0" xfId="0" applyFont="1"/>
    <xf numFmtId="0" fontId="16" fillId="0" borderId="0" xfId="0" applyFont="1" applyAlignment="1">
      <alignment horizontal="right"/>
    </xf>
    <xf numFmtId="9" fontId="0" fillId="0" borderId="0" xfId="2" applyFont="1"/>
    <xf numFmtId="9" fontId="9" fillId="7" borderId="0" xfId="2" applyFont="1" applyFill="1" applyAlignment="1">
      <alignment horizontal="center" vertical="center"/>
    </xf>
    <xf numFmtId="166" fontId="12" fillId="0" borderId="0" xfId="0" applyNumberFormat="1" applyFont="1"/>
    <xf numFmtId="38" fontId="4" fillId="11" borderId="0" xfId="1" applyNumberFormat="1" applyFont="1" applyFill="1" applyBorder="1" applyAlignment="1">
      <alignment horizontal="right"/>
    </xf>
    <xf numFmtId="38" fontId="4" fillId="9" borderId="0" xfId="1" applyNumberFormat="1" applyFont="1" applyFill="1" applyBorder="1" applyAlignment="1">
      <alignment horizontal="right"/>
    </xf>
    <xf numFmtId="38" fontId="4" fillId="11" borderId="0" xfId="0" applyNumberFormat="1" applyFont="1" applyFill="1" applyAlignment="1">
      <alignment horizontal="right" vertical="center"/>
    </xf>
    <xf numFmtId="38" fontId="4" fillId="3" borderId="1" xfId="0" applyNumberFormat="1" applyFont="1" applyFill="1" applyBorder="1" applyAlignment="1">
      <alignment horizontal="right" vertical="center"/>
    </xf>
    <xf numFmtId="38" fontId="4" fillId="0" borderId="1" xfId="0" applyNumberFormat="1" applyFont="1" applyBorder="1" applyAlignment="1">
      <alignment horizontal="right" vertical="center"/>
    </xf>
    <xf numFmtId="38" fontId="4" fillId="5" borderId="1" xfId="0" applyNumberFormat="1" applyFont="1" applyFill="1" applyBorder="1" applyAlignment="1">
      <alignment horizontal="right" vertical="center"/>
    </xf>
    <xf numFmtId="38" fontId="4" fillId="11" borderId="1" xfId="1" applyNumberFormat="1" applyFont="1" applyFill="1" applyBorder="1" applyAlignment="1">
      <alignment horizontal="right"/>
    </xf>
    <xf numFmtId="38" fontId="4" fillId="9" borderId="1" xfId="1" applyNumberFormat="1" applyFont="1" applyFill="1" applyBorder="1" applyAlignment="1">
      <alignment horizontal="right"/>
    </xf>
    <xf numFmtId="0" fontId="0" fillId="3" borderId="0" xfId="0" applyFill="1"/>
    <xf numFmtId="38" fontId="4" fillId="3" borderId="2" xfId="0" applyNumberFormat="1" applyFont="1" applyFill="1" applyBorder="1" applyAlignment="1">
      <alignment horizontal="right" vertical="center"/>
    </xf>
    <xf numFmtId="38" fontId="4" fillId="11" borderId="2" xfId="0" applyNumberFormat="1" applyFont="1" applyFill="1" applyBorder="1" applyAlignment="1">
      <alignment horizontal="right" vertical="center"/>
    </xf>
    <xf numFmtId="38" fontId="4" fillId="5" borderId="0" xfId="1" applyNumberFormat="1" applyFont="1" applyFill="1" applyBorder="1" applyAlignment="1">
      <alignment horizontal="right"/>
    </xf>
    <xf numFmtId="0" fontId="0" fillId="5" borderId="0" xfId="0" applyFill="1"/>
    <xf numFmtId="38" fontId="4" fillId="5" borderId="2" xfId="1" applyNumberFormat="1" applyFont="1" applyFill="1" applyBorder="1" applyAlignment="1">
      <alignment horizontal="right"/>
    </xf>
    <xf numFmtId="0" fontId="0" fillId="9" borderId="0" xfId="0" applyFill="1"/>
    <xf numFmtId="38" fontId="4" fillId="9" borderId="2" xfId="1" applyNumberFormat="1" applyFont="1" applyFill="1" applyBorder="1" applyAlignment="1">
      <alignment horizontal="right"/>
    </xf>
    <xf numFmtId="38" fontId="4" fillId="11" borderId="2" xfId="1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8BF2-90CC-4216-8F79-B9699329F5CE}">
  <sheetPr>
    <tabColor rgb="FF0070C0"/>
  </sheetPr>
  <dimension ref="B1:U40"/>
  <sheetViews>
    <sheetView showGridLines="0" tabSelected="1" zoomScaleNormal="100" workbookViewId="0">
      <pane ySplit="6" topLeftCell="A7" activePane="bottomLeft" state="frozen"/>
      <selection activeCell="G36" sqref="G36"/>
      <selection pane="bottomLeft" activeCell="W7" sqref="W7"/>
    </sheetView>
  </sheetViews>
  <sheetFormatPr defaultRowHeight="15" outlineLevelRow="1" outlineLevelCol="1" x14ac:dyDescent="0.25"/>
  <cols>
    <col min="1" max="1" width="5.7109375" customWidth="1"/>
    <col min="2" max="2" width="32.140625" style="7" bestFit="1" customWidth="1"/>
    <col min="3" max="5" width="8.5703125" customWidth="1"/>
    <col min="6" max="9" width="8.5703125" customWidth="1" outlineLevel="1"/>
    <col min="10" max="10" width="8.5703125" customWidth="1"/>
    <col min="11" max="14" width="8.5703125" customWidth="1" outlineLevel="1"/>
    <col min="15" max="20" width="8.5703125" customWidth="1"/>
  </cols>
  <sheetData>
    <row r="1" spans="2:20" x14ac:dyDescent="0.25">
      <c r="B1"/>
    </row>
    <row r="2" spans="2:20" x14ac:dyDescent="0.25">
      <c r="B2" s="4" t="s">
        <v>91</v>
      </c>
    </row>
    <row r="3" spans="2:20" x14ac:dyDescent="0.25">
      <c r="B3" s="58" t="s">
        <v>0</v>
      </c>
    </row>
    <row r="4" spans="2:20" x14ac:dyDescent="0.25">
      <c r="B4"/>
    </row>
    <row r="5" spans="2:20" x14ac:dyDescent="0.25">
      <c r="B5"/>
      <c r="C5" s="20">
        <v>2023</v>
      </c>
      <c r="D5" s="20">
        <v>2024</v>
      </c>
      <c r="E5" s="20">
        <v>2025</v>
      </c>
      <c r="F5" s="21" t="s">
        <v>1</v>
      </c>
      <c r="G5" s="21" t="s">
        <v>2</v>
      </c>
      <c r="H5" s="21" t="s">
        <v>3</v>
      </c>
      <c r="I5" s="21" t="s">
        <v>4</v>
      </c>
      <c r="J5" s="21">
        <v>2026</v>
      </c>
      <c r="K5" s="22" t="s">
        <v>1</v>
      </c>
      <c r="L5" s="22" t="s">
        <v>2</v>
      </c>
      <c r="M5" s="22" t="s">
        <v>3</v>
      </c>
      <c r="N5" s="22" t="s">
        <v>4</v>
      </c>
      <c r="O5" s="23">
        <v>2027</v>
      </c>
      <c r="P5" s="24">
        <v>2028</v>
      </c>
      <c r="Q5" s="24">
        <v>2029</v>
      </c>
      <c r="R5" s="24">
        <v>2030</v>
      </c>
      <c r="S5" s="24">
        <v>2031</v>
      </c>
      <c r="T5" s="24">
        <v>2032</v>
      </c>
    </row>
    <row r="6" spans="2:20" x14ac:dyDescent="0.25">
      <c r="B6" s="4" t="s">
        <v>5</v>
      </c>
      <c r="C6" s="29">
        <f t="shared" ref="C6:T6" si="0">SUM(C7:C13)</f>
        <v>600</v>
      </c>
      <c r="D6" s="29">
        <f t="shared" si="0"/>
        <v>700</v>
      </c>
      <c r="E6" s="29">
        <f t="shared" si="0"/>
        <v>700</v>
      </c>
      <c r="F6" s="18">
        <f t="shared" si="0"/>
        <v>700</v>
      </c>
      <c r="G6" s="18">
        <f t="shared" si="0"/>
        <v>700</v>
      </c>
      <c r="H6" s="18">
        <f t="shared" si="0"/>
        <v>425.10333830823413</v>
      </c>
      <c r="I6" s="18">
        <f t="shared" si="0"/>
        <v>425.10333830823413</v>
      </c>
      <c r="J6" s="65">
        <f t="shared" si="0"/>
        <v>2250.206676616468</v>
      </c>
      <c r="K6" s="18">
        <f t="shared" si="0"/>
        <v>562.55166915411701</v>
      </c>
      <c r="L6" s="18">
        <f t="shared" si="0"/>
        <v>562.55166915411701</v>
      </c>
      <c r="M6" s="18">
        <f t="shared" si="0"/>
        <v>562.55166915411701</v>
      </c>
      <c r="N6" s="18">
        <f t="shared" si="0"/>
        <v>562.55166915411701</v>
      </c>
      <c r="O6" s="74">
        <f t="shared" si="0"/>
        <v>2250.206676616468</v>
      </c>
      <c r="P6" s="64">
        <f t="shared" si="0"/>
        <v>2250.206676616468</v>
      </c>
      <c r="Q6" s="64">
        <f t="shared" si="0"/>
        <v>2205.2025430841386</v>
      </c>
      <c r="R6" s="64">
        <f t="shared" si="0"/>
        <v>2161.0984922224561</v>
      </c>
      <c r="S6" s="64">
        <f t="shared" si="0"/>
        <v>2117.8765223780065</v>
      </c>
      <c r="T6" s="64">
        <f t="shared" si="0"/>
        <v>2075.5189919304466</v>
      </c>
    </row>
    <row r="7" spans="2:20" outlineLevel="1" x14ac:dyDescent="0.25">
      <c r="B7" s="5" t="s">
        <v>93</v>
      </c>
      <c r="C7" s="29">
        <f>'Volume Impact'!C35</f>
        <v>0</v>
      </c>
      <c r="D7" s="29">
        <f>'Volume Impact'!D35</f>
        <v>100</v>
      </c>
      <c r="E7" s="29">
        <f>'Volume Impact'!E35</f>
        <v>100</v>
      </c>
      <c r="F7" s="18">
        <f>'Volume Impact'!F35</f>
        <v>100</v>
      </c>
      <c r="G7" s="18">
        <f>'Volume Impact'!G35</f>
        <v>100</v>
      </c>
      <c r="H7" s="18">
        <f>'Volume Impact'!H35</f>
        <v>91.654464903655551</v>
      </c>
      <c r="I7" s="18">
        <f>'Volume Impact'!I35</f>
        <v>91.654464903655551</v>
      </c>
      <c r="J7" s="65">
        <f>'Volume Impact'!J35</f>
        <v>383.30892980731107</v>
      </c>
      <c r="K7" s="18">
        <f>'Volume Impact'!K35</f>
        <v>95.827232451827769</v>
      </c>
      <c r="L7" s="18">
        <f>'Volume Impact'!L35</f>
        <v>95.827232451827769</v>
      </c>
      <c r="M7" s="18">
        <f>'Volume Impact'!M35</f>
        <v>95.827232451827769</v>
      </c>
      <c r="N7" s="18">
        <f>'Volume Impact'!N35</f>
        <v>95.827232451827769</v>
      </c>
      <c r="O7" s="74">
        <f>'Volume Impact'!O35</f>
        <v>383.30892980731107</v>
      </c>
      <c r="P7" s="64">
        <f>'Volume Impact'!P35</f>
        <v>383.30892980731107</v>
      </c>
      <c r="Q7" s="64">
        <f>'Volume Impact'!Q35</f>
        <v>375.64275121116486</v>
      </c>
      <c r="R7" s="64">
        <f>'Volume Impact'!R35</f>
        <v>368.12989618694155</v>
      </c>
      <c r="S7" s="64">
        <f>'Volume Impact'!S35</f>
        <v>360.76729826320269</v>
      </c>
      <c r="T7" s="64">
        <f>'Volume Impact'!T35</f>
        <v>353.55195229793861</v>
      </c>
    </row>
    <row r="8" spans="2:20" outlineLevel="1" x14ac:dyDescent="0.25">
      <c r="B8" s="5" t="s">
        <v>94</v>
      </c>
      <c r="C8" s="29">
        <f>'Volume Impact'!C36</f>
        <v>100</v>
      </c>
      <c r="D8" s="29">
        <f>'Volume Impact'!D36</f>
        <v>100</v>
      </c>
      <c r="E8" s="29">
        <f>'Volume Impact'!E36</f>
        <v>100</v>
      </c>
      <c r="F8" s="18">
        <f>'Volume Impact'!F36</f>
        <v>100</v>
      </c>
      <c r="G8" s="18">
        <f>'Volume Impact'!G36</f>
        <v>100</v>
      </c>
      <c r="H8" s="18">
        <f>'Volume Impact'!H36</f>
        <v>94.712802437871602</v>
      </c>
      <c r="I8" s="18">
        <f>'Volume Impact'!I36</f>
        <v>94.712802437871602</v>
      </c>
      <c r="J8" s="65">
        <f>'Volume Impact'!J36</f>
        <v>389.42560487574315</v>
      </c>
      <c r="K8" s="18">
        <f>'Volume Impact'!K36</f>
        <v>97.356401218935787</v>
      </c>
      <c r="L8" s="18">
        <f>'Volume Impact'!L36</f>
        <v>97.356401218935787</v>
      </c>
      <c r="M8" s="18">
        <f>'Volume Impact'!M36</f>
        <v>97.356401218935787</v>
      </c>
      <c r="N8" s="18">
        <f>'Volume Impact'!N36</f>
        <v>97.356401218935787</v>
      </c>
      <c r="O8" s="74">
        <f>'Volume Impact'!O36</f>
        <v>389.42560487574315</v>
      </c>
      <c r="P8" s="64">
        <f>'Volume Impact'!P36</f>
        <v>389.42560487574315</v>
      </c>
      <c r="Q8" s="64">
        <f>'Volume Impact'!Q36</f>
        <v>381.63709277822829</v>
      </c>
      <c r="R8" s="64">
        <f>'Volume Impact'!R36</f>
        <v>374.00435092266372</v>
      </c>
      <c r="S8" s="64">
        <f>'Volume Impact'!S36</f>
        <v>366.52426390421044</v>
      </c>
      <c r="T8" s="64">
        <f>'Volume Impact'!T36</f>
        <v>359.19377862612623</v>
      </c>
    </row>
    <row r="9" spans="2:20" outlineLevel="1" x14ac:dyDescent="0.25">
      <c r="B9" s="5" t="s">
        <v>95</v>
      </c>
      <c r="C9" s="29">
        <f>'Volume Impact'!C37</f>
        <v>100</v>
      </c>
      <c r="D9" s="29">
        <f>'Volume Impact'!D37</f>
        <v>100</v>
      </c>
      <c r="E9" s="29">
        <f>'Volume Impact'!E37</f>
        <v>100</v>
      </c>
      <c r="F9" s="18">
        <f>'Volume Impact'!F37</f>
        <v>100</v>
      </c>
      <c r="G9" s="18">
        <f>'Volume Impact'!G37</f>
        <v>100</v>
      </c>
      <c r="H9" s="18">
        <f>'Volume Impact'!H37</f>
        <v>10.999999999999998</v>
      </c>
      <c r="I9" s="18">
        <f>'Volume Impact'!I37</f>
        <v>10.999999999999998</v>
      </c>
      <c r="J9" s="65">
        <f>'Volume Impact'!J37</f>
        <v>222</v>
      </c>
      <c r="K9" s="18">
        <f>'Volume Impact'!K37</f>
        <v>55.5</v>
      </c>
      <c r="L9" s="18">
        <f>'Volume Impact'!L37</f>
        <v>55.5</v>
      </c>
      <c r="M9" s="18">
        <f>'Volume Impact'!M37</f>
        <v>55.5</v>
      </c>
      <c r="N9" s="18">
        <f>'Volume Impact'!N37</f>
        <v>55.5</v>
      </c>
      <c r="O9" s="74">
        <f>'Volume Impact'!O37</f>
        <v>222</v>
      </c>
      <c r="P9" s="64">
        <f>'Volume Impact'!P37</f>
        <v>222</v>
      </c>
      <c r="Q9" s="64">
        <f>'Volume Impact'!Q37</f>
        <v>217.56</v>
      </c>
      <c r="R9" s="64">
        <f>'Volume Impact'!R37</f>
        <v>213.2088</v>
      </c>
      <c r="S9" s="64">
        <f>'Volume Impact'!S37</f>
        <v>208.944624</v>
      </c>
      <c r="T9" s="64">
        <f>'Volume Impact'!T37</f>
        <v>204.76573152</v>
      </c>
    </row>
    <row r="10" spans="2:20" outlineLevel="1" x14ac:dyDescent="0.25">
      <c r="B10" s="5" t="s">
        <v>96</v>
      </c>
      <c r="C10" s="29">
        <f>'Volume Impact'!C38</f>
        <v>100</v>
      </c>
      <c r="D10" s="29">
        <f>'Volume Impact'!D38</f>
        <v>100</v>
      </c>
      <c r="E10" s="29">
        <f>'Volume Impact'!E38</f>
        <v>100</v>
      </c>
      <c r="F10" s="18">
        <f>'Volume Impact'!F38</f>
        <v>100</v>
      </c>
      <c r="G10" s="18">
        <f>'Volume Impact'!G38</f>
        <v>100</v>
      </c>
      <c r="H10" s="18">
        <f>'Volume Impact'!H38</f>
        <v>27</v>
      </c>
      <c r="I10" s="18">
        <f>'Volume Impact'!I38</f>
        <v>27</v>
      </c>
      <c r="J10" s="65">
        <f>'Volume Impact'!J38</f>
        <v>254</v>
      </c>
      <c r="K10" s="18">
        <f>'Volume Impact'!K38</f>
        <v>63.5</v>
      </c>
      <c r="L10" s="18">
        <f>'Volume Impact'!L38</f>
        <v>63.5</v>
      </c>
      <c r="M10" s="18">
        <f>'Volume Impact'!M38</f>
        <v>63.5</v>
      </c>
      <c r="N10" s="18">
        <f>'Volume Impact'!N38</f>
        <v>63.5</v>
      </c>
      <c r="O10" s="74">
        <f>'Volume Impact'!O38</f>
        <v>254</v>
      </c>
      <c r="P10" s="64">
        <f>'Volume Impact'!P38</f>
        <v>254</v>
      </c>
      <c r="Q10" s="64">
        <f>'Volume Impact'!Q38</f>
        <v>248.92</v>
      </c>
      <c r="R10" s="64">
        <f>'Volume Impact'!R38</f>
        <v>243.94159999999999</v>
      </c>
      <c r="S10" s="64">
        <f>'Volume Impact'!S38</f>
        <v>239.06276799999998</v>
      </c>
      <c r="T10" s="64">
        <f>'Volume Impact'!T38</f>
        <v>234.28151263999996</v>
      </c>
    </row>
    <row r="11" spans="2:20" outlineLevel="1" x14ac:dyDescent="0.25">
      <c r="B11" s="5" t="s">
        <v>97</v>
      </c>
      <c r="C11" s="29">
        <f>'Volume Impact'!C39</f>
        <v>100</v>
      </c>
      <c r="D11" s="29">
        <f>'Volume Impact'!D39</f>
        <v>100</v>
      </c>
      <c r="E11" s="29">
        <f>'Volume Impact'!E39</f>
        <v>100</v>
      </c>
      <c r="F11" s="18">
        <f>'Volume Impact'!F39</f>
        <v>100</v>
      </c>
      <c r="G11" s="18">
        <f>'Volume Impact'!G39</f>
        <v>100</v>
      </c>
      <c r="H11" s="18">
        <f>'Volume Impact'!H39</f>
        <v>6.023268528835402</v>
      </c>
      <c r="I11" s="18">
        <f>'Volume Impact'!I39</f>
        <v>6.023268528835402</v>
      </c>
      <c r="J11" s="65">
        <f>'Volume Impact'!J39</f>
        <v>212.04653705767078</v>
      </c>
      <c r="K11" s="18">
        <f>'Volume Impact'!K39</f>
        <v>53.011634264417694</v>
      </c>
      <c r="L11" s="18">
        <f>'Volume Impact'!L39</f>
        <v>53.011634264417694</v>
      </c>
      <c r="M11" s="18">
        <f>'Volume Impact'!M39</f>
        <v>53.011634264417694</v>
      </c>
      <c r="N11" s="18">
        <f>'Volume Impact'!N39</f>
        <v>53.011634264417694</v>
      </c>
      <c r="O11" s="74">
        <f>'Volume Impact'!O39</f>
        <v>212.04653705767078</v>
      </c>
      <c r="P11" s="64">
        <f>'Volume Impact'!P39</f>
        <v>212.04653705767078</v>
      </c>
      <c r="Q11" s="64">
        <f>'Volume Impact'!Q39</f>
        <v>207.80560631651736</v>
      </c>
      <c r="R11" s="64">
        <f>'Volume Impact'!R39</f>
        <v>203.649494190187</v>
      </c>
      <c r="S11" s="64">
        <f>'Volume Impact'!S39</f>
        <v>199.57650430638324</v>
      </c>
      <c r="T11" s="64">
        <f>'Volume Impact'!T39</f>
        <v>195.58497422025556</v>
      </c>
    </row>
    <row r="12" spans="2:20" outlineLevel="1" x14ac:dyDescent="0.25">
      <c r="B12" s="5" t="s">
        <v>98</v>
      </c>
      <c r="C12" s="29">
        <f>'Volume Impact'!C40</f>
        <v>100</v>
      </c>
      <c r="D12" s="29">
        <f>'Volume Impact'!D40</f>
        <v>100</v>
      </c>
      <c r="E12" s="29">
        <f>'Volume Impact'!E40</f>
        <v>100</v>
      </c>
      <c r="F12" s="18">
        <f>'Volume Impact'!F40</f>
        <v>100</v>
      </c>
      <c r="G12" s="18">
        <f>'Volume Impact'!G40</f>
        <v>100</v>
      </c>
      <c r="H12" s="18">
        <f>'Volume Impact'!H40</f>
        <v>100</v>
      </c>
      <c r="I12" s="18">
        <f>'Volume Impact'!I40</f>
        <v>100</v>
      </c>
      <c r="J12" s="65">
        <f>'Volume Impact'!J40</f>
        <v>400</v>
      </c>
      <c r="K12" s="18">
        <f>'Volume Impact'!K40</f>
        <v>100</v>
      </c>
      <c r="L12" s="18">
        <f>'Volume Impact'!L40</f>
        <v>100</v>
      </c>
      <c r="M12" s="18">
        <f>'Volume Impact'!M40</f>
        <v>100</v>
      </c>
      <c r="N12" s="18">
        <f>'Volume Impact'!N40</f>
        <v>100</v>
      </c>
      <c r="O12" s="74">
        <f>'Volume Impact'!O40</f>
        <v>400</v>
      </c>
      <c r="P12" s="64">
        <f>'Volume Impact'!P40</f>
        <v>400</v>
      </c>
      <c r="Q12" s="64">
        <f>'Volume Impact'!Q40</f>
        <v>392</v>
      </c>
      <c r="R12" s="64">
        <f>'Volume Impact'!R40</f>
        <v>384.15999999999997</v>
      </c>
      <c r="S12" s="64">
        <f>'Volume Impact'!S40</f>
        <v>376.47679999999997</v>
      </c>
      <c r="T12" s="64">
        <f>'Volume Impact'!T40</f>
        <v>368.94726399999996</v>
      </c>
    </row>
    <row r="13" spans="2:20" outlineLevel="1" x14ac:dyDescent="0.25">
      <c r="B13" s="5" t="s">
        <v>99</v>
      </c>
      <c r="C13" s="29">
        <f>'Volume Impact'!C41</f>
        <v>100</v>
      </c>
      <c r="D13" s="29">
        <f>'Volume Impact'!D41</f>
        <v>100</v>
      </c>
      <c r="E13" s="29">
        <f>'Volume Impact'!E41</f>
        <v>100</v>
      </c>
      <c r="F13" s="18">
        <f>'Volume Impact'!F41</f>
        <v>100</v>
      </c>
      <c r="G13" s="18">
        <f>'Volume Impact'!G41</f>
        <v>100</v>
      </c>
      <c r="H13" s="18">
        <f>'Volume Impact'!H41</f>
        <v>94.712802437871602</v>
      </c>
      <c r="I13" s="18">
        <f>'Volume Impact'!I41</f>
        <v>94.712802437871602</v>
      </c>
      <c r="J13" s="65">
        <f>'Volume Impact'!J41</f>
        <v>389.42560487574315</v>
      </c>
      <c r="K13" s="18">
        <f>'Volume Impact'!K41</f>
        <v>97.356401218935787</v>
      </c>
      <c r="L13" s="18">
        <f>'Volume Impact'!L41</f>
        <v>97.356401218935787</v>
      </c>
      <c r="M13" s="18">
        <f>'Volume Impact'!M41</f>
        <v>97.356401218935787</v>
      </c>
      <c r="N13" s="18">
        <f>'Volume Impact'!N41</f>
        <v>97.356401218935787</v>
      </c>
      <c r="O13" s="74">
        <f>'Volume Impact'!O41</f>
        <v>389.42560487574315</v>
      </c>
      <c r="P13" s="64">
        <f>'Volume Impact'!P41</f>
        <v>389.42560487574315</v>
      </c>
      <c r="Q13" s="64">
        <f>'Volume Impact'!Q41</f>
        <v>381.63709277822829</v>
      </c>
      <c r="R13" s="64">
        <f>'Volume Impact'!R41</f>
        <v>374.00435092266372</v>
      </c>
      <c r="S13" s="64">
        <f>'Volume Impact'!S41</f>
        <v>366.52426390421044</v>
      </c>
      <c r="T13" s="64">
        <f>'Volume Impact'!T41</f>
        <v>359.19377862612623</v>
      </c>
    </row>
    <row r="14" spans="2:20" outlineLevel="1" x14ac:dyDescent="0.25">
      <c r="B14"/>
      <c r="C14" s="71"/>
      <c r="D14" s="71"/>
      <c r="E14" s="71"/>
      <c r="J14" s="55"/>
      <c r="O14" s="75"/>
      <c r="P14" s="77"/>
      <c r="Q14" s="77"/>
      <c r="R14" s="77"/>
      <c r="S14" s="77"/>
      <c r="T14" s="77"/>
    </row>
    <row r="15" spans="2:20" x14ac:dyDescent="0.25">
      <c r="B15" s="4" t="s">
        <v>13</v>
      </c>
      <c r="C15" s="29">
        <f>'Volume Impact'!C57</f>
        <v>700</v>
      </c>
      <c r="D15" s="29">
        <f>'Volume Impact'!D57</f>
        <v>700</v>
      </c>
      <c r="E15" s="29">
        <f>'Volume Impact'!E57</f>
        <v>700</v>
      </c>
      <c r="F15" s="18">
        <f>'Volume Impact'!F57</f>
        <v>700</v>
      </c>
      <c r="G15" s="18">
        <f>'Volume Impact'!G57</f>
        <v>700</v>
      </c>
      <c r="H15" s="18">
        <f>'Volume Impact'!H57</f>
        <v>700</v>
      </c>
      <c r="I15" s="18">
        <f>'Volume Impact'!I57</f>
        <v>700</v>
      </c>
      <c r="J15" s="65">
        <f>'Volume Impact'!J57</f>
        <v>2800</v>
      </c>
      <c r="K15" s="18">
        <f>'Volume Impact'!K57</f>
        <v>700</v>
      </c>
      <c r="L15" s="18">
        <f>'Volume Impact'!L57</f>
        <v>700</v>
      </c>
      <c r="M15" s="18">
        <f>'Volume Impact'!M57</f>
        <v>700</v>
      </c>
      <c r="N15" s="18">
        <f>'Volume Impact'!N57</f>
        <v>700</v>
      </c>
      <c r="O15" s="74">
        <f>'Volume Impact'!O57</f>
        <v>2800</v>
      </c>
      <c r="P15" s="64">
        <f>'Volume Impact'!P57</f>
        <v>2800</v>
      </c>
      <c r="Q15" s="64">
        <f>'Volume Impact'!Q57</f>
        <v>2800</v>
      </c>
      <c r="R15" s="64">
        <f>'Volume Impact'!R57</f>
        <v>2800</v>
      </c>
      <c r="S15" s="64">
        <f>'Volume Impact'!S57</f>
        <v>2800</v>
      </c>
      <c r="T15" s="64">
        <f>'Volume Impact'!T57</f>
        <v>2800</v>
      </c>
    </row>
    <row r="16" spans="2:20" x14ac:dyDescent="0.25">
      <c r="B16" s="52" t="s">
        <v>14</v>
      </c>
      <c r="C16" s="62">
        <f t="shared" ref="C16:T16" si="1">IFERROR(C15/C$6,0)</f>
        <v>1.1666666666666667</v>
      </c>
      <c r="D16" s="62">
        <f t="shared" si="1"/>
        <v>1</v>
      </c>
      <c r="E16" s="62">
        <f t="shared" si="1"/>
        <v>1</v>
      </c>
      <c r="F16" s="62">
        <f t="shared" si="1"/>
        <v>1</v>
      </c>
      <c r="G16" s="62">
        <f t="shared" si="1"/>
        <v>1</v>
      </c>
      <c r="H16" s="62">
        <f t="shared" si="1"/>
        <v>1.6466584402412847</v>
      </c>
      <c r="I16" s="62">
        <f t="shared" si="1"/>
        <v>1.6466584402412847</v>
      </c>
      <c r="J16" s="62">
        <f t="shared" si="1"/>
        <v>1.2443301449137245</v>
      </c>
      <c r="K16" s="62">
        <f t="shared" si="1"/>
        <v>1.2443301449137245</v>
      </c>
      <c r="L16" s="62">
        <f t="shared" si="1"/>
        <v>1.2443301449137245</v>
      </c>
      <c r="M16" s="62">
        <f t="shared" si="1"/>
        <v>1.2443301449137245</v>
      </c>
      <c r="N16" s="62">
        <f t="shared" si="1"/>
        <v>1.2443301449137245</v>
      </c>
      <c r="O16" s="62">
        <f t="shared" si="1"/>
        <v>1.2443301449137245</v>
      </c>
      <c r="P16" s="62">
        <f t="shared" si="1"/>
        <v>1.2443301449137245</v>
      </c>
      <c r="Q16" s="62">
        <f t="shared" si="1"/>
        <v>1.2697246376670659</v>
      </c>
      <c r="R16" s="62">
        <f t="shared" si="1"/>
        <v>1.2956373853745569</v>
      </c>
      <c r="S16" s="62">
        <f t="shared" si="1"/>
        <v>1.3220789646679154</v>
      </c>
      <c r="T16" s="62">
        <f t="shared" si="1"/>
        <v>1.3490601680284848</v>
      </c>
    </row>
    <row r="17" spans="2:20" x14ac:dyDescent="0.25">
      <c r="B17"/>
    </row>
    <row r="18" spans="2:20" x14ac:dyDescent="0.25">
      <c r="B18" t="s">
        <v>15</v>
      </c>
      <c r="C18" s="29">
        <f>OHCOGS!C29</f>
        <v>100</v>
      </c>
      <c r="D18" s="29">
        <f>OHCOGS!D29</f>
        <v>100</v>
      </c>
      <c r="E18" s="29">
        <f>OHCOGS!E29</f>
        <v>100</v>
      </c>
      <c r="F18" s="18">
        <f>OHCOGS!F29</f>
        <v>100</v>
      </c>
      <c r="G18" s="18">
        <f>OHCOGS!G29</f>
        <v>100</v>
      </c>
      <c r="H18" s="18">
        <f>OHCOGS!H29</f>
        <v>100</v>
      </c>
      <c r="I18" s="18">
        <f>OHCOGS!I29</f>
        <v>100</v>
      </c>
      <c r="J18" s="65">
        <f>OHCOGS!J29</f>
        <v>400</v>
      </c>
      <c r="K18" s="18">
        <f>OHCOGS!K29</f>
        <v>100</v>
      </c>
      <c r="L18" s="18">
        <f>OHCOGS!L29</f>
        <v>100</v>
      </c>
      <c r="M18" s="18">
        <f>OHCOGS!M29</f>
        <v>100</v>
      </c>
      <c r="N18" s="18">
        <f>OHCOGS!N29</f>
        <v>100</v>
      </c>
      <c r="O18" s="74">
        <f>OHCOGS!O29</f>
        <v>400</v>
      </c>
      <c r="P18" s="64">
        <f>OHCOGS!P29</f>
        <v>400</v>
      </c>
      <c r="Q18" s="64">
        <f>OHCOGS!Q29</f>
        <v>400</v>
      </c>
      <c r="R18" s="64">
        <f>OHCOGS!R29</f>
        <v>400</v>
      </c>
      <c r="S18" s="64">
        <f>OHCOGS!S29</f>
        <v>400</v>
      </c>
      <c r="T18" s="64">
        <f>OHCOGS!T29</f>
        <v>400</v>
      </c>
    </row>
    <row r="19" spans="2:20" x14ac:dyDescent="0.25">
      <c r="B19" t="s">
        <v>16</v>
      </c>
      <c r="C19" s="29">
        <f>OHCOGS!C30</f>
        <v>100</v>
      </c>
      <c r="D19" s="29">
        <f>OHCOGS!D30</f>
        <v>100</v>
      </c>
      <c r="E19" s="29">
        <f>OHCOGS!E30</f>
        <v>100</v>
      </c>
      <c r="F19" s="18">
        <f>OHCOGS!F30</f>
        <v>100</v>
      </c>
      <c r="G19" s="18">
        <f>OHCOGS!G30</f>
        <v>100</v>
      </c>
      <c r="H19" s="18">
        <f>OHCOGS!H30</f>
        <v>100</v>
      </c>
      <c r="I19" s="18">
        <f>OHCOGS!I30</f>
        <v>100</v>
      </c>
      <c r="J19" s="65">
        <f>OHCOGS!J30</f>
        <v>400</v>
      </c>
      <c r="K19" s="18">
        <f>OHCOGS!K30</f>
        <v>100</v>
      </c>
      <c r="L19" s="18">
        <f>OHCOGS!L30</f>
        <v>100</v>
      </c>
      <c r="M19" s="18">
        <f>OHCOGS!M30</f>
        <v>100</v>
      </c>
      <c r="N19" s="18">
        <f>OHCOGS!N30</f>
        <v>100</v>
      </c>
      <c r="O19" s="74">
        <f>OHCOGS!O30</f>
        <v>400</v>
      </c>
      <c r="P19" s="64">
        <f>OHCOGS!P30</f>
        <v>400</v>
      </c>
      <c r="Q19" s="64">
        <f>OHCOGS!Q30</f>
        <v>400</v>
      </c>
      <c r="R19" s="64">
        <f>OHCOGS!R30</f>
        <v>400</v>
      </c>
      <c r="S19" s="64">
        <f>OHCOGS!S30</f>
        <v>400</v>
      </c>
      <c r="T19" s="64">
        <f>OHCOGS!T30</f>
        <v>400</v>
      </c>
    </row>
    <row r="20" spans="2:20" x14ac:dyDescent="0.25">
      <c r="B20"/>
    </row>
    <row r="21" spans="2:20" x14ac:dyDescent="0.25">
      <c r="B21" s="4" t="s">
        <v>17</v>
      </c>
      <c r="C21" s="29">
        <f t="shared" ref="C21:T21" si="2">C15-SUM(C18:C19)</f>
        <v>500</v>
      </c>
      <c r="D21" s="29">
        <f t="shared" si="2"/>
        <v>500</v>
      </c>
      <c r="E21" s="29">
        <f t="shared" si="2"/>
        <v>500</v>
      </c>
      <c r="F21" s="18">
        <f t="shared" si="2"/>
        <v>500</v>
      </c>
      <c r="G21" s="18">
        <f t="shared" si="2"/>
        <v>500</v>
      </c>
      <c r="H21" s="18">
        <f t="shared" si="2"/>
        <v>500</v>
      </c>
      <c r="I21" s="18">
        <f t="shared" si="2"/>
        <v>500</v>
      </c>
      <c r="J21" s="65">
        <f t="shared" si="2"/>
        <v>2000</v>
      </c>
      <c r="K21" s="18">
        <f t="shared" si="2"/>
        <v>500</v>
      </c>
      <c r="L21" s="18">
        <f t="shared" si="2"/>
        <v>500</v>
      </c>
      <c r="M21" s="18">
        <f t="shared" si="2"/>
        <v>500</v>
      </c>
      <c r="N21" s="18">
        <f t="shared" si="2"/>
        <v>500</v>
      </c>
      <c r="O21" s="74">
        <f t="shared" si="2"/>
        <v>2000</v>
      </c>
      <c r="P21" s="64">
        <f t="shared" si="2"/>
        <v>2000</v>
      </c>
      <c r="Q21" s="64">
        <f t="shared" si="2"/>
        <v>2000</v>
      </c>
      <c r="R21" s="64">
        <f t="shared" si="2"/>
        <v>2000</v>
      </c>
      <c r="S21" s="64">
        <f t="shared" si="2"/>
        <v>2000</v>
      </c>
      <c r="T21" s="64">
        <f t="shared" si="2"/>
        <v>2000</v>
      </c>
    </row>
    <row r="22" spans="2:20" x14ac:dyDescent="0.25">
      <c r="B22" s="52" t="s">
        <v>18</v>
      </c>
      <c r="C22" s="62">
        <f t="shared" ref="C22:T22" si="3">IFERROR(C21/C$6,0)</f>
        <v>0.83333333333333337</v>
      </c>
      <c r="D22" s="62">
        <f t="shared" si="3"/>
        <v>0.7142857142857143</v>
      </c>
      <c r="E22" s="62">
        <f t="shared" si="3"/>
        <v>0.7142857142857143</v>
      </c>
      <c r="F22" s="62">
        <f t="shared" si="3"/>
        <v>0.7142857142857143</v>
      </c>
      <c r="G22" s="62">
        <f t="shared" si="3"/>
        <v>0.7142857142857143</v>
      </c>
      <c r="H22" s="62">
        <f t="shared" si="3"/>
        <v>1.1761846001723462</v>
      </c>
      <c r="I22" s="62">
        <f t="shared" si="3"/>
        <v>1.1761846001723462</v>
      </c>
      <c r="J22" s="62">
        <f t="shared" si="3"/>
        <v>0.88880724636694608</v>
      </c>
      <c r="K22" s="62">
        <f t="shared" si="3"/>
        <v>0.88880724636694608</v>
      </c>
      <c r="L22" s="62">
        <f t="shared" si="3"/>
        <v>0.88880724636694608</v>
      </c>
      <c r="M22" s="62">
        <f t="shared" si="3"/>
        <v>0.88880724636694608</v>
      </c>
      <c r="N22" s="62">
        <f t="shared" si="3"/>
        <v>0.88880724636694608</v>
      </c>
      <c r="O22" s="62">
        <f t="shared" si="3"/>
        <v>0.88880724636694608</v>
      </c>
      <c r="P22" s="62">
        <f t="shared" si="3"/>
        <v>0.88880724636694608</v>
      </c>
      <c r="Q22" s="62">
        <f t="shared" si="3"/>
        <v>0.90694616976218989</v>
      </c>
      <c r="R22" s="62">
        <f t="shared" si="3"/>
        <v>0.92545527526754057</v>
      </c>
      <c r="S22" s="62">
        <f t="shared" si="3"/>
        <v>0.94434211761993958</v>
      </c>
      <c r="T22" s="62">
        <f t="shared" si="3"/>
        <v>0.96361440573463208</v>
      </c>
    </row>
    <row r="23" spans="2:20" x14ac:dyDescent="0.25">
      <c r="B23"/>
    </row>
    <row r="24" spans="2:20" x14ac:dyDescent="0.25">
      <c r="B24" t="s">
        <v>19</v>
      </c>
      <c r="C24" s="29">
        <f>'Opex HC'!C38</f>
        <v>100</v>
      </c>
      <c r="D24" s="29">
        <f>'Opex HC'!D38</f>
        <v>100</v>
      </c>
      <c r="E24" s="29">
        <f>'Opex HC'!E38</f>
        <v>100</v>
      </c>
      <c r="F24" s="18">
        <f>'Opex HC'!F38</f>
        <v>100</v>
      </c>
      <c r="G24" s="18">
        <f>'Opex HC'!G38</f>
        <v>100</v>
      </c>
      <c r="H24" s="18">
        <f>'Opex HC'!H38</f>
        <v>100</v>
      </c>
      <c r="I24" s="18">
        <f>'Opex HC'!I38</f>
        <v>100</v>
      </c>
      <c r="J24" s="65">
        <f>'Opex HC'!J38</f>
        <v>400</v>
      </c>
      <c r="K24" s="18">
        <f>'Opex HC'!K38</f>
        <v>100</v>
      </c>
      <c r="L24" s="18">
        <f>'Opex HC'!L38</f>
        <v>100</v>
      </c>
      <c r="M24" s="18">
        <f>'Opex HC'!M38</f>
        <v>100</v>
      </c>
      <c r="N24" s="18">
        <f>'Opex HC'!N38</f>
        <v>100</v>
      </c>
      <c r="O24" s="74">
        <f>'Opex HC'!O38</f>
        <v>400</v>
      </c>
      <c r="P24" s="64">
        <f>'Opex HC'!P38</f>
        <v>400</v>
      </c>
      <c r="Q24" s="64">
        <f>'Opex HC'!Q38</f>
        <v>400</v>
      </c>
      <c r="R24" s="64">
        <f>'Opex HC'!R38</f>
        <v>400</v>
      </c>
      <c r="S24" s="64">
        <f>'Opex HC'!S38</f>
        <v>400</v>
      </c>
      <c r="T24" s="64">
        <f>'Opex HC'!T38</f>
        <v>400</v>
      </c>
    </row>
    <row r="25" spans="2:20" x14ac:dyDescent="0.25">
      <c r="B25" t="s">
        <v>20</v>
      </c>
      <c r="C25" s="29">
        <f>'Opex HC'!C39</f>
        <v>100</v>
      </c>
      <c r="D25" s="29">
        <f>'Opex HC'!D39</f>
        <v>100</v>
      </c>
      <c r="E25" s="29">
        <f>'Opex HC'!E39</f>
        <v>100</v>
      </c>
      <c r="F25" s="18">
        <f>'Opex HC'!F39</f>
        <v>100</v>
      </c>
      <c r="G25" s="18">
        <f>'Opex HC'!G39</f>
        <v>100</v>
      </c>
      <c r="H25" s="18">
        <f>'Opex HC'!H39</f>
        <v>100</v>
      </c>
      <c r="I25" s="18">
        <f>'Opex HC'!I39</f>
        <v>100</v>
      </c>
      <c r="J25" s="65">
        <f>'Opex HC'!J39</f>
        <v>400</v>
      </c>
      <c r="K25" s="18">
        <f>'Opex HC'!K39</f>
        <v>100</v>
      </c>
      <c r="L25" s="18">
        <f>'Opex HC'!L39</f>
        <v>100</v>
      </c>
      <c r="M25" s="18">
        <f>'Opex HC'!M39</f>
        <v>100</v>
      </c>
      <c r="N25" s="18">
        <f>'Opex HC'!N39</f>
        <v>100</v>
      </c>
      <c r="O25" s="74">
        <f>'Opex HC'!O39</f>
        <v>400</v>
      </c>
      <c r="P25" s="64">
        <f>'Opex HC'!P39</f>
        <v>400</v>
      </c>
      <c r="Q25" s="64">
        <f>'Opex HC'!Q39</f>
        <v>400</v>
      </c>
      <c r="R25" s="64">
        <f>'Opex HC'!R39</f>
        <v>400</v>
      </c>
      <c r="S25" s="64">
        <f>'Opex HC'!S39</f>
        <v>400</v>
      </c>
      <c r="T25" s="64">
        <f>'Opex HC'!T39</f>
        <v>400</v>
      </c>
    </row>
    <row r="26" spans="2:20" x14ac:dyDescent="0.25">
      <c r="B26" t="s">
        <v>21</v>
      </c>
      <c r="C26" s="29">
        <f>'Opex HC'!C40</f>
        <v>100</v>
      </c>
      <c r="D26" s="29">
        <f>'Opex HC'!D40</f>
        <v>100</v>
      </c>
      <c r="E26" s="29">
        <f>'Opex HC'!E40</f>
        <v>100</v>
      </c>
      <c r="F26" s="18">
        <f>'Opex HC'!F40</f>
        <v>100</v>
      </c>
      <c r="G26" s="18">
        <f>'Opex HC'!G40</f>
        <v>100</v>
      </c>
      <c r="H26" s="18">
        <f>'Opex HC'!H40</f>
        <v>100</v>
      </c>
      <c r="I26" s="18">
        <f>'Opex HC'!I40</f>
        <v>100</v>
      </c>
      <c r="J26" s="65">
        <f>'Opex HC'!J40</f>
        <v>400</v>
      </c>
      <c r="K26" s="18">
        <f>'Opex HC'!K40</f>
        <v>100</v>
      </c>
      <c r="L26" s="18">
        <f>'Opex HC'!L40</f>
        <v>100</v>
      </c>
      <c r="M26" s="18">
        <f>'Opex HC'!M40</f>
        <v>100</v>
      </c>
      <c r="N26" s="18">
        <f>'Opex HC'!N40</f>
        <v>100</v>
      </c>
      <c r="O26" s="74">
        <f>'Opex HC'!O40</f>
        <v>400</v>
      </c>
      <c r="P26" s="64">
        <f>'Opex HC'!P40</f>
        <v>400</v>
      </c>
      <c r="Q26" s="64">
        <f>'Opex HC'!Q40</f>
        <v>400</v>
      </c>
      <c r="R26" s="64">
        <f>'Opex HC'!R40</f>
        <v>400</v>
      </c>
      <c r="S26" s="64">
        <f>'Opex HC'!S40</f>
        <v>400</v>
      </c>
      <c r="T26" s="64">
        <f>'Opex HC'!T40</f>
        <v>400</v>
      </c>
    </row>
    <row r="27" spans="2:20" x14ac:dyDescent="0.25">
      <c r="B27" t="s">
        <v>22</v>
      </c>
      <c r="C27" s="29">
        <f>'Impact to Cash'!C53</f>
        <v>100</v>
      </c>
      <c r="D27" s="29">
        <f>'Impact to Cash'!D53</f>
        <v>-100</v>
      </c>
      <c r="E27" s="29">
        <f>'Impact to Cash'!E53</f>
        <v>300</v>
      </c>
      <c r="F27" s="18">
        <f>'Impact to Cash'!F53</f>
        <v>-10</v>
      </c>
      <c r="G27" s="18">
        <f>'Impact to Cash'!G53</f>
        <v>-10</v>
      </c>
      <c r="H27" s="18">
        <f>'Impact to Cash'!H53</f>
        <v>-10</v>
      </c>
      <c r="I27" s="18">
        <f>'Impact to Cash'!I53</f>
        <v>-10</v>
      </c>
      <c r="J27" s="65">
        <f>'Impact to Cash'!J53</f>
        <v>-40</v>
      </c>
      <c r="K27" s="18">
        <f>'Impact to Cash'!K53</f>
        <v>0</v>
      </c>
      <c r="L27" s="18">
        <f>'Impact to Cash'!L53</f>
        <v>0</v>
      </c>
      <c r="M27" s="18">
        <f>'Impact to Cash'!M53</f>
        <v>0</v>
      </c>
      <c r="N27" s="18">
        <f>'Impact to Cash'!N53</f>
        <v>0</v>
      </c>
      <c r="O27" s="74">
        <f>'Impact to Cash'!O53</f>
        <v>0</v>
      </c>
      <c r="P27" s="64">
        <f>'Impact to Cash'!P53</f>
        <v>0</v>
      </c>
      <c r="Q27" s="64">
        <f>'Impact to Cash'!Q53</f>
        <v>0</v>
      </c>
      <c r="R27" s="64">
        <f>'Impact to Cash'!R53</f>
        <v>0</v>
      </c>
      <c r="S27" s="64">
        <f>'Impact to Cash'!S53</f>
        <v>0</v>
      </c>
      <c r="T27" s="64">
        <f>'Impact to Cash'!T53</f>
        <v>0</v>
      </c>
    </row>
    <row r="28" spans="2:20" x14ac:dyDescent="0.25">
      <c r="B28" t="s">
        <v>23</v>
      </c>
      <c r="C28" s="29">
        <f>'Impact to Cash'!C54</f>
        <v>0</v>
      </c>
      <c r="D28" s="29">
        <f>'Impact to Cash'!D54</f>
        <v>0</v>
      </c>
      <c r="E28" s="29">
        <f>'Impact to Cash'!E54</f>
        <v>0</v>
      </c>
      <c r="F28" s="18">
        <f>'Impact to Cash'!F54</f>
        <v>0</v>
      </c>
      <c r="G28" s="18">
        <f>'Impact to Cash'!G54</f>
        <v>200</v>
      </c>
      <c r="H28" s="18">
        <f>'Impact to Cash'!H54</f>
        <v>0</v>
      </c>
      <c r="I28" s="18">
        <f>'Impact to Cash'!I54</f>
        <v>0</v>
      </c>
      <c r="J28" s="65">
        <f>'Impact to Cash'!J54</f>
        <v>200</v>
      </c>
      <c r="K28" s="18">
        <f>'Impact to Cash'!K54</f>
        <v>0</v>
      </c>
      <c r="L28" s="18">
        <f>'Impact to Cash'!L54</f>
        <v>0</v>
      </c>
      <c r="M28" s="18">
        <f>'Impact to Cash'!M54</f>
        <v>0</v>
      </c>
      <c r="N28" s="18">
        <f>'Impact to Cash'!N54</f>
        <v>0</v>
      </c>
      <c r="O28" s="74">
        <f>'Impact to Cash'!O54</f>
        <v>0</v>
      </c>
      <c r="P28" s="64">
        <f>'Impact to Cash'!P54</f>
        <v>0</v>
      </c>
      <c r="Q28" s="64">
        <f>'Impact to Cash'!Q54</f>
        <v>0</v>
      </c>
      <c r="R28" s="64">
        <f>'Impact to Cash'!R54</f>
        <v>0</v>
      </c>
      <c r="S28" s="64">
        <f>'Impact to Cash'!S54</f>
        <v>0</v>
      </c>
      <c r="T28" s="64">
        <f>'Impact to Cash'!T54</f>
        <v>0</v>
      </c>
    </row>
    <row r="29" spans="2:20" x14ac:dyDescent="0.25">
      <c r="B29" s="4" t="s">
        <v>24</v>
      </c>
      <c r="C29" s="29">
        <f t="shared" ref="C29:T29" si="4">SUM(C24:C28)</f>
        <v>400</v>
      </c>
      <c r="D29" s="29">
        <f t="shared" si="4"/>
        <v>200</v>
      </c>
      <c r="E29" s="29">
        <f t="shared" si="4"/>
        <v>600</v>
      </c>
      <c r="F29" s="18">
        <f t="shared" si="4"/>
        <v>290</v>
      </c>
      <c r="G29" s="18">
        <f t="shared" si="4"/>
        <v>490</v>
      </c>
      <c r="H29" s="18">
        <f t="shared" si="4"/>
        <v>290</v>
      </c>
      <c r="I29" s="18">
        <f t="shared" si="4"/>
        <v>290</v>
      </c>
      <c r="J29" s="65">
        <f t="shared" si="4"/>
        <v>1360</v>
      </c>
      <c r="K29" s="18">
        <f t="shared" si="4"/>
        <v>300</v>
      </c>
      <c r="L29" s="18">
        <f t="shared" si="4"/>
        <v>300</v>
      </c>
      <c r="M29" s="18">
        <f t="shared" si="4"/>
        <v>300</v>
      </c>
      <c r="N29" s="18">
        <f t="shared" si="4"/>
        <v>300</v>
      </c>
      <c r="O29" s="74">
        <f t="shared" si="4"/>
        <v>1200</v>
      </c>
      <c r="P29" s="64">
        <f t="shared" si="4"/>
        <v>1200</v>
      </c>
      <c r="Q29" s="64">
        <f t="shared" si="4"/>
        <v>1200</v>
      </c>
      <c r="R29" s="64">
        <f t="shared" si="4"/>
        <v>1200</v>
      </c>
      <c r="S29" s="64">
        <f t="shared" si="4"/>
        <v>1200</v>
      </c>
      <c r="T29" s="64">
        <f t="shared" si="4"/>
        <v>1200</v>
      </c>
    </row>
    <row r="30" spans="2:20" x14ac:dyDescent="0.25">
      <c r="B30"/>
    </row>
    <row r="31" spans="2:20" ht="15.75" thickBot="1" x14ac:dyDescent="0.3">
      <c r="B31" s="4" t="s">
        <v>25</v>
      </c>
      <c r="C31" s="72">
        <f t="shared" ref="C31:T31" si="5">C21-C29</f>
        <v>100</v>
      </c>
      <c r="D31" s="72">
        <f t="shared" si="5"/>
        <v>300</v>
      </c>
      <c r="E31" s="72">
        <f t="shared" si="5"/>
        <v>-100</v>
      </c>
      <c r="F31" s="19">
        <f t="shared" si="5"/>
        <v>210</v>
      </c>
      <c r="G31" s="19">
        <f t="shared" si="5"/>
        <v>10</v>
      </c>
      <c r="H31" s="19">
        <f t="shared" si="5"/>
        <v>210</v>
      </c>
      <c r="I31" s="19">
        <f t="shared" si="5"/>
        <v>210</v>
      </c>
      <c r="J31" s="73">
        <f t="shared" si="5"/>
        <v>640</v>
      </c>
      <c r="K31" s="19">
        <f t="shared" si="5"/>
        <v>200</v>
      </c>
      <c r="L31" s="19">
        <f t="shared" si="5"/>
        <v>200</v>
      </c>
      <c r="M31" s="19">
        <f t="shared" si="5"/>
        <v>200</v>
      </c>
      <c r="N31" s="19">
        <f t="shared" si="5"/>
        <v>200</v>
      </c>
      <c r="O31" s="76">
        <f t="shared" si="5"/>
        <v>800</v>
      </c>
      <c r="P31" s="78">
        <f t="shared" si="5"/>
        <v>800</v>
      </c>
      <c r="Q31" s="78">
        <f t="shared" si="5"/>
        <v>800</v>
      </c>
      <c r="R31" s="78">
        <f t="shared" si="5"/>
        <v>800</v>
      </c>
      <c r="S31" s="78">
        <f t="shared" si="5"/>
        <v>800</v>
      </c>
      <c r="T31" s="78">
        <f t="shared" si="5"/>
        <v>800</v>
      </c>
    </row>
    <row r="32" spans="2:20" ht="15.75" thickTop="1" x14ac:dyDescent="0.25">
      <c r="B32" s="52" t="s">
        <v>26</v>
      </c>
      <c r="C32" s="62">
        <f t="shared" ref="C32:T32" si="6">IFERROR(C31/C$6,0)</f>
        <v>0.16666666666666666</v>
      </c>
      <c r="D32" s="62">
        <f t="shared" si="6"/>
        <v>0.42857142857142855</v>
      </c>
      <c r="E32" s="62">
        <f t="shared" si="6"/>
        <v>-0.14285714285714285</v>
      </c>
      <c r="F32" s="62">
        <f t="shared" si="6"/>
        <v>0.3</v>
      </c>
      <c r="G32" s="62">
        <f t="shared" si="6"/>
        <v>1.4285714285714285E-2</v>
      </c>
      <c r="H32" s="62">
        <f t="shared" si="6"/>
        <v>0.49399753207238545</v>
      </c>
      <c r="I32" s="62">
        <f t="shared" si="6"/>
        <v>0.49399753207238545</v>
      </c>
      <c r="J32" s="62">
        <f t="shared" si="6"/>
        <v>0.28441831883742275</v>
      </c>
      <c r="K32" s="62">
        <f t="shared" si="6"/>
        <v>0.35552289854677843</v>
      </c>
      <c r="L32" s="62">
        <f t="shared" si="6"/>
        <v>0.35552289854677843</v>
      </c>
      <c r="M32" s="62">
        <f t="shared" si="6"/>
        <v>0.35552289854677843</v>
      </c>
      <c r="N32" s="62">
        <f t="shared" si="6"/>
        <v>0.35552289854677843</v>
      </c>
      <c r="O32" s="62">
        <f t="shared" si="6"/>
        <v>0.35552289854677843</v>
      </c>
      <c r="P32" s="62">
        <f t="shared" si="6"/>
        <v>0.35552289854677843</v>
      </c>
      <c r="Q32" s="62">
        <f t="shared" si="6"/>
        <v>0.36277846790487595</v>
      </c>
      <c r="R32" s="62">
        <f t="shared" si="6"/>
        <v>0.37018211010701624</v>
      </c>
      <c r="S32" s="62">
        <f t="shared" si="6"/>
        <v>0.37773684704797583</v>
      </c>
      <c r="T32" s="62">
        <f t="shared" si="6"/>
        <v>0.38544576229385286</v>
      </c>
    </row>
    <row r="33" spans="2:21" outlineLevel="1" x14ac:dyDescent="0.25">
      <c r="B33"/>
    </row>
    <row r="34" spans="2:21" outlineLevel="1" x14ac:dyDescent="0.25">
      <c r="B34" t="s">
        <v>27</v>
      </c>
      <c r="C34" s="71"/>
      <c r="D34" s="71"/>
      <c r="E34" s="71"/>
      <c r="J34" s="55"/>
      <c r="O34" s="75"/>
      <c r="P34" s="77"/>
      <c r="Q34" s="77"/>
      <c r="R34" s="77"/>
      <c r="S34" s="77"/>
      <c r="T34" s="77"/>
    </row>
    <row r="35" spans="2:21" outlineLevel="1" x14ac:dyDescent="0.25">
      <c r="B35" t="s">
        <v>28</v>
      </c>
      <c r="C35" s="71"/>
      <c r="D35" s="71"/>
      <c r="E35" s="71"/>
      <c r="J35" s="55"/>
      <c r="O35" s="75"/>
      <c r="P35" s="77"/>
      <c r="Q35" s="77"/>
      <c r="R35" s="77"/>
      <c r="S35" s="77"/>
      <c r="T35" s="77"/>
    </row>
    <row r="36" spans="2:21" outlineLevel="1" x14ac:dyDescent="0.25"/>
    <row r="37" spans="2:21" ht="15.75" outlineLevel="1" thickBot="1" x14ac:dyDescent="0.3">
      <c r="B37" s="4" t="s">
        <v>29</v>
      </c>
      <c r="C37" s="72">
        <f>C31-SUM(C34:C35)</f>
        <v>100</v>
      </c>
      <c r="D37" s="72">
        <f t="shared" ref="D37:T37" si="7">D31-SUM(D34:D35)</f>
        <v>300</v>
      </c>
      <c r="E37" s="72">
        <f t="shared" si="7"/>
        <v>-100</v>
      </c>
      <c r="F37" s="19">
        <f t="shared" si="7"/>
        <v>210</v>
      </c>
      <c r="G37" s="19">
        <f t="shared" si="7"/>
        <v>10</v>
      </c>
      <c r="H37" s="19">
        <f t="shared" si="7"/>
        <v>210</v>
      </c>
      <c r="I37" s="19">
        <f t="shared" si="7"/>
        <v>210</v>
      </c>
      <c r="J37" s="73">
        <f t="shared" si="7"/>
        <v>640</v>
      </c>
      <c r="K37" s="19">
        <f t="shared" si="7"/>
        <v>200</v>
      </c>
      <c r="L37" s="19">
        <f t="shared" si="7"/>
        <v>200</v>
      </c>
      <c r="M37" s="19">
        <f t="shared" si="7"/>
        <v>200</v>
      </c>
      <c r="N37" s="19">
        <f t="shared" si="7"/>
        <v>200</v>
      </c>
      <c r="O37" s="76">
        <f t="shared" si="7"/>
        <v>800</v>
      </c>
      <c r="P37" s="78">
        <f t="shared" si="7"/>
        <v>800</v>
      </c>
      <c r="Q37" s="78">
        <f t="shared" si="7"/>
        <v>800</v>
      </c>
      <c r="R37" s="78">
        <f t="shared" si="7"/>
        <v>800</v>
      </c>
      <c r="S37" s="78">
        <f t="shared" si="7"/>
        <v>800</v>
      </c>
      <c r="T37" s="78">
        <f t="shared" si="7"/>
        <v>800</v>
      </c>
    </row>
    <row r="38" spans="2:21" ht="15.75" thickTop="1" x14ac:dyDescent="0.25"/>
    <row r="40" spans="2:21" x14ac:dyDescent="0.25">
      <c r="U40" s="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E0EA-28FD-4E57-861A-CAC2D7973448}">
  <sheetPr>
    <tabColor theme="9" tint="0.79998168889431442"/>
  </sheetPr>
  <dimension ref="A1:V73"/>
  <sheetViews>
    <sheetView showGridLines="0" workbookViewId="0">
      <selection activeCell="L21" sqref="L21"/>
    </sheetView>
  </sheetViews>
  <sheetFormatPr defaultRowHeight="15" outlineLevelRow="1" outlineLevelCol="1" x14ac:dyDescent="0.25"/>
  <cols>
    <col min="2" max="2" width="14.140625" customWidth="1"/>
    <col min="3" max="5" width="7.7109375" customWidth="1"/>
    <col min="6" max="9" width="7.7109375" customWidth="1" outlineLevel="1"/>
    <col min="10" max="10" width="7.7109375" customWidth="1"/>
    <col min="11" max="14" width="7.7109375" customWidth="1" outlineLevel="1"/>
    <col min="15" max="20" width="9.85546875" bestFit="1" customWidth="1"/>
  </cols>
  <sheetData>
    <row r="1" spans="1:22" outlineLevel="1" x14ac:dyDescent="0.25">
      <c r="A1" s="8"/>
      <c r="B1" s="8"/>
      <c r="C1" s="8" t="s">
        <v>30</v>
      </c>
      <c r="D1" s="8"/>
      <c r="E1" s="8"/>
      <c r="F1" s="8"/>
      <c r="G1" s="8"/>
      <c r="H1" s="8"/>
      <c r="I1" s="8"/>
      <c r="J1" s="8"/>
      <c r="K1" s="8"/>
      <c r="L1" s="8" t="s">
        <v>31</v>
      </c>
      <c r="M1" s="8"/>
      <c r="N1" s="8"/>
      <c r="O1" s="8"/>
      <c r="P1" s="8"/>
      <c r="Q1" s="8"/>
      <c r="R1" s="8"/>
      <c r="S1" s="8"/>
    </row>
    <row r="2" spans="1:22" outlineLevel="1" x14ac:dyDescent="0.25">
      <c r="A2" s="8"/>
      <c r="B2" s="8"/>
      <c r="C2" s="15">
        <v>2023</v>
      </c>
      <c r="D2" s="15">
        <v>2024</v>
      </c>
      <c r="E2" s="15">
        <v>2025</v>
      </c>
      <c r="F2" s="15" t="s">
        <v>1</v>
      </c>
      <c r="G2" s="15" t="s">
        <v>2</v>
      </c>
      <c r="H2" s="15" t="s">
        <v>3</v>
      </c>
      <c r="I2" s="15" t="s">
        <v>4</v>
      </c>
      <c r="J2" s="8"/>
      <c r="K2" s="8"/>
      <c r="L2" s="15">
        <v>2023</v>
      </c>
      <c r="M2" s="15">
        <v>2024</v>
      </c>
      <c r="N2" s="15">
        <v>2025</v>
      </c>
      <c r="O2" s="15" t="s">
        <v>1</v>
      </c>
      <c r="P2" s="15" t="s">
        <v>2</v>
      </c>
      <c r="Q2" s="15" t="s">
        <v>3</v>
      </c>
      <c r="R2" s="15" t="s">
        <v>4</v>
      </c>
      <c r="S2" s="8"/>
    </row>
    <row r="3" spans="1:22" outlineLevel="1" x14ac:dyDescent="0.25">
      <c r="A3" s="8"/>
      <c r="B3" s="9" t="s">
        <v>93</v>
      </c>
      <c r="C3" s="10">
        <v>0</v>
      </c>
      <c r="D3" s="10">
        <v>100</v>
      </c>
      <c r="E3" s="10">
        <v>100</v>
      </c>
      <c r="F3" s="10">
        <v>100</v>
      </c>
      <c r="G3" s="10">
        <v>100</v>
      </c>
      <c r="H3" s="10">
        <v>100</v>
      </c>
      <c r="I3" s="10">
        <v>100</v>
      </c>
      <c r="J3" s="8"/>
      <c r="K3" s="9" t="s">
        <v>93</v>
      </c>
      <c r="L3" s="10">
        <v>100</v>
      </c>
      <c r="M3" s="10">
        <v>100</v>
      </c>
      <c r="N3" s="10">
        <v>100</v>
      </c>
      <c r="O3" s="10">
        <v>100</v>
      </c>
      <c r="P3" s="10">
        <v>100</v>
      </c>
      <c r="Q3" s="10">
        <v>100</v>
      </c>
      <c r="R3" s="10">
        <v>100</v>
      </c>
      <c r="S3" s="8"/>
    </row>
    <row r="4" spans="1:22" outlineLevel="1" x14ac:dyDescent="0.25">
      <c r="A4" s="8"/>
      <c r="B4" s="9" t="s">
        <v>94</v>
      </c>
      <c r="C4" s="10">
        <v>100</v>
      </c>
      <c r="D4" s="10">
        <v>100</v>
      </c>
      <c r="E4" s="10">
        <v>100</v>
      </c>
      <c r="F4" s="10">
        <v>100</v>
      </c>
      <c r="G4" s="10">
        <v>100</v>
      </c>
      <c r="H4" s="10">
        <v>100</v>
      </c>
      <c r="I4" s="10">
        <v>100</v>
      </c>
      <c r="J4" s="8"/>
      <c r="K4" s="9" t="s">
        <v>94</v>
      </c>
      <c r="L4" s="10">
        <v>100</v>
      </c>
      <c r="M4" s="10">
        <v>100</v>
      </c>
      <c r="N4" s="10">
        <v>100</v>
      </c>
      <c r="O4" s="10">
        <v>100</v>
      </c>
      <c r="P4" s="10">
        <v>100</v>
      </c>
      <c r="Q4" s="10">
        <v>100</v>
      </c>
      <c r="R4" s="10">
        <v>100</v>
      </c>
      <c r="S4" s="8"/>
    </row>
    <row r="5" spans="1:22" outlineLevel="1" x14ac:dyDescent="0.25">
      <c r="A5" s="8"/>
      <c r="B5" s="9" t="s">
        <v>95</v>
      </c>
      <c r="C5" s="10">
        <v>100</v>
      </c>
      <c r="D5" s="10">
        <v>100</v>
      </c>
      <c r="E5" s="10">
        <v>100</v>
      </c>
      <c r="F5" s="10">
        <v>100</v>
      </c>
      <c r="G5" s="10">
        <v>100</v>
      </c>
      <c r="H5" s="10">
        <v>100</v>
      </c>
      <c r="I5" s="10">
        <v>100</v>
      </c>
      <c r="J5" s="8"/>
      <c r="K5" s="9" t="s">
        <v>95</v>
      </c>
      <c r="L5" s="10">
        <v>100</v>
      </c>
      <c r="M5" s="10">
        <v>100</v>
      </c>
      <c r="N5" s="10">
        <v>100</v>
      </c>
      <c r="O5" s="10">
        <v>100</v>
      </c>
      <c r="P5" s="10">
        <v>100</v>
      </c>
      <c r="Q5" s="10">
        <v>100</v>
      </c>
      <c r="R5" s="10">
        <v>100</v>
      </c>
      <c r="S5" s="8"/>
    </row>
    <row r="6" spans="1:22" outlineLevel="1" x14ac:dyDescent="0.25">
      <c r="A6" s="8"/>
      <c r="B6" s="9" t="s">
        <v>96</v>
      </c>
      <c r="C6" s="10">
        <v>100</v>
      </c>
      <c r="D6" s="10">
        <v>100</v>
      </c>
      <c r="E6" s="10">
        <v>100</v>
      </c>
      <c r="F6" s="10">
        <v>100</v>
      </c>
      <c r="G6" s="10">
        <v>100</v>
      </c>
      <c r="H6" s="10">
        <v>100</v>
      </c>
      <c r="I6" s="10">
        <v>100</v>
      </c>
      <c r="J6" s="8"/>
      <c r="K6" s="9" t="s">
        <v>96</v>
      </c>
      <c r="L6" s="10">
        <v>100</v>
      </c>
      <c r="M6" s="10">
        <v>100</v>
      </c>
      <c r="N6" s="10">
        <v>100</v>
      </c>
      <c r="O6" s="10">
        <v>100</v>
      </c>
      <c r="P6" s="10">
        <v>100</v>
      </c>
      <c r="Q6" s="10">
        <v>100</v>
      </c>
      <c r="R6" s="10">
        <v>100</v>
      </c>
      <c r="S6" s="8"/>
    </row>
    <row r="7" spans="1:22" outlineLevel="1" x14ac:dyDescent="0.25">
      <c r="A7" s="8"/>
      <c r="B7" s="9" t="s">
        <v>97</v>
      </c>
      <c r="C7" s="10">
        <v>100</v>
      </c>
      <c r="D7" s="10">
        <v>100</v>
      </c>
      <c r="E7" s="10">
        <v>100</v>
      </c>
      <c r="F7" s="10">
        <v>100</v>
      </c>
      <c r="G7" s="10">
        <v>100</v>
      </c>
      <c r="H7" s="10">
        <v>100</v>
      </c>
      <c r="I7" s="10">
        <v>100</v>
      </c>
      <c r="J7" s="8"/>
      <c r="K7" s="9" t="s">
        <v>97</v>
      </c>
      <c r="L7" s="10">
        <v>100</v>
      </c>
      <c r="M7" s="10">
        <v>100</v>
      </c>
      <c r="N7" s="10">
        <v>100</v>
      </c>
      <c r="O7" s="10">
        <v>100</v>
      </c>
      <c r="P7" s="10">
        <v>100</v>
      </c>
      <c r="Q7" s="10">
        <v>100</v>
      </c>
      <c r="R7" s="10">
        <v>100</v>
      </c>
      <c r="S7" s="8"/>
    </row>
    <row r="8" spans="1:22" outlineLevel="1" x14ac:dyDescent="0.25">
      <c r="A8" s="8"/>
      <c r="B8" s="9" t="s">
        <v>98</v>
      </c>
      <c r="C8" s="10">
        <v>100</v>
      </c>
      <c r="D8" s="10">
        <v>100</v>
      </c>
      <c r="E8" s="10">
        <v>100</v>
      </c>
      <c r="F8" s="10">
        <v>100</v>
      </c>
      <c r="G8" s="10">
        <v>100</v>
      </c>
      <c r="H8" s="10">
        <v>100</v>
      </c>
      <c r="I8" s="10">
        <v>100</v>
      </c>
      <c r="J8" s="8"/>
      <c r="K8" s="9" t="s">
        <v>98</v>
      </c>
      <c r="L8" s="10">
        <v>100</v>
      </c>
      <c r="M8" s="10">
        <v>100</v>
      </c>
      <c r="N8" s="10">
        <v>100</v>
      </c>
      <c r="O8" s="10">
        <v>100</v>
      </c>
      <c r="P8" s="10">
        <v>100</v>
      </c>
      <c r="Q8" s="10">
        <v>100</v>
      </c>
      <c r="R8" s="10">
        <v>100</v>
      </c>
      <c r="S8" s="8"/>
    </row>
    <row r="9" spans="1:22" outlineLevel="1" x14ac:dyDescent="0.25">
      <c r="A9" s="8"/>
      <c r="B9" s="9" t="s">
        <v>99</v>
      </c>
      <c r="C9" s="10">
        <v>100</v>
      </c>
      <c r="D9" s="10">
        <v>100</v>
      </c>
      <c r="E9" s="10">
        <v>100</v>
      </c>
      <c r="F9" s="10">
        <v>100</v>
      </c>
      <c r="G9" s="10">
        <v>100</v>
      </c>
      <c r="H9" s="10">
        <v>100</v>
      </c>
      <c r="I9" s="10">
        <v>100</v>
      </c>
      <c r="J9" s="8"/>
      <c r="K9" s="9" t="s">
        <v>99</v>
      </c>
      <c r="L9" s="10">
        <v>100</v>
      </c>
      <c r="M9" s="10">
        <v>100</v>
      </c>
      <c r="N9" s="10">
        <v>100</v>
      </c>
      <c r="O9" s="10">
        <v>100</v>
      </c>
      <c r="P9" s="10">
        <v>100</v>
      </c>
      <c r="Q9" s="10">
        <v>100</v>
      </c>
      <c r="R9" s="10">
        <v>100</v>
      </c>
      <c r="S9" s="8"/>
    </row>
    <row r="10" spans="1:22" outlineLevel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outlineLevel="1" x14ac:dyDescent="0.25">
      <c r="A11" s="8"/>
      <c r="B11" s="8"/>
      <c r="C11" s="8"/>
      <c r="D11" s="8"/>
      <c r="E11" s="8"/>
      <c r="F11" s="15" t="s">
        <v>1</v>
      </c>
      <c r="G11" s="15" t="s">
        <v>2</v>
      </c>
      <c r="H11" s="15" t="s">
        <v>3</v>
      </c>
      <c r="I11" s="15" t="s">
        <v>4</v>
      </c>
      <c r="J11" s="8"/>
      <c r="K11" s="8"/>
      <c r="L11" s="8"/>
      <c r="M11" s="8"/>
      <c r="N11" s="8"/>
      <c r="O11" s="15">
        <v>2027</v>
      </c>
      <c r="P11" s="15">
        <v>2028</v>
      </c>
      <c r="Q11" s="15">
        <v>2029</v>
      </c>
      <c r="R11" s="15">
        <v>2030</v>
      </c>
      <c r="S11" s="15">
        <v>2031</v>
      </c>
      <c r="T11" s="15">
        <v>2032</v>
      </c>
      <c r="U11" s="8"/>
      <c r="V11" s="8"/>
    </row>
    <row r="12" spans="1:22" ht="24" outlineLevel="1" x14ac:dyDescent="0.25">
      <c r="A12" s="8"/>
      <c r="B12" s="56" t="s">
        <v>32</v>
      </c>
      <c r="C12" s="8"/>
      <c r="D12" s="8"/>
      <c r="E12" s="8"/>
      <c r="F12" s="11" t="s">
        <v>33</v>
      </c>
      <c r="G12" s="11" t="s">
        <v>33</v>
      </c>
      <c r="H12" s="11" t="s">
        <v>33</v>
      </c>
      <c r="I12" s="11" t="s">
        <v>33</v>
      </c>
      <c r="J12" s="8"/>
      <c r="K12" s="8"/>
      <c r="L12" s="8"/>
      <c r="M12" s="8"/>
      <c r="N12" s="8"/>
      <c r="O12" s="12" t="s">
        <v>34</v>
      </c>
      <c r="P12" s="12" t="s">
        <v>34</v>
      </c>
      <c r="Q12" s="12" t="s">
        <v>34</v>
      </c>
      <c r="R12" s="12" t="s">
        <v>34</v>
      </c>
      <c r="S12" s="12" t="s">
        <v>34</v>
      </c>
      <c r="T12" s="12" t="s">
        <v>34</v>
      </c>
      <c r="U12" s="8"/>
      <c r="V12" s="8"/>
    </row>
    <row r="13" spans="1:22" outlineLevel="1" x14ac:dyDescent="0.25">
      <c r="A13" s="8"/>
      <c r="B13" s="9" t="s">
        <v>93</v>
      </c>
      <c r="C13" s="8"/>
      <c r="D13" s="8"/>
      <c r="E13" s="8"/>
      <c r="F13" s="13"/>
      <c r="G13" s="13"/>
      <c r="H13" s="13">
        <v>8.3455350963444475E-2</v>
      </c>
      <c r="I13" s="13">
        <v>8.3455350963444475E-2</v>
      </c>
      <c r="J13" s="8"/>
      <c r="K13" s="8"/>
      <c r="L13" s="8"/>
      <c r="M13" s="8"/>
      <c r="N13" s="8"/>
      <c r="O13" s="14"/>
      <c r="P13" s="14"/>
      <c r="Q13" s="14">
        <v>0.02</v>
      </c>
      <c r="R13" s="14">
        <v>0.02</v>
      </c>
      <c r="S13" s="14">
        <v>0.02</v>
      </c>
      <c r="T13" s="14">
        <v>0.02</v>
      </c>
      <c r="U13" s="8"/>
      <c r="V13" s="8"/>
    </row>
    <row r="14" spans="1:22" outlineLevel="1" x14ac:dyDescent="0.25">
      <c r="A14" s="8"/>
      <c r="B14" s="9" t="s">
        <v>94</v>
      </c>
      <c r="C14" s="8"/>
      <c r="D14" s="8"/>
      <c r="E14" s="8"/>
      <c r="F14" s="13"/>
      <c r="G14" s="13"/>
      <c r="H14" s="13">
        <v>5.2871975621283984E-2</v>
      </c>
      <c r="I14" s="13">
        <v>5.2871975621283984E-2</v>
      </c>
      <c r="J14" s="8"/>
      <c r="K14" s="8"/>
      <c r="L14" s="8"/>
      <c r="M14" s="8"/>
      <c r="N14" s="8"/>
      <c r="O14" s="14"/>
      <c r="P14" s="14"/>
      <c r="Q14" s="14">
        <v>0.02</v>
      </c>
      <c r="R14" s="14">
        <v>0.02</v>
      </c>
      <c r="S14" s="14">
        <v>0.02</v>
      </c>
      <c r="T14" s="14">
        <v>0.02</v>
      </c>
      <c r="U14" s="8"/>
      <c r="V14" s="8"/>
    </row>
    <row r="15" spans="1:22" outlineLevel="1" x14ac:dyDescent="0.25">
      <c r="A15" s="8"/>
      <c r="B15" s="9" t="s">
        <v>95</v>
      </c>
      <c r="C15" s="8"/>
      <c r="D15" s="8"/>
      <c r="E15" s="8"/>
      <c r="F15" s="13"/>
      <c r="G15" s="13"/>
      <c r="H15" s="13">
        <v>0.89</v>
      </c>
      <c r="I15" s="13">
        <v>0.89</v>
      </c>
      <c r="J15" s="8"/>
      <c r="K15" s="8"/>
      <c r="L15" s="8"/>
      <c r="M15" s="8"/>
      <c r="N15" s="8"/>
      <c r="O15" s="14"/>
      <c r="P15" s="14"/>
      <c r="Q15" s="14">
        <v>0.02</v>
      </c>
      <c r="R15" s="14">
        <v>0.02</v>
      </c>
      <c r="S15" s="14">
        <v>0.02</v>
      </c>
      <c r="T15" s="14">
        <v>0.02</v>
      </c>
      <c r="U15" s="8"/>
      <c r="V15" s="8"/>
    </row>
    <row r="16" spans="1:22" outlineLevel="1" x14ac:dyDescent="0.25">
      <c r="A16" s="8"/>
      <c r="B16" s="9" t="s">
        <v>96</v>
      </c>
      <c r="C16" s="8"/>
      <c r="D16" s="8"/>
      <c r="E16" s="8"/>
      <c r="F16" s="13"/>
      <c r="G16" s="13"/>
      <c r="H16" s="13">
        <v>0.73</v>
      </c>
      <c r="I16" s="13">
        <v>0.73</v>
      </c>
      <c r="J16" s="8"/>
      <c r="K16" s="8"/>
      <c r="L16" s="8"/>
      <c r="M16" s="8"/>
      <c r="N16" s="8"/>
      <c r="O16" s="14"/>
      <c r="P16" s="14"/>
      <c r="Q16" s="14">
        <v>0.02</v>
      </c>
      <c r="R16" s="14">
        <v>0.02</v>
      </c>
      <c r="S16" s="14">
        <v>0.02</v>
      </c>
      <c r="T16" s="14">
        <v>0.02</v>
      </c>
      <c r="U16" s="8"/>
      <c r="V16" s="8"/>
    </row>
    <row r="17" spans="1:22" outlineLevel="1" x14ac:dyDescent="0.25">
      <c r="A17" s="8"/>
      <c r="B17" s="9" t="s">
        <v>97</v>
      </c>
      <c r="C17" s="8"/>
      <c r="D17" s="8"/>
      <c r="E17" s="8"/>
      <c r="F17" s="13"/>
      <c r="G17" s="13"/>
      <c r="H17" s="13">
        <v>0.93976731471164598</v>
      </c>
      <c r="I17" s="13">
        <v>0.93976731471164598</v>
      </c>
      <c r="J17" s="8"/>
      <c r="K17" s="8"/>
      <c r="L17" s="8"/>
      <c r="M17" s="8"/>
      <c r="N17" s="8"/>
      <c r="O17" s="14"/>
      <c r="P17" s="14"/>
      <c r="Q17" s="14">
        <v>0.02</v>
      </c>
      <c r="R17" s="14">
        <v>0.02</v>
      </c>
      <c r="S17" s="14">
        <v>0.02</v>
      </c>
      <c r="T17" s="14">
        <v>0.02</v>
      </c>
      <c r="U17" s="8"/>
      <c r="V17" s="8"/>
    </row>
    <row r="18" spans="1:22" outlineLevel="1" x14ac:dyDescent="0.25">
      <c r="A18" s="8"/>
      <c r="B18" s="9" t="s">
        <v>98</v>
      </c>
      <c r="C18" s="8"/>
      <c r="D18" s="8"/>
      <c r="E18" s="8"/>
      <c r="F18" s="13"/>
      <c r="G18" s="13"/>
      <c r="H18" s="13"/>
      <c r="I18" s="13"/>
      <c r="J18" s="8"/>
      <c r="K18" s="8"/>
      <c r="L18" s="8"/>
      <c r="M18" s="8"/>
      <c r="N18" s="8"/>
      <c r="O18" s="14"/>
      <c r="P18" s="14"/>
      <c r="Q18" s="14">
        <v>0.02</v>
      </c>
      <c r="R18" s="14">
        <v>0.02</v>
      </c>
      <c r="S18" s="14">
        <v>0.02</v>
      </c>
      <c r="T18" s="14">
        <v>0.02</v>
      </c>
      <c r="U18" s="8"/>
      <c r="V18" s="8"/>
    </row>
    <row r="19" spans="1:22" outlineLevel="1" x14ac:dyDescent="0.25">
      <c r="A19" s="8"/>
      <c r="B19" s="9" t="s">
        <v>99</v>
      </c>
      <c r="C19" s="8"/>
      <c r="D19" s="8"/>
      <c r="E19" s="8"/>
      <c r="F19" s="13"/>
      <c r="G19" s="13"/>
      <c r="H19" s="13">
        <v>5.2871975621283984E-2</v>
      </c>
      <c r="I19" s="13">
        <v>5.2871975621283984E-2</v>
      </c>
      <c r="J19" s="8"/>
      <c r="K19" s="8"/>
      <c r="L19" s="8"/>
      <c r="M19" s="8"/>
      <c r="N19" s="8"/>
      <c r="O19" s="14"/>
      <c r="P19" s="14"/>
      <c r="Q19" s="14">
        <v>0.02</v>
      </c>
      <c r="R19" s="14">
        <v>0.02</v>
      </c>
      <c r="S19" s="14">
        <v>0.02</v>
      </c>
      <c r="T19" s="14">
        <v>0.02</v>
      </c>
      <c r="U19" s="8"/>
      <c r="V19" s="8"/>
    </row>
    <row r="20" spans="1:22" outlineLevel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ht="24" outlineLevel="1" x14ac:dyDescent="0.25">
      <c r="A21" s="8"/>
      <c r="B21" s="48" t="s">
        <v>35</v>
      </c>
      <c r="C21" s="8"/>
      <c r="D21" s="8"/>
      <c r="E21" s="8"/>
      <c r="F21" s="11" t="s">
        <v>33</v>
      </c>
      <c r="G21" s="11" t="s">
        <v>33</v>
      </c>
      <c r="H21" s="11" t="s">
        <v>33</v>
      </c>
      <c r="I21" s="11" t="s">
        <v>33</v>
      </c>
      <c r="J21" s="8"/>
      <c r="K21" s="8"/>
      <c r="L21" s="8"/>
      <c r="M21" s="8"/>
      <c r="N21" s="8"/>
      <c r="O21" s="12" t="s">
        <v>34</v>
      </c>
      <c r="P21" s="12" t="s">
        <v>34</v>
      </c>
      <c r="Q21" s="12" t="s">
        <v>34</v>
      </c>
      <c r="R21" s="12" t="s">
        <v>34</v>
      </c>
      <c r="S21" s="12" t="s">
        <v>34</v>
      </c>
      <c r="T21" s="12" t="s">
        <v>34</v>
      </c>
      <c r="U21" s="8"/>
      <c r="V21" s="8"/>
    </row>
    <row r="22" spans="1:22" outlineLevel="1" x14ac:dyDescent="0.25">
      <c r="A22" s="8"/>
      <c r="B22" s="9" t="s">
        <v>93</v>
      </c>
      <c r="C22" s="8"/>
      <c r="D22" s="8"/>
      <c r="E22" s="8"/>
      <c r="F22" s="13"/>
      <c r="G22" s="13"/>
      <c r="H22" s="13"/>
      <c r="I22" s="13"/>
      <c r="J22" s="8"/>
      <c r="K22" s="8"/>
      <c r="L22" s="8"/>
      <c r="M22" s="8"/>
      <c r="N22" s="8"/>
      <c r="O22" s="14"/>
      <c r="P22" s="14"/>
      <c r="Q22" s="14"/>
      <c r="R22" s="14"/>
      <c r="S22" s="14"/>
      <c r="T22" s="14"/>
      <c r="U22" s="8"/>
      <c r="V22" s="8"/>
    </row>
    <row r="23" spans="1:22" outlineLevel="1" x14ac:dyDescent="0.25">
      <c r="A23" s="8"/>
      <c r="B23" s="9" t="s">
        <v>94</v>
      </c>
      <c r="C23" s="8"/>
      <c r="D23" s="8"/>
      <c r="E23" s="8"/>
      <c r="F23" s="13"/>
      <c r="G23" s="13"/>
      <c r="H23" s="13"/>
      <c r="I23" s="13"/>
      <c r="J23" s="8"/>
      <c r="K23" s="8"/>
      <c r="L23" s="8"/>
      <c r="M23" s="8"/>
      <c r="N23" s="8"/>
      <c r="O23" s="14"/>
      <c r="P23" s="14"/>
      <c r="Q23" s="14"/>
      <c r="R23" s="14"/>
      <c r="S23" s="14"/>
      <c r="T23" s="14"/>
      <c r="U23" s="8"/>
      <c r="V23" s="8"/>
    </row>
    <row r="24" spans="1:22" outlineLevel="1" x14ac:dyDescent="0.25">
      <c r="A24" s="8"/>
      <c r="B24" s="9" t="s">
        <v>95</v>
      </c>
      <c r="C24" s="8"/>
      <c r="D24" s="8"/>
      <c r="E24" s="8"/>
      <c r="F24" s="13"/>
      <c r="G24" s="13"/>
      <c r="H24" s="13"/>
      <c r="I24" s="13"/>
      <c r="J24" s="8"/>
      <c r="K24" s="8"/>
      <c r="L24" s="8"/>
      <c r="M24" s="8"/>
      <c r="N24" s="8"/>
      <c r="O24" s="14"/>
      <c r="P24" s="14"/>
      <c r="Q24" s="14"/>
      <c r="R24" s="14"/>
      <c r="S24" s="14"/>
      <c r="T24" s="14"/>
      <c r="U24" s="8"/>
      <c r="V24" s="8"/>
    </row>
    <row r="25" spans="1:22" outlineLevel="1" x14ac:dyDescent="0.25">
      <c r="A25" s="8"/>
      <c r="B25" s="9" t="s">
        <v>96</v>
      </c>
      <c r="C25" s="8"/>
      <c r="D25" s="8"/>
      <c r="E25" s="8"/>
      <c r="F25" s="13"/>
      <c r="G25" s="13"/>
      <c r="H25" s="13"/>
      <c r="I25" s="13"/>
      <c r="J25" s="8"/>
      <c r="K25" s="8"/>
      <c r="L25" s="8"/>
      <c r="M25" s="8"/>
      <c r="N25" s="8"/>
      <c r="O25" s="14"/>
      <c r="P25" s="14"/>
      <c r="Q25" s="14"/>
      <c r="R25" s="14"/>
      <c r="S25" s="14"/>
      <c r="T25" s="14"/>
      <c r="U25" s="8"/>
      <c r="V25" s="8"/>
    </row>
    <row r="26" spans="1:22" outlineLevel="1" x14ac:dyDescent="0.25">
      <c r="A26" s="8"/>
      <c r="B26" s="9" t="s">
        <v>97</v>
      </c>
      <c r="C26" s="8"/>
      <c r="D26" s="8"/>
      <c r="E26" s="8"/>
      <c r="F26" s="13"/>
      <c r="G26" s="13"/>
      <c r="H26" s="13"/>
      <c r="I26" s="13"/>
      <c r="J26" s="8"/>
      <c r="K26" s="8"/>
      <c r="L26" s="8"/>
      <c r="M26" s="8"/>
      <c r="N26" s="8"/>
      <c r="O26" s="14"/>
      <c r="P26" s="14"/>
      <c r="Q26" s="14"/>
      <c r="R26" s="14"/>
      <c r="S26" s="14"/>
      <c r="T26" s="14"/>
      <c r="U26" s="8"/>
      <c r="V26" s="8"/>
    </row>
    <row r="27" spans="1:22" outlineLevel="1" x14ac:dyDescent="0.25">
      <c r="A27" s="8"/>
      <c r="B27" s="9" t="s">
        <v>98</v>
      </c>
      <c r="C27" s="8"/>
      <c r="D27" s="8"/>
      <c r="E27" s="8"/>
      <c r="F27" s="13"/>
      <c r="G27" s="13"/>
      <c r="H27" s="13"/>
      <c r="I27" s="13"/>
      <c r="J27" s="8"/>
      <c r="K27" s="8"/>
      <c r="L27" s="8"/>
      <c r="M27" s="8"/>
      <c r="N27" s="8"/>
      <c r="O27" s="14"/>
      <c r="P27" s="14"/>
      <c r="Q27" s="14"/>
      <c r="R27" s="14"/>
      <c r="S27" s="14"/>
      <c r="T27" s="14"/>
      <c r="U27" s="8"/>
      <c r="V27" s="8"/>
    </row>
    <row r="28" spans="1:22" outlineLevel="1" x14ac:dyDescent="0.25">
      <c r="A28" s="8"/>
      <c r="B28" s="9" t="s">
        <v>99</v>
      </c>
      <c r="C28" s="8"/>
      <c r="D28" s="8"/>
      <c r="E28" s="8"/>
      <c r="F28" s="13"/>
      <c r="G28" s="13"/>
      <c r="H28" s="13"/>
      <c r="I28" s="13"/>
      <c r="J28" s="8"/>
      <c r="K28" s="8"/>
      <c r="L28" s="8"/>
      <c r="M28" s="8"/>
      <c r="N28" s="8"/>
      <c r="O28" s="14"/>
      <c r="P28" s="14"/>
      <c r="Q28" s="14"/>
      <c r="R28" s="14"/>
      <c r="S28" s="14"/>
      <c r="T28" s="14"/>
      <c r="U28" s="8"/>
      <c r="V28" s="8"/>
    </row>
    <row r="31" spans="1:22" x14ac:dyDescent="0.25">
      <c r="B31" s="4" t="s">
        <v>30</v>
      </c>
    </row>
    <row r="32" spans="1:22" x14ac:dyDescent="0.25">
      <c r="B32" s="6" t="s">
        <v>36</v>
      </c>
    </row>
    <row r="34" spans="2:20" x14ac:dyDescent="0.25">
      <c r="C34" s="20">
        <v>2023</v>
      </c>
      <c r="D34" s="20">
        <v>2024</v>
      </c>
      <c r="E34" s="20">
        <v>2025</v>
      </c>
      <c r="F34" s="21" t="s">
        <v>1</v>
      </c>
      <c r="G34" s="21" t="s">
        <v>2</v>
      </c>
      <c r="H34" s="21" t="s">
        <v>3</v>
      </c>
      <c r="I34" s="21" t="s">
        <v>4</v>
      </c>
      <c r="J34" s="21">
        <v>2026</v>
      </c>
      <c r="K34" s="22" t="s">
        <v>1</v>
      </c>
      <c r="L34" s="22" t="s">
        <v>2</v>
      </c>
      <c r="M34" s="22" t="s">
        <v>3</v>
      </c>
      <c r="N34" s="22" t="s">
        <v>4</v>
      </c>
      <c r="O34" s="23">
        <v>2027</v>
      </c>
      <c r="P34" s="24">
        <v>2028</v>
      </c>
      <c r="Q34" s="24">
        <v>2029</v>
      </c>
      <c r="R34" s="24">
        <v>2030</v>
      </c>
      <c r="S34" s="24">
        <v>2031</v>
      </c>
      <c r="T34" s="24">
        <v>2032</v>
      </c>
    </row>
    <row r="35" spans="2:20" x14ac:dyDescent="0.25">
      <c r="B35" s="5" t="s">
        <v>93</v>
      </c>
      <c r="C35" s="29">
        <f t="shared" ref="C35:E41" si="0">C3</f>
        <v>0</v>
      </c>
      <c r="D35" s="29">
        <f t="shared" si="0"/>
        <v>100</v>
      </c>
      <c r="E35" s="29">
        <f t="shared" si="0"/>
        <v>100</v>
      </c>
      <c r="F35" s="18">
        <f t="shared" ref="F35:I41" si="1">IF(ISBLANK(F13),F3,F3*(1-F13))</f>
        <v>100</v>
      </c>
      <c r="G35" s="18">
        <f t="shared" si="1"/>
        <v>100</v>
      </c>
      <c r="H35" s="18">
        <f t="shared" si="1"/>
        <v>91.654464903655551</v>
      </c>
      <c r="I35" s="18">
        <f t="shared" si="1"/>
        <v>91.654464903655551</v>
      </c>
      <c r="J35" s="25">
        <f t="shared" ref="J35:J41" si="2">SUM(F35:I35)</f>
        <v>383.30892980731107</v>
      </c>
      <c r="K35" s="18">
        <f t="shared" ref="K35:N41" si="3">$O35/4</f>
        <v>95.827232451827769</v>
      </c>
      <c r="L35" s="18">
        <f t="shared" si="3"/>
        <v>95.827232451827769</v>
      </c>
      <c r="M35" s="18">
        <f t="shared" si="3"/>
        <v>95.827232451827769</v>
      </c>
      <c r="N35" s="18">
        <f t="shared" si="3"/>
        <v>95.827232451827769</v>
      </c>
      <c r="O35" s="30">
        <f t="shared" ref="O35:O41" si="4">J35*(1-O13)</f>
        <v>383.30892980731107</v>
      </c>
      <c r="P35" s="31">
        <f t="shared" ref="P35:T41" si="5">O35*(1-P13)</f>
        <v>383.30892980731107</v>
      </c>
      <c r="Q35" s="31">
        <f t="shared" si="5"/>
        <v>375.64275121116486</v>
      </c>
      <c r="R35" s="31">
        <f t="shared" si="5"/>
        <v>368.12989618694155</v>
      </c>
      <c r="S35" s="31">
        <f t="shared" si="5"/>
        <v>360.76729826320269</v>
      </c>
      <c r="T35" s="31">
        <f t="shared" si="5"/>
        <v>353.55195229793861</v>
      </c>
    </row>
    <row r="36" spans="2:20" x14ac:dyDescent="0.25">
      <c r="B36" s="5" t="s">
        <v>94</v>
      </c>
      <c r="C36" s="29">
        <f t="shared" si="0"/>
        <v>100</v>
      </c>
      <c r="D36" s="29">
        <f t="shared" si="0"/>
        <v>100</v>
      </c>
      <c r="E36" s="29">
        <f t="shared" si="0"/>
        <v>100</v>
      </c>
      <c r="F36" s="18">
        <f t="shared" si="1"/>
        <v>100</v>
      </c>
      <c r="G36" s="18">
        <f t="shared" si="1"/>
        <v>100</v>
      </c>
      <c r="H36" s="18">
        <f t="shared" si="1"/>
        <v>94.712802437871602</v>
      </c>
      <c r="I36" s="18">
        <f t="shared" si="1"/>
        <v>94.712802437871602</v>
      </c>
      <c r="J36" s="25">
        <f t="shared" si="2"/>
        <v>389.42560487574315</v>
      </c>
      <c r="K36" s="18">
        <f t="shared" si="3"/>
        <v>97.356401218935787</v>
      </c>
      <c r="L36" s="18">
        <f t="shared" si="3"/>
        <v>97.356401218935787</v>
      </c>
      <c r="M36" s="18">
        <f t="shared" si="3"/>
        <v>97.356401218935787</v>
      </c>
      <c r="N36" s="18">
        <f t="shared" si="3"/>
        <v>97.356401218935787</v>
      </c>
      <c r="O36" s="30">
        <f t="shared" si="4"/>
        <v>389.42560487574315</v>
      </c>
      <c r="P36" s="31">
        <f t="shared" si="5"/>
        <v>389.42560487574315</v>
      </c>
      <c r="Q36" s="31">
        <f t="shared" si="5"/>
        <v>381.63709277822829</v>
      </c>
      <c r="R36" s="31">
        <f t="shared" si="5"/>
        <v>374.00435092266372</v>
      </c>
      <c r="S36" s="31">
        <f t="shared" si="5"/>
        <v>366.52426390421044</v>
      </c>
      <c r="T36" s="31">
        <f t="shared" si="5"/>
        <v>359.19377862612623</v>
      </c>
    </row>
    <row r="37" spans="2:20" x14ac:dyDescent="0.25">
      <c r="B37" s="5" t="s">
        <v>95</v>
      </c>
      <c r="C37" s="29">
        <f t="shared" si="0"/>
        <v>100</v>
      </c>
      <c r="D37" s="29">
        <f t="shared" si="0"/>
        <v>100</v>
      </c>
      <c r="E37" s="29">
        <f t="shared" si="0"/>
        <v>100</v>
      </c>
      <c r="F37" s="18">
        <f t="shared" si="1"/>
        <v>100</v>
      </c>
      <c r="G37" s="18">
        <f t="shared" si="1"/>
        <v>100</v>
      </c>
      <c r="H37" s="18">
        <f t="shared" si="1"/>
        <v>10.999999999999998</v>
      </c>
      <c r="I37" s="18">
        <f t="shared" si="1"/>
        <v>10.999999999999998</v>
      </c>
      <c r="J37" s="25">
        <f t="shared" si="2"/>
        <v>222</v>
      </c>
      <c r="K37" s="18">
        <f t="shared" si="3"/>
        <v>55.5</v>
      </c>
      <c r="L37" s="18">
        <f t="shared" si="3"/>
        <v>55.5</v>
      </c>
      <c r="M37" s="18">
        <f t="shared" si="3"/>
        <v>55.5</v>
      </c>
      <c r="N37" s="18">
        <f t="shared" si="3"/>
        <v>55.5</v>
      </c>
      <c r="O37" s="30">
        <f t="shared" si="4"/>
        <v>222</v>
      </c>
      <c r="P37" s="31">
        <f t="shared" si="5"/>
        <v>222</v>
      </c>
      <c r="Q37" s="31">
        <f t="shared" si="5"/>
        <v>217.56</v>
      </c>
      <c r="R37" s="31">
        <f t="shared" si="5"/>
        <v>213.2088</v>
      </c>
      <c r="S37" s="31">
        <f t="shared" si="5"/>
        <v>208.944624</v>
      </c>
      <c r="T37" s="31">
        <f t="shared" si="5"/>
        <v>204.76573152</v>
      </c>
    </row>
    <row r="38" spans="2:20" x14ac:dyDescent="0.25">
      <c r="B38" s="5" t="s">
        <v>96</v>
      </c>
      <c r="C38" s="29">
        <f t="shared" si="0"/>
        <v>100</v>
      </c>
      <c r="D38" s="29">
        <f t="shared" si="0"/>
        <v>100</v>
      </c>
      <c r="E38" s="29">
        <f t="shared" si="0"/>
        <v>100</v>
      </c>
      <c r="F38" s="18">
        <f t="shared" si="1"/>
        <v>100</v>
      </c>
      <c r="G38" s="18">
        <f t="shared" si="1"/>
        <v>100</v>
      </c>
      <c r="H38" s="18">
        <f t="shared" si="1"/>
        <v>27</v>
      </c>
      <c r="I38" s="18">
        <f t="shared" si="1"/>
        <v>27</v>
      </c>
      <c r="J38" s="25">
        <f t="shared" si="2"/>
        <v>254</v>
      </c>
      <c r="K38" s="18">
        <f t="shared" si="3"/>
        <v>63.5</v>
      </c>
      <c r="L38" s="18">
        <f t="shared" si="3"/>
        <v>63.5</v>
      </c>
      <c r="M38" s="18">
        <f t="shared" si="3"/>
        <v>63.5</v>
      </c>
      <c r="N38" s="18">
        <f t="shared" si="3"/>
        <v>63.5</v>
      </c>
      <c r="O38" s="30">
        <f t="shared" si="4"/>
        <v>254</v>
      </c>
      <c r="P38" s="31">
        <f t="shared" si="5"/>
        <v>254</v>
      </c>
      <c r="Q38" s="31">
        <f t="shared" si="5"/>
        <v>248.92</v>
      </c>
      <c r="R38" s="31">
        <f t="shared" si="5"/>
        <v>243.94159999999999</v>
      </c>
      <c r="S38" s="31">
        <f t="shared" si="5"/>
        <v>239.06276799999998</v>
      </c>
      <c r="T38" s="31">
        <f t="shared" si="5"/>
        <v>234.28151263999996</v>
      </c>
    </row>
    <row r="39" spans="2:20" x14ac:dyDescent="0.25">
      <c r="B39" s="5" t="s">
        <v>97</v>
      </c>
      <c r="C39" s="29">
        <f t="shared" si="0"/>
        <v>100</v>
      </c>
      <c r="D39" s="29">
        <f t="shared" si="0"/>
        <v>100</v>
      </c>
      <c r="E39" s="29">
        <f t="shared" si="0"/>
        <v>100</v>
      </c>
      <c r="F39" s="18">
        <f t="shared" si="1"/>
        <v>100</v>
      </c>
      <c r="G39" s="18">
        <f t="shared" si="1"/>
        <v>100</v>
      </c>
      <c r="H39" s="18">
        <f t="shared" si="1"/>
        <v>6.023268528835402</v>
      </c>
      <c r="I39" s="18">
        <f t="shared" si="1"/>
        <v>6.023268528835402</v>
      </c>
      <c r="J39" s="25">
        <f t="shared" si="2"/>
        <v>212.04653705767078</v>
      </c>
      <c r="K39" s="18">
        <f t="shared" si="3"/>
        <v>53.011634264417694</v>
      </c>
      <c r="L39" s="18">
        <f t="shared" si="3"/>
        <v>53.011634264417694</v>
      </c>
      <c r="M39" s="18">
        <f t="shared" si="3"/>
        <v>53.011634264417694</v>
      </c>
      <c r="N39" s="18">
        <f t="shared" si="3"/>
        <v>53.011634264417694</v>
      </c>
      <c r="O39" s="30">
        <f t="shared" si="4"/>
        <v>212.04653705767078</v>
      </c>
      <c r="P39" s="31">
        <f t="shared" si="5"/>
        <v>212.04653705767078</v>
      </c>
      <c r="Q39" s="31">
        <f t="shared" si="5"/>
        <v>207.80560631651736</v>
      </c>
      <c r="R39" s="31">
        <f t="shared" si="5"/>
        <v>203.649494190187</v>
      </c>
      <c r="S39" s="31">
        <f t="shared" si="5"/>
        <v>199.57650430638324</v>
      </c>
      <c r="T39" s="31">
        <f t="shared" si="5"/>
        <v>195.58497422025556</v>
      </c>
    </row>
    <row r="40" spans="2:20" x14ac:dyDescent="0.25">
      <c r="B40" s="5" t="s">
        <v>98</v>
      </c>
      <c r="C40" s="29">
        <f t="shared" si="0"/>
        <v>100</v>
      </c>
      <c r="D40" s="29">
        <f t="shared" si="0"/>
        <v>100</v>
      </c>
      <c r="E40" s="29">
        <f t="shared" si="0"/>
        <v>100</v>
      </c>
      <c r="F40" s="18">
        <f t="shared" si="1"/>
        <v>100</v>
      </c>
      <c r="G40" s="18">
        <f t="shared" si="1"/>
        <v>100</v>
      </c>
      <c r="H40" s="18">
        <f t="shared" si="1"/>
        <v>100</v>
      </c>
      <c r="I40" s="18">
        <f t="shared" si="1"/>
        <v>100</v>
      </c>
      <c r="J40" s="25">
        <f t="shared" si="2"/>
        <v>400</v>
      </c>
      <c r="K40" s="18">
        <f t="shared" si="3"/>
        <v>100</v>
      </c>
      <c r="L40" s="18">
        <f t="shared" si="3"/>
        <v>100</v>
      </c>
      <c r="M40" s="18">
        <f t="shared" si="3"/>
        <v>100</v>
      </c>
      <c r="N40" s="18">
        <f t="shared" si="3"/>
        <v>100</v>
      </c>
      <c r="O40" s="30">
        <f t="shared" si="4"/>
        <v>400</v>
      </c>
      <c r="P40" s="31">
        <f t="shared" si="5"/>
        <v>400</v>
      </c>
      <c r="Q40" s="31">
        <f t="shared" si="5"/>
        <v>392</v>
      </c>
      <c r="R40" s="31">
        <f t="shared" si="5"/>
        <v>384.15999999999997</v>
      </c>
      <c r="S40" s="31">
        <f t="shared" si="5"/>
        <v>376.47679999999997</v>
      </c>
      <c r="T40" s="31">
        <f t="shared" si="5"/>
        <v>368.94726399999996</v>
      </c>
    </row>
    <row r="41" spans="2:20" x14ac:dyDescent="0.25">
      <c r="B41" s="5" t="s">
        <v>99</v>
      </c>
      <c r="C41" s="29">
        <f t="shared" si="0"/>
        <v>100</v>
      </c>
      <c r="D41" s="29">
        <f t="shared" si="0"/>
        <v>100</v>
      </c>
      <c r="E41" s="29">
        <f t="shared" si="0"/>
        <v>100</v>
      </c>
      <c r="F41" s="18">
        <f t="shared" si="1"/>
        <v>100</v>
      </c>
      <c r="G41" s="18">
        <f t="shared" si="1"/>
        <v>100</v>
      </c>
      <c r="H41" s="18">
        <f t="shared" si="1"/>
        <v>94.712802437871602</v>
      </c>
      <c r="I41" s="18">
        <f t="shared" si="1"/>
        <v>94.712802437871602</v>
      </c>
      <c r="J41" s="25">
        <f t="shared" si="2"/>
        <v>389.42560487574315</v>
      </c>
      <c r="K41" s="18">
        <f t="shared" si="3"/>
        <v>97.356401218935787</v>
      </c>
      <c r="L41" s="18">
        <f t="shared" si="3"/>
        <v>97.356401218935787</v>
      </c>
      <c r="M41" s="18">
        <f t="shared" si="3"/>
        <v>97.356401218935787</v>
      </c>
      <c r="N41" s="18">
        <f t="shared" si="3"/>
        <v>97.356401218935787</v>
      </c>
      <c r="O41" s="30">
        <f t="shared" si="4"/>
        <v>389.42560487574315</v>
      </c>
      <c r="P41" s="31">
        <f t="shared" si="5"/>
        <v>389.42560487574315</v>
      </c>
      <c r="Q41" s="31">
        <f t="shared" si="5"/>
        <v>381.63709277822829</v>
      </c>
      <c r="R41" s="31">
        <f t="shared" si="5"/>
        <v>374.00435092266372</v>
      </c>
      <c r="S41" s="31">
        <f t="shared" si="5"/>
        <v>366.52426390421044</v>
      </c>
      <c r="T41" s="31">
        <f t="shared" si="5"/>
        <v>359.19377862612623</v>
      </c>
    </row>
    <row r="42" spans="2:20" ht="15.75" thickBot="1" x14ac:dyDescent="0.3">
      <c r="B42" s="16" t="s">
        <v>37</v>
      </c>
      <c r="C42" s="17">
        <f t="shared" ref="C42:T42" si="6">SUM(C35:C41)</f>
        <v>600</v>
      </c>
      <c r="D42" s="17">
        <f t="shared" si="6"/>
        <v>700</v>
      </c>
      <c r="E42" s="17">
        <f t="shared" si="6"/>
        <v>700</v>
      </c>
      <c r="F42" s="19">
        <f t="shared" si="6"/>
        <v>700</v>
      </c>
      <c r="G42" s="19">
        <f t="shared" si="6"/>
        <v>700</v>
      </c>
      <c r="H42" s="19">
        <f t="shared" si="6"/>
        <v>425.10333830823413</v>
      </c>
      <c r="I42" s="19">
        <f t="shared" si="6"/>
        <v>425.10333830823413</v>
      </c>
      <c r="J42" s="26">
        <f t="shared" si="6"/>
        <v>2250.206676616468</v>
      </c>
      <c r="K42" s="19">
        <f t="shared" si="6"/>
        <v>562.55166915411701</v>
      </c>
      <c r="L42" s="19">
        <f t="shared" si="6"/>
        <v>562.55166915411701</v>
      </c>
      <c r="M42" s="19">
        <f t="shared" si="6"/>
        <v>562.55166915411701</v>
      </c>
      <c r="N42" s="19">
        <f t="shared" si="6"/>
        <v>562.55166915411701</v>
      </c>
      <c r="O42" s="27">
        <f t="shared" si="6"/>
        <v>2250.206676616468</v>
      </c>
      <c r="P42" s="28">
        <f t="shared" si="6"/>
        <v>2250.206676616468</v>
      </c>
      <c r="Q42" s="28">
        <f t="shared" si="6"/>
        <v>2205.2025430841386</v>
      </c>
      <c r="R42" s="28">
        <f t="shared" si="6"/>
        <v>2161.0984922224561</v>
      </c>
      <c r="S42" s="28">
        <f t="shared" si="6"/>
        <v>2117.8765223780065</v>
      </c>
      <c r="T42" s="28">
        <f t="shared" si="6"/>
        <v>2075.5189919304466</v>
      </c>
    </row>
    <row r="43" spans="2:20" ht="15.75" thickTop="1" x14ac:dyDescent="0.25">
      <c r="J43" s="1"/>
    </row>
    <row r="46" spans="2:20" x14ac:dyDescent="0.25">
      <c r="B46" s="4" t="s">
        <v>31</v>
      </c>
    </row>
    <row r="47" spans="2:20" x14ac:dyDescent="0.25">
      <c r="B47" s="6" t="s">
        <v>36</v>
      </c>
    </row>
    <row r="49" spans="2:20" x14ac:dyDescent="0.25">
      <c r="C49" s="20">
        <v>2023</v>
      </c>
      <c r="D49" s="20">
        <v>2024</v>
      </c>
      <c r="E49" s="20">
        <v>2025</v>
      </c>
      <c r="F49" s="21" t="s">
        <v>1</v>
      </c>
      <c r="G49" s="21" t="s">
        <v>2</v>
      </c>
      <c r="H49" s="21" t="s">
        <v>3</v>
      </c>
      <c r="I49" s="21" t="s">
        <v>4</v>
      </c>
      <c r="J49" s="21">
        <v>2026</v>
      </c>
      <c r="K49" s="22" t="s">
        <v>1</v>
      </c>
      <c r="L49" s="22" t="s">
        <v>2</v>
      </c>
      <c r="M49" s="22" t="s">
        <v>3</v>
      </c>
      <c r="N49" s="22" t="s">
        <v>4</v>
      </c>
      <c r="O49" s="23">
        <v>2027</v>
      </c>
      <c r="P49" s="24">
        <v>2028</v>
      </c>
      <c r="Q49" s="24">
        <v>2029</v>
      </c>
      <c r="R49" s="24">
        <v>2030</v>
      </c>
      <c r="S49" s="24">
        <v>2031</v>
      </c>
      <c r="T49" s="24">
        <v>2032</v>
      </c>
    </row>
    <row r="50" spans="2:20" x14ac:dyDescent="0.25">
      <c r="B50" s="5" t="s">
        <v>93</v>
      </c>
      <c r="C50" s="29">
        <f t="shared" ref="C50:E56" si="7">L3</f>
        <v>100</v>
      </c>
      <c r="D50" s="29">
        <f t="shared" si="7"/>
        <v>100</v>
      </c>
      <c r="E50" s="29">
        <f t="shared" si="7"/>
        <v>100</v>
      </c>
      <c r="F50" s="18">
        <f>O3*(1-F22)</f>
        <v>100</v>
      </c>
      <c r="G50" s="18">
        <f t="shared" ref="G50:I56" si="8">P3*(1-G22)</f>
        <v>100</v>
      </c>
      <c r="H50" s="18">
        <f t="shared" si="8"/>
        <v>100</v>
      </c>
      <c r="I50" s="18">
        <f t="shared" si="8"/>
        <v>100</v>
      </c>
      <c r="J50" s="25">
        <f t="shared" ref="J50:J56" si="9">SUM(F50:I50)</f>
        <v>400</v>
      </c>
      <c r="K50" s="18">
        <f t="shared" ref="K50:N56" si="10">$O50/4</f>
        <v>100</v>
      </c>
      <c r="L50" s="18">
        <f t="shared" si="10"/>
        <v>100</v>
      </c>
      <c r="M50" s="18">
        <f t="shared" si="10"/>
        <v>100</v>
      </c>
      <c r="N50" s="18">
        <f t="shared" si="10"/>
        <v>100</v>
      </c>
      <c r="O50" s="30">
        <f t="shared" ref="O50:O56" si="11">J50*(1-O13)</f>
        <v>400</v>
      </c>
      <c r="P50" s="31">
        <f>O50*(1-P22)</f>
        <v>400</v>
      </c>
      <c r="Q50" s="31">
        <f t="shared" ref="Q50:T50" si="12">P50*(1-Q22)</f>
        <v>400</v>
      </c>
      <c r="R50" s="31">
        <f t="shared" si="12"/>
        <v>400</v>
      </c>
      <c r="S50" s="31">
        <f t="shared" si="12"/>
        <v>400</v>
      </c>
      <c r="T50" s="31">
        <f t="shared" si="12"/>
        <v>400</v>
      </c>
    </row>
    <row r="51" spans="2:20" x14ac:dyDescent="0.25">
      <c r="B51" s="5" t="s">
        <v>94</v>
      </c>
      <c r="C51" s="29">
        <f t="shared" si="7"/>
        <v>100</v>
      </c>
      <c r="D51" s="29">
        <f t="shared" si="7"/>
        <v>100</v>
      </c>
      <c r="E51" s="29">
        <f t="shared" si="7"/>
        <v>100</v>
      </c>
      <c r="F51" s="18">
        <f t="shared" ref="F51:F56" si="13">O4*(1-F23)</f>
        <v>100</v>
      </c>
      <c r="G51" s="18">
        <f t="shared" si="8"/>
        <v>100</v>
      </c>
      <c r="H51" s="18">
        <f t="shared" si="8"/>
        <v>100</v>
      </c>
      <c r="I51" s="18">
        <f t="shared" si="8"/>
        <v>100</v>
      </c>
      <c r="J51" s="25">
        <f t="shared" si="9"/>
        <v>400</v>
      </c>
      <c r="K51" s="18">
        <f t="shared" si="10"/>
        <v>100</v>
      </c>
      <c r="L51" s="18">
        <f t="shared" si="10"/>
        <v>100</v>
      </c>
      <c r="M51" s="18">
        <f t="shared" si="10"/>
        <v>100</v>
      </c>
      <c r="N51" s="18">
        <f t="shared" si="10"/>
        <v>100</v>
      </c>
      <c r="O51" s="30">
        <f t="shared" si="11"/>
        <v>400</v>
      </c>
      <c r="P51" s="31">
        <f t="shared" ref="P51:T56" si="14">O51*(1-P23)</f>
        <v>400</v>
      </c>
      <c r="Q51" s="31">
        <f t="shared" si="14"/>
        <v>400</v>
      </c>
      <c r="R51" s="31">
        <f t="shared" si="14"/>
        <v>400</v>
      </c>
      <c r="S51" s="31">
        <f t="shared" si="14"/>
        <v>400</v>
      </c>
      <c r="T51" s="31">
        <f t="shared" si="14"/>
        <v>400</v>
      </c>
    </row>
    <row r="52" spans="2:20" x14ac:dyDescent="0.25">
      <c r="B52" s="5" t="s">
        <v>95</v>
      </c>
      <c r="C52" s="29">
        <f t="shared" si="7"/>
        <v>100</v>
      </c>
      <c r="D52" s="29">
        <f t="shared" si="7"/>
        <v>100</v>
      </c>
      <c r="E52" s="29">
        <f t="shared" si="7"/>
        <v>100</v>
      </c>
      <c r="F52" s="18">
        <f t="shared" si="13"/>
        <v>100</v>
      </c>
      <c r="G52" s="18">
        <f t="shared" si="8"/>
        <v>100</v>
      </c>
      <c r="H52" s="18">
        <f t="shared" si="8"/>
        <v>100</v>
      </c>
      <c r="I52" s="18">
        <f t="shared" si="8"/>
        <v>100</v>
      </c>
      <c r="J52" s="25">
        <f t="shared" si="9"/>
        <v>400</v>
      </c>
      <c r="K52" s="18">
        <f t="shared" si="10"/>
        <v>100</v>
      </c>
      <c r="L52" s="18">
        <f t="shared" si="10"/>
        <v>100</v>
      </c>
      <c r="M52" s="18">
        <f t="shared" si="10"/>
        <v>100</v>
      </c>
      <c r="N52" s="18">
        <f t="shared" si="10"/>
        <v>100</v>
      </c>
      <c r="O52" s="30">
        <f t="shared" si="11"/>
        <v>400</v>
      </c>
      <c r="P52" s="31">
        <f t="shared" si="14"/>
        <v>400</v>
      </c>
      <c r="Q52" s="31">
        <f t="shared" si="14"/>
        <v>400</v>
      </c>
      <c r="R52" s="31">
        <f t="shared" si="14"/>
        <v>400</v>
      </c>
      <c r="S52" s="31">
        <f t="shared" si="14"/>
        <v>400</v>
      </c>
      <c r="T52" s="31">
        <f t="shared" si="14"/>
        <v>400</v>
      </c>
    </row>
    <row r="53" spans="2:20" x14ac:dyDescent="0.25">
      <c r="B53" s="5" t="s">
        <v>96</v>
      </c>
      <c r="C53" s="29">
        <f t="shared" si="7"/>
        <v>100</v>
      </c>
      <c r="D53" s="29">
        <f t="shared" si="7"/>
        <v>100</v>
      </c>
      <c r="E53" s="29">
        <f t="shared" si="7"/>
        <v>100</v>
      </c>
      <c r="F53" s="18">
        <f t="shared" si="13"/>
        <v>100</v>
      </c>
      <c r="G53" s="18">
        <f t="shared" si="8"/>
        <v>100</v>
      </c>
      <c r="H53" s="18">
        <f t="shared" si="8"/>
        <v>100</v>
      </c>
      <c r="I53" s="18">
        <f t="shared" si="8"/>
        <v>100</v>
      </c>
      <c r="J53" s="25">
        <f t="shared" si="9"/>
        <v>400</v>
      </c>
      <c r="K53" s="18">
        <f t="shared" si="10"/>
        <v>100</v>
      </c>
      <c r="L53" s="18">
        <f t="shared" si="10"/>
        <v>100</v>
      </c>
      <c r="M53" s="18">
        <f t="shared" si="10"/>
        <v>100</v>
      </c>
      <c r="N53" s="18">
        <f t="shared" si="10"/>
        <v>100</v>
      </c>
      <c r="O53" s="30">
        <f t="shared" si="11"/>
        <v>400</v>
      </c>
      <c r="P53" s="31">
        <f t="shared" si="14"/>
        <v>400</v>
      </c>
      <c r="Q53" s="31">
        <f t="shared" si="14"/>
        <v>400</v>
      </c>
      <c r="R53" s="31">
        <f t="shared" si="14"/>
        <v>400</v>
      </c>
      <c r="S53" s="31">
        <f t="shared" si="14"/>
        <v>400</v>
      </c>
      <c r="T53" s="31">
        <f t="shared" si="14"/>
        <v>400</v>
      </c>
    </row>
    <row r="54" spans="2:20" x14ac:dyDescent="0.25">
      <c r="B54" s="5" t="s">
        <v>97</v>
      </c>
      <c r="C54" s="29">
        <f t="shared" si="7"/>
        <v>100</v>
      </c>
      <c r="D54" s="29">
        <f t="shared" si="7"/>
        <v>100</v>
      </c>
      <c r="E54" s="29">
        <f t="shared" si="7"/>
        <v>100</v>
      </c>
      <c r="F54" s="18">
        <f t="shared" si="13"/>
        <v>100</v>
      </c>
      <c r="G54" s="18">
        <f t="shared" si="8"/>
        <v>100</v>
      </c>
      <c r="H54" s="18">
        <f t="shared" si="8"/>
        <v>100</v>
      </c>
      <c r="I54" s="18">
        <f t="shared" si="8"/>
        <v>100</v>
      </c>
      <c r="J54" s="25">
        <f t="shared" si="9"/>
        <v>400</v>
      </c>
      <c r="K54" s="18">
        <f t="shared" si="10"/>
        <v>100</v>
      </c>
      <c r="L54" s="18">
        <f t="shared" si="10"/>
        <v>100</v>
      </c>
      <c r="M54" s="18">
        <f t="shared" si="10"/>
        <v>100</v>
      </c>
      <c r="N54" s="18">
        <f t="shared" si="10"/>
        <v>100</v>
      </c>
      <c r="O54" s="30">
        <f t="shared" si="11"/>
        <v>400</v>
      </c>
      <c r="P54" s="31">
        <f t="shared" si="14"/>
        <v>400</v>
      </c>
      <c r="Q54" s="31">
        <f t="shared" si="14"/>
        <v>400</v>
      </c>
      <c r="R54" s="31">
        <f t="shared" si="14"/>
        <v>400</v>
      </c>
      <c r="S54" s="31">
        <f t="shared" si="14"/>
        <v>400</v>
      </c>
      <c r="T54" s="31">
        <f t="shared" si="14"/>
        <v>400</v>
      </c>
    </row>
    <row r="55" spans="2:20" x14ac:dyDescent="0.25">
      <c r="B55" s="5" t="s">
        <v>98</v>
      </c>
      <c r="C55" s="29">
        <f t="shared" si="7"/>
        <v>100</v>
      </c>
      <c r="D55" s="29">
        <f t="shared" si="7"/>
        <v>100</v>
      </c>
      <c r="E55" s="29">
        <f t="shared" si="7"/>
        <v>100</v>
      </c>
      <c r="F55" s="18">
        <f t="shared" si="13"/>
        <v>100</v>
      </c>
      <c r="G55" s="18">
        <f t="shared" si="8"/>
        <v>100</v>
      </c>
      <c r="H55" s="18">
        <f t="shared" si="8"/>
        <v>100</v>
      </c>
      <c r="I55" s="18">
        <f t="shared" si="8"/>
        <v>100</v>
      </c>
      <c r="J55" s="25">
        <f t="shared" si="9"/>
        <v>400</v>
      </c>
      <c r="K55" s="18">
        <f t="shared" si="10"/>
        <v>100</v>
      </c>
      <c r="L55" s="18">
        <f t="shared" si="10"/>
        <v>100</v>
      </c>
      <c r="M55" s="18">
        <f t="shared" si="10"/>
        <v>100</v>
      </c>
      <c r="N55" s="18">
        <f t="shared" si="10"/>
        <v>100</v>
      </c>
      <c r="O55" s="30">
        <f t="shared" si="11"/>
        <v>400</v>
      </c>
      <c r="P55" s="31">
        <f t="shared" si="14"/>
        <v>400</v>
      </c>
      <c r="Q55" s="31">
        <f t="shared" si="14"/>
        <v>400</v>
      </c>
      <c r="R55" s="31">
        <f t="shared" si="14"/>
        <v>400</v>
      </c>
      <c r="S55" s="31">
        <f t="shared" si="14"/>
        <v>400</v>
      </c>
      <c r="T55" s="31">
        <f t="shared" si="14"/>
        <v>400</v>
      </c>
    </row>
    <row r="56" spans="2:20" x14ac:dyDescent="0.25">
      <c r="B56" s="5" t="s">
        <v>99</v>
      </c>
      <c r="C56" s="29">
        <f t="shared" si="7"/>
        <v>100</v>
      </c>
      <c r="D56" s="29">
        <f t="shared" si="7"/>
        <v>100</v>
      </c>
      <c r="E56" s="29">
        <f t="shared" si="7"/>
        <v>100</v>
      </c>
      <c r="F56" s="18">
        <f t="shared" si="13"/>
        <v>100</v>
      </c>
      <c r="G56" s="18">
        <f t="shared" si="8"/>
        <v>100</v>
      </c>
      <c r="H56" s="18">
        <f t="shared" si="8"/>
        <v>100</v>
      </c>
      <c r="I56" s="18">
        <f t="shared" si="8"/>
        <v>100</v>
      </c>
      <c r="J56" s="25">
        <f t="shared" si="9"/>
        <v>400</v>
      </c>
      <c r="K56" s="18">
        <f t="shared" si="10"/>
        <v>100</v>
      </c>
      <c r="L56" s="18">
        <f t="shared" si="10"/>
        <v>100</v>
      </c>
      <c r="M56" s="18">
        <f t="shared" si="10"/>
        <v>100</v>
      </c>
      <c r="N56" s="18">
        <f t="shared" si="10"/>
        <v>100</v>
      </c>
      <c r="O56" s="30">
        <f t="shared" si="11"/>
        <v>400</v>
      </c>
      <c r="P56" s="31">
        <f t="shared" si="14"/>
        <v>400</v>
      </c>
      <c r="Q56" s="31">
        <f t="shared" si="14"/>
        <v>400</v>
      </c>
      <c r="R56" s="31">
        <f t="shared" si="14"/>
        <v>400</v>
      </c>
      <c r="S56" s="31">
        <f t="shared" si="14"/>
        <v>400</v>
      </c>
      <c r="T56" s="31">
        <f t="shared" si="14"/>
        <v>400</v>
      </c>
    </row>
    <row r="57" spans="2:20" ht="15.75" thickBot="1" x14ac:dyDescent="0.3">
      <c r="B57" s="16" t="s">
        <v>37</v>
      </c>
      <c r="C57" s="17">
        <f t="shared" ref="C57:T57" si="15">SUM(C50:C56)</f>
        <v>700</v>
      </c>
      <c r="D57" s="17">
        <f t="shared" si="15"/>
        <v>700</v>
      </c>
      <c r="E57" s="17">
        <f t="shared" si="15"/>
        <v>700</v>
      </c>
      <c r="F57" s="19">
        <f t="shared" si="15"/>
        <v>700</v>
      </c>
      <c r="G57" s="19">
        <f t="shared" si="15"/>
        <v>700</v>
      </c>
      <c r="H57" s="19">
        <f t="shared" si="15"/>
        <v>700</v>
      </c>
      <c r="I57" s="19">
        <f t="shared" si="15"/>
        <v>700</v>
      </c>
      <c r="J57" s="26">
        <f t="shared" si="15"/>
        <v>2800</v>
      </c>
      <c r="K57" s="19">
        <f t="shared" si="15"/>
        <v>700</v>
      </c>
      <c r="L57" s="19">
        <f t="shared" si="15"/>
        <v>700</v>
      </c>
      <c r="M57" s="19">
        <f t="shared" si="15"/>
        <v>700</v>
      </c>
      <c r="N57" s="19">
        <f t="shared" si="15"/>
        <v>700</v>
      </c>
      <c r="O57" s="27">
        <f t="shared" si="15"/>
        <v>2800</v>
      </c>
      <c r="P57" s="28">
        <f t="shared" si="15"/>
        <v>2800</v>
      </c>
      <c r="Q57" s="28">
        <f t="shared" si="15"/>
        <v>2800</v>
      </c>
      <c r="R57" s="28">
        <f t="shared" si="15"/>
        <v>2800</v>
      </c>
      <c r="S57" s="28">
        <f t="shared" si="15"/>
        <v>2800</v>
      </c>
      <c r="T57" s="28">
        <f t="shared" si="15"/>
        <v>2800</v>
      </c>
    </row>
    <row r="58" spans="2:20" ht="15.75" thickTop="1" x14ac:dyDescent="0.25">
      <c r="C58" s="32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</row>
    <row r="61" spans="2:20" x14ac:dyDescent="0.25">
      <c r="B61" s="4" t="s">
        <v>38</v>
      </c>
    </row>
    <row r="62" spans="2:20" x14ac:dyDescent="0.25">
      <c r="B62" s="6" t="s">
        <v>36</v>
      </c>
    </row>
    <row r="64" spans="2:20" x14ac:dyDescent="0.25">
      <c r="C64" s="20">
        <v>2023</v>
      </c>
      <c r="D64" s="20">
        <v>2024</v>
      </c>
      <c r="E64" s="20">
        <v>2025</v>
      </c>
      <c r="F64" s="21" t="s">
        <v>1</v>
      </c>
      <c r="G64" s="21" t="s">
        <v>2</v>
      </c>
      <c r="H64" s="21" t="s">
        <v>3</v>
      </c>
      <c r="I64" s="21" t="s">
        <v>4</v>
      </c>
      <c r="J64" s="21">
        <v>2026</v>
      </c>
      <c r="K64" s="22" t="s">
        <v>1</v>
      </c>
      <c r="L64" s="22" t="s">
        <v>2</v>
      </c>
      <c r="M64" s="22" t="s">
        <v>3</v>
      </c>
      <c r="N64" s="22" t="s">
        <v>4</v>
      </c>
      <c r="O64" s="23">
        <v>2027</v>
      </c>
      <c r="P64" s="24">
        <v>2028</v>
      </c>
      <c r="Q64" s="24">
        <v>2029</v>
      </c>
      <c r="R64" s="24">
        <v>2030</v>
      </c>
      <c r="S64" s="24">
        <v>2031</v>
      </c>
      <c r="T64" s="24">
        <v>2032</v>
      </c>
    </row>
    <row r="65" spans="2:20" x14ac:dyDescent="0.25">
      <c r="B65" s="5" t="s">
        <v>93</v>
      </c>
      <c r="C65" s="34">
        <f t="shared" ref="C65:T65" si="16">IFERROR(C50/C35,0)</f>
        <v>0</v>
      </c>
      <c r="D65" s="34">
        <f t="shared" si="16"/>
        <v>1</v>
      </c>
      <c r="E65" s="34">
        <f t="shared" si="16"/>
        <v>1</v>
      </c>
      <c r="F65" s="35">
        <f t="shared" si="16"/>
        <v>1</v>
      </c>
      <c r="G65" s="35">
        <f t="shared" si="16"/>
        <v>1</v>
      </c>
      <c r="H65" s="35">
        <f t="shared" si="16"/>
        <v>1.0910543213046635</v>
      </c>
      <c r="I65" s="35">
        <f t="shared" si="16"/>
        <v>1.0910543213046635</v>
      </c>
      <c r="J65" s="36">
        <f t="shared" si="16"/>
        <v>1.0435446943567934</v>
      </c>
      <c r="K65" s="35">
        <f t="shared" si="16"/>
        <v>1.0435446943567934</v>
      </c>
      <c r="L65" s="35">
        <f t="shared" si="16"/>
        <v>1.0435446943567934</v>
      </c>
      <c r="M65" s="35">
        <f t="shared" si="16"/>
        <v>1.0435446943567934</v>
      </c>
      <c r="N65" s="35">
        <f t="shared" si="16"/>
        <v>1.0435446943567934</v>
      </c>
      <c r="O65" s="37">
        <f t="shared" si="16"/>
        <v>1.0435446943567934</v>
      </c>
      <c r="P65" s="38">
        <f t="shared" si="16"/>
        <v>1.0435446943567934</v>
      </c>
      <c r="Q65" s="38">
        <f t="shared" si="16"/>
        <v>1.0648415248538707</v>
      </c>
      <c r="R65" s="38">
        <f t="shared" si="16"/>
        <v>1.086572984544766</v>
      </c>
      <c r="S65" s="38">
        <f t="shared" si="16"/>
        <v>1.1087479434130267</v>
      </c>
      <c r="T65" s="38">
        <f t="shared" si="16"/>
        <v>1.1313754524622723</v>
      </c>
    </row>
    <row r="66" spans="2:20" x14ac:dyDescent="0.25">
      <c r="B66" s="5" t="s">
        <v>94</v>
      </c>
      <c r="C66" s="34">
        <f t="shared" ref="C66:T66" si="17">IFERROR(C51/C36,0)</f>
        <v>1</v>
      </c>
      <c r="D66" s="34">
        <f t="shared" si="17"/>
        <v>1</v>
      </c>
      <c r="E66" s="34">
        <f t="shared" si="17"/>
        <v>1</v>
      </c>
      <c r="F66" s="35">
        <f t="shared" si="17"/>
        <v>1</v>
      </c>
      <c r="G66" s="35">
        <f t="shared" si="17"/>
        <v>1</v>
      </c>
      <c r="H66" s="35">
        <f t="shared" si="17"/>
        <v>1.0558234729206395</v>
      </c>
      <c r="I66" s="35">
        <f t="shared" si="17"/>
        <v>1.0558234729206395</v>
      </c>
      <c r="J66" s="36">
        <f t="shared" si="17"/>
        <v>1.0271538260244364</v>
      </c>
      <c r="K66" s="35">
        <f t="shared" si="17"/>
        <v>1.0271538260244364</v>
      </c>
      <c r="L66" s="35">
        <f t="shared" si="17"/>
        <v>1.0271538260244364</v>
      </c>
      <c r="M66" s="35">
        <f t="shared" si="17"/>
        <v>1.0271538260244364</v>
      </c>
      <c r="N66" s="35">
        <f t="shared" si="17"/>
        <v>1.0271538260244364</v>
      </c>
      <c r="O66" s="37">
        <f t="shared" si="17"/>
        <v>1.0271538260244364</v>
      </c>
      <c r="P66" s="38">
        <f t="shared" si="17"/>
        <v>1.0271538260244364</v>
      </c>
      <c r="Q66" s="38">
        <f t="shared" si="17"/>
        <v>1.048116149004527</v>
      </c>
      <c r="R66" s="38">
        <f t="shared" si="17"/>
        <v>1.0695062744944153</v>
      </c>
      <c r="S66" s="38">
        <f t="shared" si="17"/>
        <v>1.0913329331575665</v>
      </c>
      <c r="T66" s="38">
        <f t="shared" si="17"/>
        <v>1.1136050338342516</v>
      </c>
    </row>
    <row r="67" spans="2:20" x14ac:dyDescent="0.25">
      <c r="B67" s="5" t="s">
        <v>95</v>
      </c>
      <c r="C67" s="34">
        <f t="shared" ref="C67:T67" si="18">IFERROR(C52/C37,0)</f>
        <v>1</v>
      </c>
      <c r="D67" s="34">
        <f t="shared" si="18"/>
        <v>1</v>
      </c>
      <c r="E67" s="34">
        <f t="shared" si="18"/>
        <v>1</v>
      </c>
      <c r="F67" s="35">
        <f t="shared" si="18"/>
        <v>1</v>
      </c>
      <c r="G67" s="35">
        <f t="shared" si="18"/>
        <v>1</v>
      </c>
      <c r="H67" s="35">
        <f t="shared" si="18"/>
        <v>9.0909090909090917</v>
      </c>
      <c r="I67" s="35">
        <f t="shared" si="18"/>
        <v>9.0909090909090917</v>
      </c>
      <c r="J67" s="36">
        <f t="shared" si="18"/>
        <v>1.8018018018018018</v>
      </c>
      <c r="K67" s="35">
        <f t="shared" si="18"/>
        <v>1.8018018018018018</v>
      </c>
      <c r="L67" s="35">
        <f t="shared" si="18"/>
        <v>1.8018018018018018</v>
      </c>
      <c r="M67" s="35">
        <f t="shared" si="18"/>
        <v>1.8018018018018018</v>
      </c>
      <c r="N67" s="35">
        <f t="shared" si="18"/>
        <v>1.8018018018018018</v>
      </c>
      <c r="O67" s="37">
        <f t="shared" si="18"/>
        <v>1.8018018018018018</v>
      </c>
      <c r="P67" s="38">
        <f t="shared" si="18"/>
        <v>1.8018018018018018</v>
      </c>
      <c r="Q67" s="38">
        <f t="shared" si="18"/>
        <v>1.8385732671446957</v>
      </c>
      <c r="R67" s="38">
        <f t="shared" si="18"/>
        <v>1.876095170555812</v>
      </c>
      <c r="S67" s="38">
        <f t="shared" si="18"/>
        <v>1.9143828270977672</v>
      </c>
      <c r="T67" s="38">
        <f t="shared" si="18"/>
        <v>1.9534518643854768</v>
      </c>
    </row>
    <row r="68" spans="2:20" x14ac:dyDescent="0.25">
      <c r="B68" s="5" t="s">
        <v>96</v>
      </c>
      <c r="C68" s="34">
        <f t="shared" ref="C68:T68" si="19">IFERROR(C53/C38,0)</f>
        <v>1</v>
      </c>
      <c r="D68" s="34">
        <f t="shared" si="19"/>
        <v>1</v>
      </c>
      <c r="E68" s="34">
        <f t="shared" si="19"/>
        <v>1</v>
      </c>
      <c r="F68" s="35">
        <f t="shared" si="19"/>
        <v>1</v>
      </c>
      <c r="G68" s="35">
        <f t="shared" si="19"/>
        <v>1</v>
      </c>
      <c r="H68" s="35">
        <f t="shared" si="19"/>
        <v>3.7037037037037037</v>
      </c>
      <c r="I68" s="35">
        <f t="shared" si="19"/>
        <v>3.7037037037037037</v>
      </c>
      <c r="J68" s="36">
        <f t="shared" si="19"/>
        <v>1.5748031496062993</v>
      </c>
      <c r="K68" s="35">
        <f t="shared" si="19"/>
        <v>1.5748031496062993</v>
      </c>
      <c r="L68" s="35">
        <f t="shared" si="19"/>
        <v>1.5748031496062993</v>
      </c>
      <c r="M68" s="35">
        <f t="shared" si="19"/>
        <v>1.5748031496062993</v>
      </c>
      <c r="N68" s="35">
        <f t="shared" si="19"/>
        <v>1.5748031496062993</v>
      </c>
      <c r="O68" s="37">
        <f t="shared" si="19"/>
        <v>1.5748031496062993</v>
      </c>
      <c r="P68" s="38">
        <f t="shared" si="19"/>
        <v>1.5748031496062993</v>
      </c>
      <c r="Q68" s="38">
        <f t="shared" si="19"/>
        <v>1.606941989394183</v>
      </c>
      <c r="R68" s="38">
        <f t="shared" si="19"/>
        <v>1.6397367238716152</v>
      </c>
      <c r="S68" s="38">
        <f t="shared" si="19"/>
        <v>1.6732007386445054</v>
      </c>
      <c r="T68" s="38">
        <f t="shared" si="19"/>
        <v>1.7073476924943933</v>
      </c>
    </row>
    <row r="69" spans="2:20" x14ac:dyDescent="0.25">
      <c r="B69" s="5" t="s">
        <v>97</v>
      </c>
      <c r="C69" s="34">
        <f t="shared" ref="C69:T69" si="20">IFERROR(C54/C39,0)</f>
        <v>1</v>
      </c>
      <c r="D69" s="34">
        <f t="shared" si="20"/>
        <v>1</v>
      </c>
      <c r="E69" s="34">
        <f t="shared" si="20"/>
        <v>1</v>
      </c>
      <c r="F69" s="35">
        <f t="shared" si="20"/>
        <v>1</v>
      </c>
      <c r="G69" s="35">
        <f t="shared" si="20"/>
        <v>1</v>
      </c>
      <c r="H69" s="35">
        <f t="shared" si="20"/>
        <v>16.602281555482133</v>
      </c>
      <c r="I69" s="35">
        <f t="shared" si="20"/>
        <v>16.602281555482133</v>
      </c>
      <c r="J69" s="36">
        <f t="shared" si="20"/>
        <v>1.886378365571757</v>
      </c>
      <c r="K69" s="35">
        <f t="shared" si="20"/>
        <v>1.886378365571757</v>
      </c>
      <c r="L69" s="35">
        <f t="shared" si="20"/>
        <v>1.886378365571757</v>
      </c>
      <c r="M69" s="35">
        <f t="shared" si="20"/>
        <v>1.886378365571757</v>
      </c>
      <c r="N69" s="35">
        <f t="shared" si="20"/>
        <v>1.886378365571757</v>
      </c>
      <c r="O69" s="37">
        <f t="shared" si="20"/>
        <v>1.886378365571757</v>
      </c>
      <c r="P69" s="38">
        <f t="shared" si="20"/>
        <v>1.886378365571757</v>
      </c>
      <c r="Q69" s="38">
        <f t="shared" si="20"/>
        <v>1.9248758832364867</v>
      </c>
      <c r="R69" s="38">
        <f t="shared" si="20"/>
        <v>1.9641590645270275</v>
      </c>
      <c r="S69" s="38">
        <f t="shared" si="20"/>
        <v>2.004243943394926</v>
      </c>
      <c r="T69" s="38">
        <f t="shared" si="20"/>
        <v>2.0451468810152309</v>
      </c>
    </row>
    <row r="70" spans="2:20" x14ac:dyDescent="0.25">
      <c r="B70" s="5" t="s">
        <v>98</v>
      </c>
      <c r="C70" s="34">
        <f t="shared" ref="C70:T70" si="21">IFERROR(C55/C40,0)</f>
        <v>1</v>
      </c>
      <c r="D70" s="34">
        <f t="shared" si="21"/>
        <v>1</v>
      </c>
      <c r="E70" s="34">
        <f t="shared" si="21"/>
        <v>1</v>
      </c>
      <c r="F70" s="35">
        <f t="shared" si="21"/>
        <v>1</v>
      </c>
      <c r="G70" s="35">
        <f t="shared" si="21"/>
        <v>1</v>
      </c>
      <c r="H70" s="35">
        <f t="shared" si="21"/>
        <v>1</v>
      </c>
      <c r="I70" s="35">
        <f t="shared" si="21"/>
        <v>1</v>
      </c>
      <c r="J70" s="36">
        <f t="shared" si="21"/>
        <v>1</v>
      </c>
      <c r="K70" s="35">
        <f t="shared" si="21"/>
        <v>1</v>
      </c>
      <c r="L70" s="35">
        <f t="shared" si="21"/>
        <v>1</v>
      </c>
      <c r="M70" s="35">
        <f t="shared" si="21"/>
        <v>1</v>
      </c>
      <c r="N70" s="35">
        <f t="shared" si="21"/>
        <v>1</v>
      </c>
      <c r="O70" s="37">
        <f t="shared" si="21"/>
        <v>1</v>
      </c>
      <c r="P70" s="38">
        <f t="shared" si="21"/>
        <v>1</v>
      </c>
      <c r="Q70" s="38">
        <f t="shared" si="21"/>
        <v>1.0204081632653061</v>
      </c>
      <c r="R70" s="38">
        <f t="shared" si="21"/>
        <v>1.0412328196584757</v>
      </c>
      <c r="S70" s="38">
        <f t="shared" si="21"/>
        <v>1.0624824690392609</v>
      </c>
      <c r="T70" s="38">
        <f t="shared" si="21"/>
        <v>1.0841657847339397</v>
      </c>
    </row>
    <row r="71" spans="2:20" x14ac:dyDescent="0.25">
      <c r="B71" s="5" t="s">
        <v>99</v>
      </c>
      <c r="C71" s="34">
        <f t="shared" ref="C71:T71" si="22">IFERROR(C56/C41,0)</f>
        <v>1</v>
      </c>
      <c r="D71" s="34">
        <f t="shared" si="22"/>
        <v>1</v>
      </c>
      <c r="E71" s="34">
        <f t="shared" si="22"/>
        <v>1</v>
      </c>
      <c r="F71" s="35">
        <f t="shared" si="22"/>
        <v>1</v>
      </c>
      <c r="G71" s="35">
        <f t="shared" si="22"/>
        <v>1</v>
      </c>
      <c r="H71" s="35">
        <f t="shared" si="22"/>
        <v>1.0558234729206395</v>
      </c>
      <c r="I71" s="35">
        <f t="shared" si="22"/>
        <v>1.0558234729206395</v>
      </c>
      <c r="J71" s="36">
        <f t="shared" si="22"/>
        <v>1.0271538260244364</v>
      </c>
      <c r="K71" s="35">
        <f t="shared" si="22"/>
        <v>1.0271538260244364</v>
      </c>
      <c r="L71" s="35">
        <f t="shared" si="22"/>
        <v>1.0271538260244364</v>
      </c>
      <c r="M71" s="35">
        <f t="shared" si="22"/>
        <v>1.0271538260244364</v>
      </c>
      <c r="N71" s="35">
        <f t="shared" si="22"/>
        <v>1.0271538260244364</v>
      </c>
      <c r="O71" s="37">
        <f t="shared" si="22"/>
        <v>1.0271538260244364</v>
      </c>
      <c r="P71" s="38">
        <f t="shared" si="22"/>
        <v>1.0271538260244364</v>
      </c>
      <c r="Q71" s="38">
        <f t="shared" si="22"/>
        <v>1.048116149004527</v>
      </c>
      <c r="R71" s="38">
        <f t="shared" si="22"/>
        <v>1.0695062744944153</v>
      </c>
      <c r="S71" s="38">
        <f t="shared" si="22"/>
        <v>1.0913329331575665</v>
      </c>
      <c r="T71" s="38">
        <f t="shared" si="22"/>
        <v>1.1136050338342516</v>
      </c>
    </row>
    <row r="72" spans="2:20" ht="15.75" thickBot="1" x14ac:dyDescent="0.3">
      <c r="B72" s="16" t="s">
        <v>37</v>
      </c>
      <c r="C72" s="39">
        <f t="shared" ref="C72:T72" si="23">IFERROR(C57/C42,0)</f>
        <v>1.1666666666666667</v>
      </c>
      <c r="D72" s="39">
        <f t="shared" si="23"/>
        <v>1</v>
      </c>
      <c r="E72" s="39">
        <f t="shared" si="23"/>
        <v>1</v>
      </c>
      <c r="F72" s="40">
        <f t="shared" si="23"/>
        <v>1</v>
      </c>
      <c r="G72" s="40">
        <f t="shared" si="23"/>
        <v>1</v>
      </c>
      <c r="H72" s="40">
        <f t="shared" si="23"/>
        <v>1.6466584402412847</v>
      </c>
      <c r="I72" s="40">
        <f t="shared" si="23"/>
        <v>1.6466584402412847</v>
      </c>
      <c r="J72" s="41">
        <f t="shared" si="23"/>
        <v>1.2443301449137245</v>
      </c>
      <c r="K72" s="40">
        <f t="shared" si="23"/>
        <v>1.2443301449137245</v>
      </c>
      <c r="L72" s="40">
        <f t="shared" si="23"/>
        <v>1.2443301449137245</v>
      </c>
      <c r="M72" s="40">
        <f t="shared" si="23"/>
        <v>1.2443301449137245</v>
      </c>
      <c r="N72" s="40">
        <f t="shared" si="23"/>
        <v>1.2443301449137245</v>
      </c>
      <c r="O72" s="42">
        <f t="shared" si="23"/>
        <v>1.2443301449137245</v>
      </c>
      <c r="P72" s="43">
        <f t="shared" si="23"/>
        <v>1.2443301449137245</v>
      </c>
      <c r="Q72" s="43">
        <f t="shared" si="23"/>
        <v>1.2697246376670659</v>
      </c>
      <c r="R72" s="43">
        <f t="shared" si="23"/>
        <v>1.2956373853745569</v>
      </c>
      <c r="S72" s="43">
        <f t="shared" si="23"/>
        <v>1.3220789646679154</v>
      </c>
      <c r="T72" s="43">
        <f t="shared" si="23"/>
        <v>1.3490601680284848</v>
      </c>
    </row>
    <row r="73" spans="2:20" ht="15.75" thickTop="1" x14ac:dyDescent="0.25"/>
  </sheetData>
  <phoneticPr fontId="2" type="noConversion"/>
  <conditionalFormatting sqref="C65:T72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B976-DF82-49D7-B48A-728FAA6D66AE}">
  <sheetPr>
    <tabColor theme="9" tint="0.79998168889431442"/>
  </sheetPr>
  <dimension ref="A1:T30"/>
  <sheetViews>
    <sheetView showGridLines="0" workbookViewId="0">
      <selection activeCell="P17" sqref="P17"/>
    </sheetView>
  </sheetViews>
  <sheetFormatPr defaultRowHeight="15" outlineLevelRow="1" outlineLevelCol="1" x14ac:dyDescent="0.25"/>
  <cols>
    <col min="1" max="1" width="8.5703125" customWidth="1"/>
    <col min="2" max="2" width="16.5703125" customWidth="1"/>
    <col min="3" max="3" width="9.7109375" bestFit="1" customWidth="1"/>
    <col min="4" max="4" width="10.7109375" bestFit="1" customWidth="1"/>
    <col min="5" max="5" width="13.7109375" customWidth="1"/>
    <col min="6" max="7" width="9.7109375" customWidth="1" outlineLevel="1"/>
    <col min="8" max="8" width="9.5703125" customWidth="1" outlineLevel="1"/>
    <col min="9" max="9" width="9.42578125" customWidth="1" outlineLevel="1"/>
    <col min="10" max="10" width="9.7109375" bestFit="1" customWidth="1"/>
    <col min="11" max="11" width="9.5703125" customWidth="1" outlineLevel="1"/>
    <col min="12" max="12" width="9.140625" customWidth="1" outlineLevel="1"/>
    <col min="13" max="14" width="9.5703125" customWidth="1" outlineLevel="1"/>
    <col min="15" max="20" width="9.5703125" bestFit="1" customWidth="1"/>
  </cols>
  <sheetData>
    <row r="1" spans="1:20" outlineLevel="1" x14ac:dyDescent="0.25">
      <c r="C1" t="s">
        <v>39</v>
      </c>
      <c r="M1" t="s">
        <v>40</v>
      </c>
    </row>
    <row r="2" spans="1:20" outlineLevel="1" x14ac:dyDescent="0.25">
      <c r="B2" s="8"/>
      <c r="C2" s="15">
        <v>2023</v>
      </c>
      <c r="D2" s="15">
        <v>2024</v>
      </c>
      <c r="E2" s="15">
        <v>2025</v>
      </c>
      <c r="F2" s="15" t="s">
        <v>1</v>
      </c>
      <c r="G2" s="15" t="s">
        <v>2</v>
      </c>
      <c r="H2" s="15" t="s">
        <v>3</v>
      </c>
      <c r="I2" s="15" t="s">
        <v>4</v>
      </c>
      <c r="L2" s="8"/>
      <c r="M2" s="15" t="s">
        <v>6</v>
      </c>
      <c r="N2" s="15" t="s">
        <v>7</v>
      </c>
      <c r="O2" s="15" t="s">
        <v>8</v>
      </c>
      <c r="P2" s="15" t="s">
        <v>9</v>
      </c>
      <c r="Q2" s="15" t="s">
        <v>10</v>
      </c>
      <c r="R2" s="15" t="s">
        <v>11</v>
      </c>
      <c r="S2" s="15" t="s">
        <v>12</v>
      </c>
      <c r="T2" s="15" t="s">
        <v>37</v>
      </c>
    </row>
    <row r="3" spans="1:20" outlineLevel="1" x14ac:dyDescent="0.25">
      <c r="B3" s="9" t="s">
        <v>15</v>
      </c>
      <c r="C3" s="10">
        <v>100</v>
      </c>
      <c r="D3" s="10">
        <v>100</v>
      </c>
      <c r="E3" s="10">
        <v>100</v>
      </c>
      <c r="F3" s="10">
        <v>100</v>
      </c>
      <c r="G3" s="10">
        <v>100</v>
      </c>
      <c r="H3" s="10">
        <v>100</v>
      </c>
      <c r="I3" s="10">
        <v>100</v>
      </c>
      <c r="L3" s="9" t="s">
        <v>15</v>
      </c>
      <c r="M3" s="10">
        <v>100</v>
      </c>
      <c r="N3" s="10">
        <v>100</v>
      </c>
      <c r="O3" s="10">
        <v>100</v>
      </c>
      <c r="P3" s="10">
        <v>100</v>
      </c>
      <c r="Q3" s="10">
        <v>100</v>
      </c>
      <c r="R3" s="10">
        <v>100</v>
      </c>
      <c r="S3" s="10">
        <v>100</v>
      </c>
      <c r="T3" s="10">
        <v>100</v>
      </c>
    </row>
    <row r="4" spans="1:20" outlineLevel="1" x14ac:dyDescent="0.25">
      <c r="B4" s="9" t="s">
        <v>16</v>
      </c>
      <c r="C4" s="10">
        <v>100</v>
      </c>
      <c r="D4" s="10">
        <v>100</v>
      </c>
      <c r="E4" s="10">
        <v>100</v>
      </c>
      <c r="F4" s="10">
        <v>100</v>
      </c>
      <c r="G4" s="10">
        <v>100</v>
      </c>
      <c r="H4" s="10">
        <v>100</v>
      </c>
      <c r="I4" s="10">
        <v>100</v>
      </c>
      <c r="L4" s="9" t="s">
        <v>16</v>
      </c>
      <c r="M4" s="10">
        <v>100</v>
      </c>
      <c r="N4" s="10">
        <v>100</v>
      </c>
      <c r="O4" s="10">
        <v>100</v>
      </c>
      <c r="P4" s="10">
        <v>100</v>
      </c>
      <c r="Q4" s="10">
        <v>100</v>
      </c>
      <c r="R4" s="10">
        <v>100</v>
      </c>
      <c r="S4" s="10">
        <v>100</v>
      </c>
      <c r="T4" s="10">
        <v>100</v>
      </c>
    </row>
    <row r="5" spans="1:20" outlineLevel="1" x14ac:dyDescent="0.25">
      <c r="B5" s="9"/>
      <c r="C5" s="10"/>
      <c r="D5" s="10"/>
      <c r="E5" s="10"/>
      <c r="F5" s="10"/>
      <c r="G5" s="10"/>
      <c r="H5" s="10"/>
      <c r="I5" s="10"/>
      <c r="L5" s="9"/>
      <c r="M5" s="10"/>
      <c r="N5" s="10"/>
      <c r="O5" s="10"/>
      <c r="P5" s="10"/>
      <c r="Q5" s="10"/>
      <c r="R5" s="10"/>
      <c r="S5" s="10"/>
      <c r="T5" s="10"/>
    </row>
    <row r="6" spans="1:20" outlineLevel="1" x14ac:dyDescent="0.25">
      <c r="A6" s="4"/>
      <c r="B6" s="9"/>
      <c r="C6" s="10"/>
      <c r="D6" s="10"/>
      <c r="E6" s="10"/>
      <c r="F6" s="10"/>
      <c r="G6" s="10"/>
      <c r="H6" s="10"/>
      <c r="I6" s="10"/>
      <c r="L6" s="9"/>
      <c r="M6" s="10"/>
      <c r="N6" s="10"/>
      <c r="O6" s="10"/>
      <c r="P6" s="10"/>
      <c r="Q6" s="10"/>
      <c r="R6" s="10"/>
      <c r="S6" s="10"/>
      <c r="T6" s="10"/>
    </row>
    <row r="7" spans="1:20" outlineLevel="1" x14ac:dyDescent="0.25">
      <c r="B7" s="9"/>
      <c r="C7" s="10"/>
      <c r="D7" s="10"/>
      <c r="E7" s="10"/>
      <c r="F7" s="10"/>
      <c r="G7" s="10"/>
      <c r="H7" s="10"/>
      <c r="I7" s="10"/>
      <c r="L7" s="9"/>
      <c r="M7" s="10"/>
      <c r="N7" s="10"/>
      <c r="O7" s="10"/>
      <c r="P7" s="10"/>
      <c r="Q7" s="10"/>
      <c r="R7" s="10"/>
      <c r="S7" s="10"/>
      <c r="T7" s="10"/>
    </row>
    <row r="8" spans="1:20" outlineLevel="1" x14ac:dyDescent="0.25">
      <c r="B8" s="3"/>
      <c r="C8" s="3"/>
      <c r="D8" s="3"/>
      <c r="E8" s="3"/>
      <c r="F8" s="3"/>
      <c r="G8" s="3"/>
      <c r="H8" s="3"/>
      <c r="I8" s="3"/>
    </row>
    <row r="9" spans="1:20" outlineLevel="1" x14ac:dyDescent="0.25">
      <c r="B9" s="3"/>
      <c r="C9" s="3"/>
      <c r="D9" s="3"/>
      <c r="E9" s="3"/>
      <c r="F9" s="3"/>
      <c r="G9" s="3"/>
      <c r="H9" s="3"/>
      <c r="I9" s="3"/>
    </row>
    <row r="10" spans="1:20" outlineLevel="1" x14ac:dyDescent="0.25"/>
    <row r="11" spans="1:20" outlineLevel="1" x14ac:dyDescent="0.25">
      <c r="A11" s="4"/>
      <c r="B11" s="8"/>
    </row>
    <row r="12" spans="1:20" outlineLevel="1" x14ac:dyDescent="0.25">
      <c r="B12" s="8"/>
      <c r="C12" s="15">
        <v>2023</v>
      </c>
      <c r="D12" s="15">
        <v>2024</v>
      </c>
      <c r="E12" s="15">
        <v>2025</v>
      </c>
      <c r="F12" s="15" t="s">
        <v>1</v>
      </c>
      <c r="G12" s="15" t="s">
        <v>2</v>
      </c>
      <c r="H12" s="15" t="s">
        <v>3</v>
      </c>
      <c r="I12" s="15" t="s">
        <v>4</v>
      </c>
    </row>
    <row r="13" spans="1:20" outlineLevel="1" x14ac:dyDescent="0.25">
      <c r="B13" s="9"/>
      <c r="C13" s="46"/>
      <c r="D13" s="46"/>
      <c r="E13" s="2"/>
      <c r="F13" s="12" t="s">
        <v>41</v>
      </c>
      <c r="G13" s="12" t="s">
        <v>41</v>
      </c>
      <c r="H13" s="12" t="s">
        <v>41</v>
      </c>
      <c r="I13" s="12" t="s">
        <v>41</v>
      </c>
    </row>
    <row r="14" spans="1:20" outlineLevel="1" x14ac:dyDescent="0.25">
      <c r="B14" s="9" t="s">
        <v>15</v>
      </c>
      <c r="C14" s="46"/>
      <c r="D14" s="46"/>
      <c r="E14" s="2"/>
      <c r="F14" s="47"/>
      <c r="G14" s="47"/>
      <c r="H14" s="47"/>
      <c r="I14" s="47"/>
    </row>
    <row r="15" spans="1:20" outlineLevel="1" x14ac:dyDescent="0.25">
      <c r="B15" s="9" t="s">
        <v>16</v>
      </c>
      <c r="C15" s="46"/>
      <c r="D15" s="46"/>
      <c r="E15" s="2"/>
      <c r="F15" s="47"/>
      <c r="G15" s="47"/>
      <c r="H15" s="47"/>
      <c r="I15" s="47"/>
    </row>
    <row r="16" spans="1:20" outlineLevel="1" x14ac:dyDescent="0.25">
      <c r="B16" s="9"/>
      <c r="C16" s="46"/>
      <c r="D16" s="46"/>
      <c r="E16" s="2"/>
      <c r="F16" s="47"/>
      <c r="G16" s="47"/>
      <c r="H16" s="47"/>
      <c r="I16" s="47"/>
    </row>
    <row r="17" spans="2:20" outlineLevel="1" x14ac:dyDescent="0.25">
      <c r="B17" s="9"/>
      <c r="C17" s="46"/>
      <c r="D17" s="46"/>
      <c r="E17" s="2"/>
      <c r="F17" s="47"/>
      <c r="G17" s="47"/>
      <c r="H17" s="47"/>
      <c r="I17" s="47"/>
    </row>
    <row r="18" spans="2:20" outlineLevel="1" x14ac:dyDescent="0.25">
      <c r="B18" s="9"/>
      <c r="C18" s="46"/>
      <c r="D18" s="46"/>
      <c r="E18" s="2"/>
      <c r="F18" s="47"/>
      <c r="G18" s="47"/>
      <c r="H18" s="47"/>
      <c r="I18" s="47"/>
    </row>
    <row r="19" spans="2:20" outlineLevel="1" x14ac:dyDescent="0.25">
      <c r="B19" s="9"/>
      <c r="C19" s="46"/>
      <c r="D19" s="46"/>
      <c r="E19" s="2"/>
      <c r="F19" s="47"/>
      <c r="G19" s="47"/>
      <c r="H19" s="47"/>
      <c r="I19" s="47"/>
    </row>
    <row r="20" spans="2:20" outlineLevel="1" x14ac:dyDescent="0.25">
      <c r="B20" s="9"/>
      <c r="C20" s="46"/>
      <c r="D20" s="46"/>
      <c r="E20" s="2"/>
      <c r="F20" s="47"/>
      <c r="G20" s="47"/>
      <c r="H20" s="47"/>
      <c r="I20" s="47"/>
    </row>
    <row r="21" spans="2:20" outlineLevel="1" x14ac:dyDescent="0.25"/>
    <row r="22" spans="2:20" outlineLevel="1" x14ac:dyDescent="0.25"/>
    <row r="23" spans="2:20" outlineLevel="1" x14ac:dyDescent="0.25"/>
    <row r="25" spans="2:20" x14ac:dyDescent="0.25">
      <c r="B25" s="4" t="s">
        <v>42</v>
      </c>
    </row>
    <row r="26" spans="2:20" x14ac:dyDescent="0.25">
      <c r="B26" t="s">
        <v>36</v>
      </c>
    </row>
    <row r="28" spans="2:20" x14ac:dyDescent="0.25">
      <c r="C28" s="20">
        <v>2023</v>
      </c>
      <c r="D28" s="20">
        <v>2024</v>
      </c>
      <c r="E28" s="20">
        <v>2025</v>
      </c>
      <c r="F28" s="21" t="s">
        <v>1</v>
      </c>
      <c r="G28" s="21" t="s">
        <v>2</v>
      </c>
      <c r="H28" s="21" t="s">
        <v>3</v>
      </c>
      <c r="I28" s="21" t="s">
        <v>4</v>
      </c>
      <c r="J28" s="21">
        <v>2026</v>
      </c>
      <c r="K28" s="22" t="s">
        <v>1</v>
      </c>
      <c r="L28" s="22" t="s">
        <v>2</v>
      </c>
      <c r="M28" s="22" t="s">
        <v>3</v>
      </c>
      <c r="N28" s="22" t="s">
        <v>4</v>
      </c>
      <c r="O28" s="23">
        <v>2027</v>
      </c>
      <c r="P28" s="24">
        <v>2028</v>
      </c>
      <c r="Q28" s="24">
        <v>2029</v>
      </c>
      <c r="R28" s="24">
        <v>2030</v>
      </c>
      <c r="S28" s="24">
        <v>2031</v>
      </c>
      <c r="T28" s="24">
        <v>2032</v>
      </c>
    </row>
    <row r="29" spans="2:20" x14ac:dyDescent="0.25">
      <c r="B29" s="5" t="s">
        <v>15</v>
      </c>
      <c r="C29" s="29">
        <f t="shared" ref="C29:E30" si="0">C3</f>
        <v>100</v>
      </c>
      <c r="D29" s="29">
        <f t="shared" si="0"/>
        <v>100</v>
      </c>
      <c r="E29" s="29">
        <f t="shared" si="0"/>
        <v>100</v>
      </c>
      <c r="F29" s="18">
        <f t="shared" ref="F29:I30" si="1">F3*(1+F14)</f>
        <v>100</v>
      </c>
      <c r="G29" s="18">
        <f t="shared" si="1"/>
        <v>100</v>
      </c>
      <c r="H29" s="18">
        <f t="shared" si="1"/>
        <v>100</v>
      </c>
      <c r="I29" s="18">
        <f t="shared" si="1"/>
        <v>100</v>
      </c>
      <c r="J29" s="25">
        <f>SUM(F29:I29)</f>
        <v>400</v>
      </c>
      <c r="K29" s="18">
        <f>$O29/4</f>
        <v>100</v>
      </c>
      <c r="L29" s="18">
        <f>$O29/4</f>
        <v>100</v>
      </c>
      <c r="M29" s="18">
        <f>$O29/4</f>
        <v>100</v>
      </c>
      <c r="N29" s="18">
        <f>$O29/4</f>
        <v>100</v>
      </c>
      <c r="O29" s="30">
        <f>J29</f>
        <v>400</v>
      </c>
      <c r="P29" s="31">
        <f t="shared" ref="P29:T30" si="2">O29</f>
        <v>400</v>
      </c>
      <c r="Q29" s="31">
        <f t="shared" si="2"/>
        <v>400</v>
      </c>
      <c r="R29" s="31">
        <f t="shared" si="2"/>
        <v>400</v>
      </c>
      <c r="S29" s="31">
        <f t="shared" si="2"/>
        <v>400</v>
      </c>
      <c r="T29" s="31">
        <f t="shared" si="2"/>
        <v>400</v>
      </c>
    </row>
    <row r="30" spans="2:20" x14ac:dyDescent="0.25">
      <c r="B30" s="5" t="s">
        <v>16</v>
      </c>
      <c r="C30" s="29">
        <f t="shared" si="0"/>
        <v>100</v>
      </c>
      <c r="D30" s="29">
        <f t="shared" si="0"/>
        <v>100</v>
      </c>
      <c r="E30" s="29">
        <f t="shared" si="0"/>
        <v>100</v>
      </c>
      <c r="F30" s="18">
        <f t="shared" si="1"/>
        <v>100</v>
      </c>
      <c r="G30" s="18">
        <f t="shared" si="1"/>
        <v>100</v>
      </c>
      <c r="H30" s="18">
        <f t="shared" si="1"/>
        <v>100</v>
      </c>
      <c r="I30" s="18">
        <f t="shared" si="1"/>
        <v>100</v>
      </c>
      <c r="J30" s="25">
        <f>SUM(F30:I30)</f>
        <v>400</v>
      </c>
      <c r="K30" s="18">
        <f>$I30</f>
        <v>100</v>
      </c>
      <c r="L30" s="18">
        <f>$I30</f>
        <v>100</v>
      </c>
      <c r="M30" s="18">
        <f>$I30</f>
        <v>100</v>
      </c>
      <c r="N30" s="18">
        <f>$I30</f>
        <v>100</v>
      </c>
      <c r="O30" s="30">
        <f>SUM(K30:N30)</f>
        <v>400</v>
      </c>
      <c r="P30" s="31">
        <f t="shared" si="2"/>
        <v>400</v>
      </c>
      <c r="Q30" s="31">
        <f t="shared" si="2"/>
        <v>400</v>
      </c>
      <c r="R30" s="31">
        <f t="shared" si="2"/>
        <v>400</v>
      </c>
      <c r="S30" s="31">
        <f t="shared" si="2"/>
        <v>400</v>
      </c>
      <c r="T30" s="31">
        <f t="shared" si="2"/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28BA-7DA1-4D22-9FBA-D148EE89E4F7}">
  <sheetPr>
    <tabColor theme="9" tint="0.79998168889431442"/>
  </sheetPr>
  <dimension ref="A1:AE42"/>
  <sheetViews>
    <sheetView showGridLines="0" workbookViewId="0">
      <selection activeCell="O11" sqref="O11"/>
    </sheetView>
  </sheetViews>
  <sheetFormatPr defaultRowHeight="15" outlineLevelRow="2" outlineLevelCol="1" x14ac:dyDescent="0.25"/>
  <cols>
    <col min="1" max="1" width="10" customWidth="1"/>
    <col min="2" max="2" width="16.5703125" customWidth="1"/>
    <col min="3" max="3" width="9.7109375" bestFit="1" customWidth="1"/>
    <col min="4" max="4" width="10.7109375" bestFit="1" customWidth="1"/>
    <col min="5" max="5" width="11" customWidth="1"/>
    <col min="6" max="7" width="9.7109375" bestFit="1" customWidth="1" outlineLevel="1"/>
    <col min="8" max="8" width="9.5703125" bestFit="1" customWidth="1" outlineLevel="1"/>
    <col min="9" max="9" width="9.42578125" bestFit="1" customWidth="1" outlineLevel="1"/>
    <col min="10" max="10" width="9.140625" customWidth="1"/>
    <col min="11" max="11" width="9.5703125" bestFit="1" customWidth="1" outlineLevel="1"/>
    <col min="12" max="12" width="10.7109375" customWidth="1" outlineLevel="1"/>
    <col min="13" max="14" width="9.5703125" bestFit="1" customWidth="1" outlineLevel="1"/>
    <col min="15" max="15" width="9.42578125" customWidth="1"/>
    <col min="16" max="20" width="9.5703125" bestFit="1" customWidth="1"/>
  </cols>
  <sheetData>
    <row r="1" spans="1:31" outlineLevel="1" x14ac:dyDescent="0.25">
      <c r="C1" t="s">
        <v>39</v>
      </c>
      <c r="X1" t="s">
        <v>40</v>
      </c>
    </row>
    <row r="2" spans="1:31" outlineLevel="1" x14ac:dyDescent="0.25">
      <c r="B2" s="8"/>
      <c r="C2" s="15">
        <v>2023</v>
      </c>
      <c r="D2" s="15">
        <v>2024</v>
      </c>
      <c r="E2" s="15">
        <v>2025</v>
      </c>
      <c r="F2" s="15" t="s">
        <v>1</v>
      </c>
      <c r="G2" s="15" t="s">
        <v>2</v>
      </c>
      <c r="H2" s="15" t="s">
        <v>3</v>
      </c>
      <c r="I2" s="15" t="s">
        <v>4</v>
      </c>
      <c r="W2" s="8"/>
      <c r="X2" s="15" t="s">
        <v>6</v>
      </c>
      <c r="Y2" s="15" t="s">
        <v>7</v>
      </c>
      <c r="Z2" s="15" t="s">
        <v>8</v>
      </c>
      <c r="AA2" s="15" t="s">
        <v>9</v>
      </c>
      <c r="AB2" s="15" t="s">
        <v>10</v>
      </c>
      <c r="AC2" s="15" t="s">
        <v>11</v>
      </c>
      <c r="AD2" s="15" t="s">
        <v>12</v>
      </c>
      <c r="AE2" s="15" t="s">
        <v>37</v>
      </c>
    </row>
    <row r="3" spans="1:31" outlineLevel="1" x14ac:dyDescent="0.25">
      <c r="B3" s="9" t="s">
        <v>15</v>
      </c>
      <c r="C3" s="10">
        <v>100</v>
      </c>
      <c r="D3" s="10">
        <v>100</v>
      </c>
      <c r="E3" s="10">
        <v>100</v>
      </c>
      <c r="F3" s="10">
        <v>100</v>
      </c>
      <c r="G3" s="10">
        <v>100</v>
      </c>
      <c r="H3" s="10">
        <v>100</v>
      </c>
      <c r="I3" s="10">
        <v>100</v>
      </c>
      <c r="W3" s="9" t="s">
        <v>15</v>
      </c>
      <c r="X3" s="10">
        <v>100</v>
      </c>
      <c r="Y3" s="10">
        <v>100</v>
      </c>
      <c r="Z3" s="10">
        <v>100</v>
      </c>
      <c r="AA3" s="10">
        <v>100</v>
      </c>
      <c r="AB3" s="10">
        <v>100</v>
      </c>
      <c r="AC3" s="10">
        <v>100</v>
      </c>
      <c r="AD3" s="10">
        <v>100</v>
      </c>
      <c r="AE3" s="10">
        <v>100</v>
      </c>
    </row>
    <row r="4" spans="1:31" outlineLevel="1" x14ac:dyDescent="0.25">
      <c r="B4" s="9" t="s">
        <v>16</v>
      </c>
      <c r="C4" s="10">
        <v>100</v>
      </c>
      <c r="D4" s="10">
        <v>100</v>
      </c>
      <c r="E4" s="10">
        <v>100</v>
      </c>
      <c r="F4" s="10">
        <v>100</v>
      </c>
      <c r="G4" s="10">
        <v>100</v>
      </c>
      <c r="H4" s="10">
        <v>100</v>
      </c>
      <c r="I4" s="10">
        <v>100</v>
      </c>
      <c r="W4" s="9" t="s">
        <v>16</v>
      </c>
      <c r="X4" s="10">
        <v>100</v>
      </c>
      <c r="Y4" s="10">
        <v>100</v>
      </c>
      <c r="Z4" s="10">
        <v>100</v>
      </c>
      <c r="AA4" s="10">
        <v>100</v>
      </c>
      <c r="AB4" s="10">
        <v>100</v>
      </c>
      <c r="AC4" s="10">
        <v>100</v>
      </c>
      <c r="AD4" s="10">
        <v>100</v>
      </c>
      <c r="AE4" s="10">
        <v>100</v>
      </c>
    </row>
    <row r="5" spans="1:31" outlineLevel="1" x14ac:dyDescent="0.25">
      <c r="B5" s="9" t="s">
        <v>19</v>
      </c>
      <c r="C5" s="10">
        <v>100</v>
      </c>
      <c r="D5" s="10">
        <v>100</v>
      </c>
      <c r="E5" s="10">
        <v>100</v>
      </c>
      <c r="F5" s="10">
        <v>100</v>
      </c>
      <c r="G5" s="10">
        <v>100</v>
      </c>
      <c r="H5" s="10">
        <v>100</v>
      </c>
      <c r="I5" s="10">
        <v>100</v>
      </c>
      <c r="W5" s="9" t="s">
        <v>19</v>
      </c>
      <c r="X5" s="10">
        <v>100</v>
      </c>
      <c r="Y5" s="10">
        <v>100</v>
      </c>
      <c r="Z5" s="10">
        <v>100</v>
      </c>
      <c r="AA5" s="10">
        <v>100</v>
      </c>
      <c r="AB5" s="10">
        <v>100</v>
      </c>
      <c r="AC5" s="10">
        <v>100</v>
      </c>
      <c r="AD5" s="10">
        <v>100</v>
      </c>
      <c r="AE5" s="10">
        <v>100</v>
      </c>
    </row>
    <row r="6" spans="1:31" outlineLevel="1" x14ac:dyDescent="0.25">
      <c r="B6" s="9" t="s">
        <v>20</v>
      </c>
      <c r="C6" s="10">
        <v>100</v>
      </c>
      <c r="D6" s="10">
        <v>100</v>
      </c>
      <c r="E6" s="10">
        <v>100</v>
      </c>
      <c r="F6" s="10">
        <v>100</v>
      </c>
      <c r="G6" s="10">
        <v>100</v>
      </c>
      <c r="H6" s="10">
        <v>100</v>
      </c>
      <c r="I6" s="10">
        <v>100</v>
      </c>
      <c r="W6" s="9" t="s">
        <v>20</v>
      </c>
      <c r="X6" s="10">
        <v>100</v>
      </c>
      <c r="Y6" s="10">
        <v>100</v>
      </c>
      <c r="Z6" s="10">
        <v>100</v>
      </c>
      <c r="AA6" s="10">
        <v>100</v>
      </c>
      <c r="AB6" s="10">
        <v>100</v>
      </c>
      <c r="AC6" s="10">
        <v>100</v>
      </c>
      <c r="AD6" s="10">
        <v>100</v>
      </c>
      <c r="AE6" s="10">
        <v>100</v>
      </c>
    </row>
    <row r="7" spans="1:31" outlineLevel="1" x14ac:dyDescent="0.25">
      <c r="B7" s="9" t="s">
        <v>21</v>
      </c>
      <c r="C7" s="10">
        <v>100</v>
      </c>
      <c r="D7" s="10">
        <v>100</v>
      </c>
      <c r="E7" s="10">
        <v>100</v>
      </c>
      <c r="F7" s="10">
        <v>100</v>
      </c>
      <c r="G7" s="10">
        <v>100</v>
      </c>
      <c r="H7" s="10">
        <v>100</v>
      </c>
      <c r="I7" s="10">
        <v>100</v>
      </c>
      <c r="W7" s="9" t="s">
        <v>21</v>
      </c>
      <c r="X7" s="10">
        <v>100</v>
      </c>
      <c r="Y7" s="10">
        <v>100</v>
      </c>
      <c r="Z7" s="10">
        <v>100</v>
      </c>
      <c r="AA7" s="10">
        <v>100</v>
      </c>
      <c r="AB7" s="10">
        <v>100</v>
      </c>
      <c r="AC7" s="10">
        <v>100</v>
      </c>
      <c r="AD7" s="10">
        <v>100</v>
      </c>
      <c r="AE7" s="10">
        <v>100</v>
      </c>
    </row>
    <row r="8" spans="1:31" outlineLevel="1" x14ac:dyDescent="0.25">
      <c r="B8" s="9" t="s">
        <v>43</v>
      </c>
      <c r="C8" s="10">
        <v>100</v>
      </c>
      <c r="D8" s="10">
        <v>100</v>
      </c>
      <c r="E8" s="10">
        <v>100</v>
      </c>
      <c r="F8" s="10">
        <v>100</v>
      </c>
      <c r="G8" s="10">
        <v>100</v>
      </c>
      <c r="H8" s="10">
        <v>100</v>
      </c>
      <c r="I8" s="10">
        <v>100</v>
      </c>
      <c r="W8" s="9" t="s">
        <v>43</v>
      </c>
      <c r="X8" s="10">
        <v>100</v>
      </c>
      <c r="Y8" s="10">
        <v>100</v>
      </c>
      <c r="Z8" s="10">
        <v>100</v>
      </c>
      <c r="AA8" s="10">
        <v>100</v>
      </c>
      <c r="AB8" s="10">
        <v>100</v>
      </c>
      <c r="AC8" s="10">
        <v>100</v>
      </c>
      <c r="AD8" s="10">
        <v>100</v>
      </c>
      <c r="AE8" s="10">
        <v>100</v>
      </c>
    </row>
    <row r="9" spans="1:31" outlineLevel="1" x14ac:dyDescent="0.25">
      <c r="B9" s="9" t="s">
        <v>23</v>
      </c>
      <c r="C9" s="10">
        <v>100</v>
      </c>
      <c r="D9" s="10">
        <v>100</v>
      </c>
      <c r="E9" s="10">
        <v>100</v>
      </c>
      <c r="F9" s="10">
        <v>100</v>
      </c>
      <c r="G9" s="10">
        <v>100</v>
      </c>
      <c r="H9" s="10">
        <v>100</v>
      </c>
      <c r="I9" s="10">
        <v>100</v>
      </c>
      <c r="W9" s="9" t="s">
        <v>23</v>
      </c>
      <c r="X9" s="10">
        <v>100</v>
      </c>
      <c r="Y9" s="10">
        <v>100</v>
      </c>
      <c r="Z9" s="10">
        <v>100</v>
      </c>
      <c r="AA9" s="10">
        <v>100</v>
      </c>
      <c r="AB9" s="10">
        <v>100</v>
      </c>
      <c r="AC9" s="10">
        <v>100</v>
      </c>
      <c r="AD9" s="10">
        <v>100</v>
      </c>
      <c r="AE9" s="10">
        <v>100</v>
      </c>
    </row>
    <row r="10" spans="1:31" outlineLevel="1" x14ac:dyDescent="0.25">
      <c r="B10" s="9"/>
      <c r="C10" s="10"/>
      <c r="D10" s="10"/>
      <c r="E10" s="10"/>
      <c r="F10" s="10"/>
      <c r="G10" s="10"/>
      <c r="H10" s="10"/>
      <c r="I10" s="10"/>
      <c r="W10" s="9"/>
      <c r="X10" s="10"/>
      <c r="Y10" s="10"/>
      <c r="Z10" s="10"/>
      <c r="AA10" s="10"/>
      <c r="AB10" s="10"/>
      <c r="AC10" s="10"/>
      <c r="AD10" s="10"/>
      <c r="AE10" s="10"/>
    </row>
    <row r="11" spans="1:31" outlineLevel="1" x14ac:dyDescent="0.25">
      <c r="A11" s="4"/>
      <c r="B11" s="9"/>
      <c r="C11" s="10"/>
      <c r="D11" s="10"/>
      <c r="E11" s="10"/>
      <c r="F11" s="10"/>
      <c r="G11" s="10"/>
      <c r="H11" s="10"/>
      <c r="I11" s="10"/>
      <c r="W11" s="9"/>
      <c r="X11" s="10"/>
      <c r="Y11" s="10"/>
      <c r="Z11" s="10"/>
      <c r="AA11" s="10"/>
      <c r="AB11" s="10"/>
      <c r="AC11" s="10"/>
      <c r="AD11" s="10"/>
      <c r="AE11" s="10"/>
    </row>
    <row r="12" spans="1:31" outlineLevel="1" x14ac:dyDescent="0.25">
      <c r="B12" s="9"/>
      <c r="C12" s="10"/>
      <c r="D12" s="10"/>
      <c r="E12" s="10"/>
      <c r="F12" s="10"/>
      <c r="G12" s="10"/>
      <c r="H12" s="10"/>
      <c r="I12" s="10"/>
      <c r="W12" s="9"/>
      <c r="X12" s="10"/>
      <c r="Y12" s="10"/>
      <c r="Z12" s="10"/>
      <c r="AA12" s="10"/>
      <c r="AB12" s="10"/>
      <c r="AC12" s="10"/>
      <c r="AD12" s="10"/>
      <c r="AE12" s="10"/>
    </row>
    <row r="13" spans="1:31" outlineLevel="1" x14ac:dyDescent="0.25">
      <c r="B13" s="3"/>
      <c r="C13" s="3"/>
      <c r="D13" s="3"/>
      <c r="E13" s="3"/>
      <c r="F13" s="3"/>
      <c r="G13" s="3"/>
      <c r="H13" s="3"/>
      <c r="I13" s="3"/>
    </row>
    <row r="14" spans="1:31" outlineLevel="1" x14ac:dyDescent="0.25">
      <c r="B14" s="3"/>
      <c r="C14" s="3"/>
      <c r="D14" s="3"/>
      <c r="E14" s="3"/>
      <c r="F14" s="3"/>
      <c r="G14" s="3"/>
      <c r="H14" s="3"/>
      <c r="I14" s="3"/>
    </row>
    <row r="15" spans="1:31" outlineLevel="1" x14ac:dyDescent="0.25"/>
    <row r="16" spans="1:31" outlineLevel="1" x14ac:dyDescent="0.25">
      <c r="A16" s="4"/>
      <c r="B16" s="8"/>
    </row>
    <row r="17" spans="2:20" outlineLevel="1" x14ac:dyDescent="0.25">
      <c r="B17" s="8"/>
      <c r="F17" s="15" t="s">
        <v>1</v>
      </c>
      <c r="G17" s="15" t="s">
        <v>2</v>
      </c>
      <c r="H17" s="15" t="s">
        <v>3</v>
      </c>
      <c r="I17" s="15" t="s">
        <v>4</v>
      </c>
      <c r="K17" s="15" t="s">
        <v>1</v>
      </c>
      <c r="L17" s="15" t="s">
        <v>2</v>
      </c>
      <c r="M17" s="15" t="s">
        <v>3</v>
      </c>
      <c r="N17" s="15" t="s">
        <v>4</v>
      </c>
      <c r="P17" s="15">
        <v>2028</v>
      </c>
      <c r="Q17" s="15">
        <v>2029</v>
      </c>
      <c r="R17" s="15">
        <v>2030</v>
      </c>
      <c r="S17" s="15">
        <v>2031</v>
      </c>
      <c r="T17" s="15">
        <v>2032</v>
      </c>
    </row>
    <row r="18" spans="2:20" ht="36" outlineLevel="2" x14ac:dyDescent="0.25">
      <c r="B18" s="9"/>
      <c r="C18" s="8"/>
      <c r="D18" s="8"/>
      <c r="F18" s="12" t="s">
        <v>44</v>
      </c>
      <c r="G18" s="12" t="s">
        <v>44</v>
      </c>
      <c r="H18" s="12" t="s">
        <v>44</v>
      </c>
      <c r="I18" s="12" t="s">
        <v>44</v>
      </c>
      <c r="K18" s="12" t="s">
        <v>44</v>
      </c>
      <c r="L18" s="12" t="s">
        <v>44</v>
      </c>
      <c r="M18" s="12" t="s">
        <v>44</v>
      </c>
      <c r="N18" s="12" t="s">
        <v>44</v>
      </c>
      <c r="P18" s="12" t="s">
        <v>44</v>
      </c>
      <c r="Q18" s="12" t="s">
        <v>44</v>
      </c>
      <c r="R18" s="12" t="s">
        <v>44</v>
      </c>
      <c r="S18" s="12" t="s">
        <v>44</v>
      </c>
      <c r="T18" s="12" t="s">
        <v>44</v>
      </c>
    </row>
    <row r="19" spans="2:20" outlineLevel="2" x14ac:dyDescent="0.25">
      <c r="B19" s="51" t="s">
        <v>19</v>
      </c>
      <c r="C19" s="8"/>
      <c r="D19" s="8"/>
      <c r="F19" s="47"/>
      <c r="G19" s="47"/>
      <c r="H19" s="47"/>
      <c r="I19" s="47"/>
      <c r="J19" s="60"/>
      <c r="K19" s="47"/>
      <c r="L19" s="47"/>
      <c r="M19" s="47"/>
      <c r="N19" s="47"/>
      <c r="O19" s="60"/>
      <c r="P19" s="47"/>
      <c r="Q19" s="47"/>
      <c r="R19" s="47"/>
      <c r="S19" s="47"/>
      <c r="T19" s="47"/>
    </row>
    <row r="20" spans="2:20" outlineLevel="2" x14ac:dyDescent="0.25">
      <c r="B20" s="51" t="s">
        <v>20</v>
      </c>
      <c r="C20" s="8"/>
      <c r="D20" s="8"/>
      <c r="F20" s="47"/>
      <c r="G20" s="47"/>
      <c r="H20" s="47"/>
      <c r="I20" s="47"/>
      <c r="J20" s="60"/>
      <c r="K20" s="47"/>
      <c r="L20" s="47"/>
      <c r="M20" s="47"/>
      <c r="N20" s="47"/>
      <c r="O20" s="60"/>
      <c r="P20" s="47"/>
      <c r="Q20" s="47"/>
      <c r="R20" s="47"/>
      <c r="S20" s="47"/>
      <c r="T20" s="47"/>
    </row>
    <row r="21" spans="2:20" outlineLevel="2" x14ac:dyDescent="0.25">
      <c r="B21" s="51" t="s">
        <v>21</v>
      </c>
      <c r="C21" s="8"/>
      <c r="D21" s="8"/>
      <c r="F21" s="47"/>
      <c r="G21" s="47"/>
      <c r="H21" s="47"/>
      <c r="I21" s="47"/>
      <c r="J21" s="60"/>
      <c r="K21" s="47"/>
      <c r="L21" s="47"/>
      <c r="M21" s="47"/>
      <c r="N21" s="47"/>
      <c r="O21" s="60"/>
      <c r="P21" s="47"/>
      <c r="Q21" s="47"/>
      <c r="R21" s="47"/>
      <c r="S21" s="47"/>
      <c r="T21" s="47"/>
    </row>
    <row r="22" spans="2:20" outlineLevel="2" x14ac:dyDescent="0.25"/>
    <row r="23" spans="2:20" ht="48" outlineLevel="2" x14ac:dyDescent="0.25">
      <c r="F23" s="12" t="s">
        <v>45</v>
      </c>
      <c r="G23" s="12" t="s">
        <v>45</v>
      </c>
      <c r="H23" s="12" t="s">
        <v>45</v>
      </c>
      <c r="I23" s="12" t="s">
        <v>45</v>
      </c>
      <c r="K23" s="12" t="s">
        <v>45</v>
      </c>
      <c r="L23" s="12" t="s">
        <v>45</v>
      </c>
      <c r="M23" s="12" t="s">
        <v>45</v>
      </c>
      <c r="N23" s="12" t="s">
        <v>45</v>
      </c>
      <c r="P23" s="12" t="s">
        <v>45</v>
      </c>
      <c r="Q23" s="12" t="s">
        <v>45</v>
      </c>
      <c r="R23" s="12" t="s">
        <v>45</v>
      </c>
      <c r="S23" s="12" t="s">
        <v>45</v>
      </c>
      <c r="T23" s="12" t="s">
        <v>45</v>
      </c>
    </row>
    <row r="24" spans="2:20" outlineLevel="2" x14ac:dyDescent="0.25">
      <c r="B24" s="51" t="s">
        <v>19</v>
      </c>
      <c r="F24" s="47"/>
      <c r="G24" s="47"/>
      <c r="H24" s="47"/>
      <c r="I24" s="47"/>
      <c r="J24" s="60"/>
      <c r="K24" s="47"/>
      <c r="L24" s="47"/>
      <c r="M24" s="47"/>
      <c r="N24" s="47"/>
      <c r="O24" s="60"/>
      <c r="P24" s="47"/>
      <c r="Q24" s="47"/>
      <c r="R24" s="47"/>
      <c r="S24" s="47"/>
      <c r="T24" s="47"/>
    </row>
    <row r="25" spans="2:20" outlineLevel="2" x14ac:dyDescent="0.25">
      <c r="B25" s="51" t="s">
        <v>20</v>
      </c>
      <c r="F25" s="47"/>
      <c r="G25" s="47"/>
      <c r="H25" s="47"/>
      <c r="I25" s="47"/>
      <c r="J25" s="60"/>
      <c r="K25" s="47"/>
      <c r="L25" s="47"/>
      <c r="M25" s="47"/>
      <c r="N25" s="47"/>
      <c r="O25" s="60"/>
      <c r="P25" s="47"/>
      <c r="Q25" s="47"/>
      <c r="R25" s="47"/>
      <c r="S25" s="47"/>
      <c r="T25" s="47"/>
    </row>
    <row r="26" spans="2:20" outlineLevel="2" x14ac:dyDescent="0.25">
      <c r="B26" s="51" t="s">
        <v>21</v>
      </c>
      <c r="F26" s="47"/>
      <c r="G26" s="47"/>
      <c r="H26" s="47"/>
      <c r="I26" s="47"/>
      <c r="J26" s="60"/>
      <c r="K26" s="47"/>
      <c r="L26" s="47"/>
      <c r="M26" s="47"/>
      <c r="N26" s="47"/>
      <c r="O26" s="60"/>
      <c r="P26" s="47"/>
      <c r="Q26" s="47"/>
      <c r="R26" s="47"/>
      <c r="S26" s="47"/>
      <c r="T26" s="47"/>
    </row>
    <row r="27" spans="2:20" outlineLevel="2" x14ac:dyDescent="0.25"/>
    <row r="28" spans="2:20" ht="36" outlineLevel="1" x14ac:dyDescent="0.25">
      <c r="F28" s="44" t="s">
        <v>46</v>
      </c>
      <c r="G28" s="44" t="s">
        <v>46</v>
      </c>
      <c r="H28" s="44" t="s">
        <v>46</v>
      </c>
      <c r="I28" s="44" t="s">
        <v>46</v>
      </c>
      <c r="K28" s="44" t="s">
        <v>46</v>
      </c>
      <c r="L28" s="44" t="s">
        <v>46</v>
      </c>
      <c r="M28" s="44" t="s">
        <v>46</v>
      </c>
      <c r="N28" s="44" t="s">
        <v>46</v>
      </c>
      <c r="P28" s="44" t="s">
        <v>46</v>
      </c>
      <c r="Q28" s="44" t="s">
        <v>46</v>
      </c>
      <c r="R28" s="44" t="s">
        <v>46</v>
      </c>
      <c r="S28" s="44" t="s">
        <v>46</v>
      </c>
      <c r="T28" s="44" t="s">
        <v>46</v>
      </c>
    </row>
    <row r="29" spans="2:20" outlineLevel="1" x14ac:dyDescent="0.25">
      <c r="B29" s="51" t="s">
        <v>19</v>
      </c>
      <c r="F29" s="61">
        <f>F19+F24</f>
        <v>0</v>
      </c>
      <c r="G29" s="61">
        <f t="shared" ref="G29:I29" si="0">G19+G24</f>
        <v>0</v>
      </c>
      <c r="H29" s="61">
        <f t="shared" si="0"/>
        <v>0</v>
      </c>
      <c r="I29" s="61">
        <f t="shared" si="0"/>
        <v>0</v>
      </c>
      <c r="J29" s="60"/>
      <c r="K29" s="61">
        <f t="shared" ref="K29:N29" si="1">K19+K24</f>
        <v>0</v>
      </c>
      <c r="L29" s="61">
        <f t="shared" si="1"/>
        <v>0</v>
      </c>
      <c r="M29" s="61">
        <f t="shared" si="1"/>
        <v>0</v>
      </c>
      <c r="N29" s="61">
        <f t="shared" si="1"/>
        <v>0</v>
      </c>
      <c r="O29" s="60"/>
      <c r="P29" s="61">
        <f t="shared" ref="P29:T29" si="2">P19+P24</f>
        <v>0</v>
      </c>
      <c r="Q29" s="61">
        <f t="shared" si="2"/>
        <v>0</v>
      </c>
      <c r="R29" s="61">
        <f t="shared" si="2"/>
        <v>0</v>
      </c>
      <c r="S29" s="61">
        <f t="shared" si="2"/>
        <v>0</v>
      </c>
      <c r="T29" s="61">
        <f t="shared" si="2"/>
        <v>0</v>
      </c>
    </row>
    <row r="30" spans="2:20" outlineLevel="1" x14ac:dyDescent="0.25">
      <c r="B30" s="51" t="s">
        <v>20</v>
      </c>
      <c r="F30" s="61">
        <f t="shared" ref="F30:I30" si="3">F20+F25</f>
        <v>0</v>
      </c>
      <c r="G30" s="61">
        <f t="shared" si="3"/>
        <v>0</v>
      </c>
      <c r="H30" s="61">
        <f t="shared" si="3"/>
        <v>0</v>
      </c>
      <c r="I30" s="61">
        <f t="shared" si="3"/>
        <v>0</v>
      </c>
      <c r="J30" s="60"/>
      <c r="K30" s="61">
        <f t="shared" ref="K30:N30" si="4">K20+K25</f>
        <v>0</v>
      </c>
      <c r="L30" s="61">
        <f t="shared" si="4"/>
        <v>0</v>
      </c>
      <c r="M30" s="61">
        <f t="shared" si="4"/>
        <v>0</v>
      </c>
      <c r="N30" s="61">
        <f t="shared" si="4"/>
        <v>0</v>
      </c>
      <c r="O30" s="60"/>
      <c r="P30" s="61">
        <f t="shared" ref="P30:T30" si="5">P20+P25</f>
        <v>0</v>
      </c>
      <c r="Q30" s="61">
        <f t="shared" si="5"/>
        <v>0</v>
      </c>
      <c r="R30" s="61">
        <f t="shared" si="5"/>
        <v>0</v>
      </c>
      <c r="S30" s="61">
        <f t="shared" si="5"/>
        <v>0</v>
      </c>
      <c r="T30" s="61">
        <f t="shared" si="5"/>
        <v>0</v>
      </c>
    </row>
    <row r="31" spans="2:20" outlineLevel="1" x14ac:dyDescent="0.25">
      <c r="B31" s="51" t="s">
        <v>21</v>
      </c>
      <c r="F31" s="61">
        <f t="shared" ref="F31:I31" si="6">F21+F26</f>
        <v>0</v>
      </c>
      <c r="G31" s="61">
        <f t="shared" si="6"/>
        <v>0</v>
      </c>
      <c r="H31" s="61">
        <f t="shared" si="6"/>
        <v>0</v>
      </c>
      <c r="I31" s="61">
        <f t="shared" si="6"/>
        <v>0</v>
      </c>
      <c r="J31" s="60"/>
      <c r="K31" s="61">
        <f t="shared" ref="K31:N31" si="7">K21+K26</f>
        <v>0</v>
      </c>
      <c r="L31" s="61">
        <f t="shared" si="7"/>
        <v>0</v>
      </c>
      <c r="M31" s="61">
        <f t="shared" si="7"/>
        <v>0</v>
      </c>
      <c r="N31" s="61">
        <f t="shared" si="7"/>
        <v>0</v>
      </c>
      <c r="O31" s="60"/>
      <c r="P31" s="61">
        <f t="shared" ref="P31:T31" si="8">P21+P26</f>
        <v>0</v>
      </c>
      <c r="Q31" s="61">
        <f t="shared" si="8"/>
        <v>0</v>
      </c>
      <c r="R31" s="61">
        <f t="shared" si="8"/>
        <v>0</v>
      </c>
      <c r="S31" s="61">
        <f t="shared" si="8"/>
        <v>0</v>
      </c>
      <c r="T31" s="61">
        <f t="shared" si="8"/>
        <v>0</v>
      </c>
    </row>
    <row r="32" spans="2:20" outlineLevel="1" x14ac:dyDescent="0.25"/>
    <row r="34" spans="2:20" x14ac:dyDescent="0.25">
      <c r="B34" s="4" t="s">
        <v>47</v>
      </c>
    </row>
    <row r="35" spans="2:20" x14ac:dyDescent="0.25">
      <c r="B35" t="s">
        <v>36</v>
      </c>
    </row>
    <row r="37" spans="2:20" x14ac:dyDescent="0.25">
      <c r="C37" s="20">
        <v>2023</v>
      </c>
      <c r="D37" s="20">
        <v>2024</v>
      </c>
      <c r="E37" s="20">
        <v>2025</v>
      </c>
      <c r="F37" s="21" t="s">
        <v>1</v>
      </c>
      <c r="G37" s="21" t="s">
        <v>2</v>
      </c>
      <c r="H37" s="21" t="s">
        <v>3</v>
      </c>
      <c r="I37" s="21" t="s">
        <v>4</v>
      </c>
      <c r="J37" s="21">
        <v>2026</v>
      </c>
      <c r="K37" s="22" t="s">
        <v>1</v>
      </c>
      <c r="L37" s="22" t="s">
        <v>2</v>
      </c>
      <c r="M37" s="22" t="s">
        <v>3</v>
      </c>
      <c r="N37" s="22" t="s">
        <v>4</v>
      </c>
      <c r="O37" s="23">
        <v>2027</v>
      </c>
      <c r="P37" s="24">
        <v>2028</v>
      </c>
      <c r="Q37" s="24">
        <v>2029</v>
      </c>
      <c r="R37" s="24">
        <v>2030</v>
      </c>
      <c r="S37" s="24">
        <v>2031</v>
      </c>
      <c r="T37" s="24">
        <v>2032</v>
      </c>
    </row>
    <row r="38" spans="2:20" x14ac:dyDescent="0.25">
      <c r="B38" s="5" t="s">
        <v>19</v>
      </c>
      <c r="C38" s="29">
        <f t="shared" ref="C38:E40" si="9">C6</f>
        <v>100</v>
      </c>
      <c r="D38" s="29">
        <f t="shared" si="9"/>
        <v>100</v>
      </c>
      <c r="E38" s="29">
        <f t="shared" si="9"/>
        <v>100</v>
      </c>
      <c r="F38" s="18">
        <f>F5*(1-F29)</f>
        <v>100</v>
      </c>
      <c r="G38" s="18">
        <f t="shared" ref="G38:I38" si="10">G5*(1-G29)</f>
        <v>100</v>
      </c>
      <c r="H38" s="18">
        <f t="shared" si="10"/>
        <v>100</v>
      </c>
      <c r="I38" s="18">
        <f t="shared" si="10"/>
        <v>100</v>
      </c>
      <c r="J38" s="25">
        <f>SUM(F38:I38)</f>
        <v>400</v>
      </c>
      <c r="K38" s="18">
        <f>I38*(1-K29)</f>
        <v>100</v>
      </c>
      <c r="L38" s="18">
        <f>K38*(1-L29)</f>
        <v>100</v>
      </c>
      <c r="M38" s="18">
        <f t="shared" ref="M38:N38" si="11">L38*(1-M29)</f>
        <v>100</v>
      </c>
      <c r="N38" s="18">
        <f t="shared" si="11"/>
        <v>100</v>
      </c>
      <c r="O38" s="30">
        <f>SUM(K38:N38)</f>
        <v>400</v>
      </c>
      <c r="P38" s="31">
        <f>O38*(1-P29)</f>
        <v>400</v>
      </c>
      <c r="Q38" s="31">
        <f>P38*(1-Q29)</f>
        <v>400</v>
      </c>
      <c r="R38" s="31">
        <f t="shared" ref="R38:T38" si="12">Q38*(1-R29)</f>
        <v>400</v>
      </c>
      <c r="S38" s="31">
        <f t="shared" si="12"/>
        <v>400</v>
      </c>
      <c r="T38" s="31">
        <f t="shared" si="12"/>
        <v>400</v>
      </c>
    </row>
    <row r="39" spans="2:20" x14ac:dyDescent="0.25">
      <c r="B39" s="5" t="s">
        <v>20</v>
      </c>
      <c r="C39" s="29">
        <f t="shared" si="9"/>
        <v>100</v>
      </c>
      <c r="D39" s="29">
        <f t="shared" si="9"/>
        <v>100</v>
      </c>
      <c r="E39" s="29">
        <f t="shared" si="9"/>
        <v>100</v>
      </c>
      <c r="F39" s="18">
        <f t="shared" ref="F39:I40" si="13">F6*(1-F30)</f>
        <v>100</v>
      </c>
      <c r="G39" s="18">
        <f t="shared" si="13"/>
        <v>100</v>
      </c>
      <c r="H39" s="18">
        <f t="shared" si="13"/>
        <v>100</v>
      </c>
      <c r="I39" s="18">
        <f t="shared" si="13"/>
        <v>100</v>
      </c>
      <c r="J39" s="25">
        <f>SUM(F39:I39)</f>
        <v>400</v>
      </c>
      <c r="K39" s="18">
        <f t="shared" ref="K39:K40" si="14">I39*(1-K30)</f>
        <v>100</v>
      </c>
      <c r="L39" s="18">
        <f t="shared" ref="L39:N40" si="15">K39*(1-L30)</f>
        <v>100</v>
      </c>
      <c r="M39" s="18">
        <f t="shared" si="15"/>
        <v>100</v>
      </c>
      <c r="N39" s="18">
        <f t="shared" si="15"/>
        <v>100</v>
      </c>
      <c r="O39" s="30">
        <f>SUM(K39:N39)</f>
        <v>400</v>
      </c>
      <c r="P39" s="31">
        <f t="shared" ref="P39:T40" si="16">O39*(1-P30)</f>
        <v>400</v>
      </c>
      <c r="Q39" s="31">
        <f t="shared" si="16"/>
        <v>400</v>
      </c>
      <c r="R39" s="31">
        <f t="shared" si="16"/>
        <v>400</v>
      </c>
      <c r="S39" s="31">
        <f t="shared" si="16"/>
        <v>400</v>
      </c>
      <c r="T39" s="31">
        <f t="shared" si="16"/>
        <v>400</v>
      </c>
    </row>
    <row r="40" spans="2:20" x14ac:dyDescent="0.25">
      <c r="B40" s="5" t="s">
        <v>21</v>
      </c>
      <c r="C40" s="29">
        <f t="shared" si="9"/>
        <v>100</v>
      </c>
      <c r="D40" s="29">
        <f t="shared" si="9"/>
        <v>100</v>
      </c>
      <c r="E40" s="29">
        <f t="shared" si="9"/>
        <v>100</v>
      </c>
      <c r="F40" s="18">
        <f t="shared" si="13"/>
        <v>100</v>
      </c>
      <c r="G40" s="18">
        <f t="shared" si="13"/>
        <v>100</v>
      </c>
      <c r="H40" s="18">
        <f t="shared" si="13"/>
        <v>100</v>
      </c>
      <c r="I40" s="18">
        <f t="shared" si="13"/>
        <v>100</v>
      </c>
      <c r="J40" s="25">
        <f>SUM(F40:I40)</f>
        <v>400</v>
      </c>
      <c r="K40" s="18">
        <f t="shared" si="14"/>
        <v>100</v>
      </c>
      <c r="L40" s="18">
        <f t="shared" si="15"/>
        <v>100</v>
      </c>
      <c r="M40" s="18">
        <f t="shared" si="15"/>
        <v>100</v>
      </c>
      <c r="N40" s="18">
        <f t="shared" si="15"/>
        <v>100</v>
      </c>
      <c r="O40" s="30">
        <f>SUM(K40:N40)</f>
        <v>400</v>
      </c>
      <c r="P40" s="31">
        <f t="shared" si="16"/>
        <v>400</v>
      </c>
      <c r="Q40" s="31">
        <f t="shared" si="16"/>
        <v>400</v>
      </c>
      <c r="R40" s="31">
        <f t="shared" si="16"/>
        <v>400</v>
      </c>
      <c r="S40" s="31">
        <f t="shared" si="16"/>
        <v>400</v>
      </c>
      <c r="T40" s="31">
        <f t="shared" si="16"/>
        <v>400</v>
      </c>
    </row>
    <row r="41" spans="2:20" ht="15.75" thickBot="1" x14ac:dyDescent="0.3">
      <c r="B41" s="16" t="s">
        <v>48</v>
      </c>
      <c r="C41" s="17">
        <f t="shared" ref="C41:T41" si="17">SUM(C38:C40)</f>
        <v>300</v>
      </c>
      <c r="D41" s="17">
        <f t="shared" si="17"/>
        <v>300</v>
      </c>
      <c r="E41" s="17">
        <f t="shared" si="17"/>
        <v>300</v>
      </c>
      <c r="F41" s="19">
        <f t="shared" si="17"/>
        <v>300</v>
      </c>
      <c r="G41" s="19">
        <f t="shared" si="17"/>
        <v>300</v>
      </c>
      <c r="H41" s="19">
        <f t="shared" si="17"/>
        <v>300</v>
      </c>
      <c r="I41" s="19">
        <f t="shared" si="17"/>
        <v>300</v>
      </c>
      <c r="J41" s="26">
        <f t="shared" si="17"/>
        <v>1200</v>
      </c>
      <c r="K41" s="19">
        <f t="shared" si="17"/>
        <v>300</v>
      </c>
      <c r="L41" s="19">
        <f t="shared" si="17"/>
        <v>300</v>
      </c>
      <c r="M41" s="19">
        <f t="shared" si="17"/>
        <v>300</v>
      </c>
      <c r="N41" s="19">
        <f t="shared" si="17"/>
        <v>300</v>
      </c>
      <c r="O41" s="27">
        <f t="shared" si="17"/>
        <v>1200</v>
      </c>
      <c r="P41" s="28">
        <f t="shared" si="17"/>
        <v>1200</v>
      </c>
      <c r="Q41" s="28">
        <f t="shared" si="17"/>
        <v>1200</v>
      </c>
      <c r="R41" s="28">
        <f t="shared" si="17"/>
        <v>1200</v>
      </c>
      <c r="S41" s="28">
        <f t="shared" si="17"/>
        <v>1200</v>
      </c>
      <c r="T41" s="28">
        <f t="shared" si="17"/>
        <v>1200</v>
      </c>
    </row>
    <row r="42" spans="2:20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49057-B5B0-4F80-AD75-2E5DF58A1100}">
  <sheetPr>
    <tabColor rgb="FF0070C0"/>
  </sheetPr>
  <dimension ref="B3:T60"/>
  <sheetViews>
    <sheetView showGridLines="0" zoomScaleNormal="100" workbookViewId="0">
      <pane ySplit="6" topLeftCell="A7" activePane="bottomLeft" state="frozen"/>
      <selection pane="bottomLeft" activeCell="B4" sqref="B4"/>
    </sheetView>
  </sheetViews>
  <sheetFormatPr defaultRowHeight="15" outlineLevelCol="1" x14ac:dyDescent="0.25"/>
  <cols>
    <col min="2" max="2" width="32.5703125" customWidth="1"/>
    <col min="6" max="9" width="9.140625" outlineLevel="1"/>
    <col min="11" max="14" width="9.140625" outlineLevel="1"/>
  </cols>
  <sheetData>
    <row r="3" spans="2:20" x14ac:dyDescent="0.25">
      <c r="B3" s="4" t="s">
        <v>92</v>
      </c>
    </row>
    <row r="4" spans="2:20" x14ac:dyDescent="0.25">
      <c r="B4" s="58" t="s">
        <v>0</v>
      </c>
    </row>
    <row r="6" spans="2:20" x14ac:dyDescent="0.25">
      <c r="C6" s="20">
        <v>2023</v>
      </c>
      <c r="D6" s="20">
        <v>2024</v>
      </c>
      <c r="E6" s="20">
        <v>2025</v>
      </c>
      <c r="F6" s="21" t="s">
        <v>1</v>
      </c>
      <c r="G6" s="21" t="s">
        <v>2</v>
      </c>
      <c r="H6" s="21" t="s">
        <v>3</v>
      </c>
      <c r="I6" s="21" t="s">
        <v>4</v>
      </c>
      <c r="J6" s="21">
        <v>2026</v>
      </c>
      <c r="K6" s="22" t="s">
        <v>1</v>
      </c>
      <c r="L6" s="22" t="s">
        <v>2</v>
      </c>
      <c r="M6" s="22" t="s">
        <v>3</v>
      </c>
      <c r="N6" s="22" t="s">
        <v>4</v>
      </c>
      <c r="O6" s="23">
        <v>2027</v>
      </c>
      <c r="P6" s="24">
        <v>2028</v>
      </c>
      <c r="Q6" s="24">
        <v>2029</v>
      </c>
      <c r="R6" s="24">
        <v>2030</v>
      </c>
      <c r="S6" s="24">
        <v>2031</v>
      </c>
      <c r="T6" s="24">
        <v>2032</v>
      </c>
    </row>
    <row r="7" spans="2:20" x14ac:dyDescent="0.25">
      <c r="B7" s="4" t="s">
        <v>49</v>
      </c>
      <c r="C7" s="29">
        <f>'P&amp;L'!C37</f>
        <v>100</v>
      </c>
      <c r="D7" s="29">
        <f>'P&amp;L'!D37</f>
        <v>300</v>
      </c>
      <c r="E7" s="29">
        <f>'P&amp;L'!E37</f>
        <v>-100</v>
      </c>
      <c r="F7" s="18">
        <f>'P&amp;L'!F37</f>
        <v>210</v>
      </c>
      <c r="G7" s="18">
        <f>'P&amp;L'!G37</f>
        <v>10</v>
      </c>
      <c r="H7" s="18">
        <f>'P&amp;L'!H37</f>
        <v>210</v>
      </c>
      <c r="I7" s="18">
        <f>'P&amp;L'!I37</f>
        <v>210</v>
      </c>
      <c r="J7" s="25">
        <f>'P&amp;L'!J37</f>
        <v>640</v>
      </c>
      <c r="K7" s="18">
        <f>'P&amp;L'!K37</f>
        <v>200</v>
      </c>
      <c r="L7" s="18">
        <f>'P&amp;L'!L37</f>
        <v>200</v>
      </c>
      <c r="M7" s="18">
        <f>'P&amp;L'!M37</f>
        <v>200</v>
      </c>
      <c r="N7" s="18">
        <f>'P&amp;L'!N37</f>
        <v>200</v>
      </c>
      <c r="O7" s="63">
        <f>'P&amp;L'!O37</f>
        <v>800</v>
      </c>
      <c r="P7" s="64">
        <f>'P&amp;L'!P37</f>
        <v>800</v>
      </c>
      <c r="Q7" s="64">
        <f>'P&amp;L'!Q37</f>
        <v>800</v>
      </c>
      <c r="R7" s="64">
        <f>'P&amp;L'!R37</f>
        <v>800</v>
      </c>
      <c r="S7" s="64">
        <f>'P&amp;L'!S37</f>
        <v>800</v>
      </c>
      <c r="T7" s="64">
        <f>'P&amp;L'!T37</f>
        <v>800</v>
      </c>
    </row>
    <row r="9" spans="2:20" x14ac:dyDescent="0.25">
      <c r="B9" s="57" t="s">
        <v>50</v>
      </c>
      <c r="C9" s="29">
        <f>'Impact to Cash'!C57</f>
        <v>0</v>
      </c>
      <c r="D9" s="29">
        <f>'Impact to Cash'!D57</f>
        <v>0</v>
      </c>
      <c r="E9" s="29">
        <f>'Impact to Cash'!E57</f>
        <v>0</v>
      </c>
      <c r="F9" s="18">
        <f>'Impact to Cash'!F57</f>
        <v>0</v>
      </c>
      <c r="G9" s="18">
        <f>'Impact to Cash'!G57</f>
        <v>0</v>
      </c>
      <c r="H9" s="18">
        <f>'Impact to Cash'!H57</f>
        <v>0</v>
      </c>
      <c r="I9" s="18">
        <f>'Impact to Cash'!I57</f>
        <v>0</v>
      </c>
      <c r="J9" s="25">
        <f>'Impact to Cash'!J57</f>
        <v>0</v>
      </c>
      <c r="K9" s="18">
        <f>'Impact to Cash'!K57</f>
        <v>0</v>
      </c>
      <c r="L9" s="18">
        <f>'Impact to Cash'!L57</f>
        <v>0</v>
      </c>
      <c r="M9" s="18">
        <f>'Impact to Cash'!M57</f>
        <v>0</v>
      </c>
      <c r="N9" s="18">
        <f>'Impact to Cash'!N57</f>
        <v>0</v>
      </c>
      <c r="O9" s="63">
        <f>'Impact to Cash'!O57</f>
        <v>0</v>
      </c>
      <c r="P9" s="64">
        <f>'Impact to Cash'!P57</f>
        <v>0</v>
      </c>
      <c r="Q9" s="64">
        <f>'Impact to Cash'!Q57</f>
        <v>0</v>
      </c>
      <c r="R9" s="64">
        <f>'Impact to Cash'!R57</f>
        <v>0</v>
      </c>
      <c r="S9" s="64">
        <f>'Impact to Cash'!S57</f>
        <v>0</v>
      </c>
      <c r="T9" s="64">
        <f>'Impact to Cash'!T57</f>
        <v>0</v>
      </c>
    </row>
    <row r="10" spans="2:20" x14ac:dyDescent="0.25">
      <c r="B10" s="57" t="s">
        <v>51</v>
      </c>
      <c r="C10" s="29">
        <f>'Impact to Cash'!C55</f>
        <v>0</v>
      </c>
      <c r="D10" s="29">
        <f>'Impact to Cash'!D55</f>
        <v>0</v>
      </c>
      <c r="E10" s="29">
        <v>0</v>
      </c>
      <c r="F10" s="18">
        <f>'Impact to Cash'!F55</f>
        <v>0</v>
      </c>
      <c r="G10" s="18">
        <f>'Impact to Cash'!G55</f>
        <v>0</v>
      </c>
      <c r="H10" s="18">
        <f>'Impact to Cash'!H55</f>
        <v>0</v>
      </c>
      <c r="I10" s="18">
        <f>'Impact to Cash'!I55</f>
        <v>0</v>
      </c>
      <c r="J10" s="25">
        <f>'Impact to Cash'!J55</f>
        <v>0</v>
      </c>
      <c r="K10" s="18">
        <f>'Impact to Cash'!K55</f>
        <v>0</v>
      </c>
      <c r="L10" s="18">
        <f>'Impact to Cash'!L55</f>
        <v>0</v>
      </c>
      <c r="M10" s="18">
        <f>'Impact to Cash'!M55</f>
        <v>0</v>
      </c>
      <c r="N10" s="18">
        <f>'Impact to Cash'!N55</f>
        <v>0</v>
      </c>
      <c r="O10" s="63">
        <f>'Impact to Cash'!O55</f>
        <v>0</v>
      </c>
      <c r="P10" s="64">
        <f>'Impact to Cash'!P55</f>
        <v>0</v>
      </c>
      <c r="Q10" s="64">
        <f>'Impact to Cash'!Q55</f>
        <v>0</v>
      </c>
      <c r="R10" s="64">
        <f>'Impact to Cash'!R55</f>
        <v>0</v>
      </c>
      <c r="S10" s="64">
        <f>'Impact to Cash'!S55</f>
        <v>0</v>
      </c>
      <c r="T10" s="64">
        <f>'Impact to Cash'!T55</f>
        <v>0</v>
      </c>
    </row>
    <row r="12" spans="2:20" x14ac:dyDescent="0.25">
      <c r="B12" s="4" t="s">
        <v>52</v>
      </c>
      <c r="C12" s="29">
        <f t="shared" ref="C12:T12" si="0">C7+SUM(C9:C10)</f>
        <v>100</v>
      </c>
      <c r="D12" s="29">
        <f t="shared" si="0"/>
        <v>300</v>
      </c>
      <c r="E12" s="29">
        <f t="shared" si="0"/>
        <v>-100</v>
      </c>
      <c r="F12" s="18">
        <f t="shared" si="0"/>
        <v>210</v>
      </c>
      <c r="G12" s="18">
        <f t="shared" si="0"/>
        <v>10</v>
      </c>
      <c r="H12" s="18">
        <f t="shared" si="0"/>
        <v>210</v>
      </c>
      <c r="I12" s="18">
        <f t="shared" si="0"/>
        <v>210</v>
      </c>
      <c r="J12" s="25">
        <f t="shared" si="0"/>
        <v>640</v>
      </c>
      <c r="K12" s="18">
        <f t="shared" si="0"/>
        <v>200</v>
      </c>
      <c r="L12" s="18">
        <f t="shared" si="0"/>
        <v>200</v>
      </c>
      <c r="M12" s="18">
        <f t="shared" si="0"/>
        <v>200</v>
      </c>
      <c r="N12" s="18">
        <f t="shared" si="0"/>
        <v>200</v>
      </c>
      <c r="O12" s="63">
        <f t="shared" si="0"/>
        <v>800</v>
      </c>
      <c r="P12" s="64">
        <f t="shared" si="0"/>
        <v>800</v>
      </c>
      <c r="Q12" s="64">
        <f t="shared" si="0"/>
        <v>800</v>
      </c>
      <c r="R12" s="64">
        <f t="shared" si="0"/>
        <v>800</v>
      </c>
      <c r="S12" s="64">
        <f t="shared" si="0"/>
        <v>800</v>
      </c>
      <c r="T12" s="64">
        <f t="shared" si="0"/>
        <v>800</v>
      </c>
    </row>
    <row r="14" spans="2:20" x14ac:dyDescent="0.25">
      <c r="B14" s="57" t="s">
        <v>53</v>
      </c>
      <c r="C14" s="29">
        <f>'Impact to Cash'!C56</f>
        <v>0</v>
      </c>
      <c r="D14" s="29">
        <f>'Impact to Cash'!D56</f>
        <v>0</v>
      </c>
      <c r="E14" s="29">
        <f>'Impact to Cash'!E56</f>
        <v>0</v>
      </c>
      <c r="F14" s="18">
        <f>'Impact to Cash'!F56</f>
        <v>0</v>
      </c>
      <c r="G14" s="18">
        <f>'Impact to Cash'!G56</f>
        <v>0</v>
      </c>
      <c r="H14" s="18">
        <f>'Impact to Cash'!H56</f>
        <v>0</v>
      </c>
      <c r="I14" s="18">
        <f>'Impact to Cash'!I56</f>
        <v>0</v>
      </c>
      <c r="J14" s="25">
        <f>'Impact to Cash'!J56</f>
        <v>0</v>
      </c>
      <c r="K14" s="18">
        <f>'Impact to Cash'!K56</f>
        <v>0</v>
      </c>
      <c r="L14" s="18">
        <f>'Impact to Cash'!L56</f>
        <v>0</v>
      </c>
      <c r="M14" s="18">
        <f>'Impact to Cash'!M56</f>
        <v>0</v>
      </c>
      <c r="N14" s="18">
        <f>'Impact to Cash'!N56</f>
        <v>0</v>
      </c>
      <c r="O14" s="63">
        <f>'Impact to Cash'!O56</f>
        <v>0</v>
      </c>
      <c r="P14" s="64">
        <f>'Impact to Cash'!P56</f>
        <v>0</v>
      </c>
      <c r="Q14" s="64">
        <f>'Impact to Cash'!Q56</f>
        <v>0</v>
      </c>
      <c r="R14" s="64">
        <f>'Impact to Cash'!R56</f>
        <v>0</v>
      </c>
      <c r="S14" s="64">
        <f>'Impact to Cash'!S56</f>
        <v>0</v>
      </c>
      <c r="T14" s="64">
        <f>'Impact to Cash'!T56</f>
        <v>0</v>
      </c>
    </row>
    <row r="16" spans="2:20" x14ac:dyDescent="0.25">
      <c r="B16" s="4" t="s">
        <v>54</v>
      </c>
      <c r="C16" s="29">
        <f>SUM(C14)</f>
        <v>0</v>
      </c>
      <c r="D16" s="29">
        <f t="shared" ref="D16:T16" si="1">SUM(D14)</f>
        <v>0</v>
      </c>
      <c r="E16" s="29">
        <f t="shared" si="1"/>
        <v>0</v>
      </c>
      <c r="F16" s="18">
        <f t="shared" si="1"/>
        <v>0</v>
      </c>
      <c r="G16" s="18">
        <f t="shared" si="1"/>
        <v>0</v>
      </c>
      <c r="H16" s="18">
        <f t="shared" si="1"/>
        <v>0</v>
      </c>
      <c r="I16" s="18">
        <f t="shared" si="1"/>
        <v>0</v>
      </c>
      <c r="J16" s="25">
        <f t="shared" si="1"/>
        <v>0</v>
      </c>
      <c r="K16" s="18">
        <f t="shared" si="1"/>
        <v>0</v>
      </c>
      <c r="L16" s="18">
        <f t="shared" si="1"/>
        <v>0</v>
      </c>
      <c r="M16" s="18">
        <f t="shared" si="1"/>
        <v>0</v>
      </c>
      <c r="N16" s="18">
        <f t="shared" si="1"/>
        <v>0</v>
      </c>
      <c r="O16" s="63">
        <f t="shared" si="1"/>
        <v>0</v>
      </c>
      <c r="P16" s="64">
        <f t="shared" si="1"/>
        <v>0</v>
      </c>
      <c r="Q16" s="64">
        <f t="shared" si="1"/>
        <v>0</v>
      </c>
      <c r="R16" s="64">
        <f t="shared" si="1"/>
        <v>0</v>
      </c>
      <c r="S16" s="64">
        <f t="shared" si="1"/>
        <v>0</v>
      </c>
      <c r="T16" s="64">
        <f t="shared" si="1"/>
        <v>0</v>
      </c>
    </row>
    <row r="18" spans="2:20" x14ac:dyDescent="0.25">
      <c r="B18" s="4" t="s">
        <v>55</v>
      </c>
      <c r="C18" s="29">
        <f>C12+C16</f>
        <v>100</v>
      </c>
      <c r="D18" s="29">
        <f t="shared" ref="D18:T18" si="2">D12+D16</f>
        <v>300</v>
      </c>
      <c r="E18" s="29">
        <f t="shared" si="2"/>
        <v>-100</v>
      </c>
      <c r="F18" s="18">
        <f t="shared" si="2"/>
        <v>210</v>
      </c>
      <c r="G18" s="18">
        <f t="shared" si="2"/>
        <v>10</v>
      </c>
      <c r="H18" s="18">
        <f t="shared" si="2"/>
        <v>210</v>
      </c>
      <c r="I18" s="18">
        <f t="shared" si="2"/>
        <v>210</v>
      </c>
      <c r="J18" s="25">
        <f t="shared" si="2"/>
        <v>640</v>
      </c>
      <c r="K18" s="18">
        <f t="shared" si="2"/>
        <v>200</v>
      </c>
      <c r="L18" s="18">
        <f t="shared" si="2"/>
        <v>200</v>
      </c>
      <c r="M18" s="18">
        <f t="shared" si="2"/>
        <v>200</v>
      </c>
      <c r="N18" s="18">
        <f t="shared" si="2"/>
        <v>200</v>
      </c>
      <c r="O18" s="63">
        <f t="shared" si="2"/>
        <v>800</v>
      </c>
      <c r="P18" s="64">
        <f t="shared" si="2"/>
        <v>800</v>
      </c>
      <c r="Q18" s="64">
        <f t="shared" si="2"/>
        <v>800</v>
      </c>
      <c r="R18" s="64">
        <f t="shared" si="2"/>
        <v>800</v>
      </c>
      <c r="S18" s="64">
        <f t="shared" si="2"/>
        <v>800</v>
      </c>
      <c r="T18" s="64">
        <f t="shared" si="2"/>
        <v>800</v>
      </c>
    </row>
    <row r="20" spans="2:20" x14ac:dyDescent="0.25">
      <c r="B20" s="4" t="s">
        <v>56</v>
      </c>
      <c r="C20" s="66"/>
      <c r="D20" s="66"/>
      <c r="E20" s="66">
        <f>D21</f>
        <v>300</v>
      </c>
      <c r="F20" s="67">
        <f>E21</f>
        <v>230</v>
      </c>
      <c r="G20" s="67">
        <f>F21</f>
        <v>440</v>
      </c>
      <c r="H20" s="67">
        <f>G21</f>
        <v>450</v>
      </c>
      <c r="I20" s="67">
        <f>H21</f>
        <v>660</v>
      </c>
      <c r="J20" s="68">
        <f>F20</f>
        <v>230</v>
      </c>
      <c r="K20" s="67">
        <f>I21</f>
        <v>870</v>
      </c>
      <c r="L20" s="67">
        <f>K21</f>
        <v>1070</v>
      </c>
      <c r="M20" s="67">
        <f>L21</f>
        <v>1270</v>
      </c>
      <c r="N20" s="67">
        <f>M21</f>
        <v>1470</v>
      </c>
      <c r="O20" s="69">
        <f>K20</f>
        <v>870</v>
      </c>
      <c r="P20" s="70">
        <f>O21</f>
        <v>1670</v>
      </c>
      <c r="Q20" s="70">
        <f t="shared" ref="Q20:T20" si="3">P21</f>
        <v>2470</v>
      </c>
      <c r="R20" s="70">
        <f t="shared" si="3"/>
        <v>3270</v>
      </c>
      <c r="S20" s="70">
        <f t="shared" si="3"/>
        <v>4070</v>
      </c>
      <c r="T20" s="70">
        <f t="shared" si="3"/>
        <v>4870</v>
      </c>
    </row>
    <row r="21" spans="2:20" ht="15.75" thickBot="1" x14ac:dyDescent="0.3">
      <c r="B21" s="4" t="s">
        <v>57</v>
      </c>
      <c r="C21" s="72">
        <f>C20+C18</f>
        <v>100</v>
      </c>
      <c r="D21" s="72">
        <f t="shared" ref="D21:T21" si="4">D20+D18</f>
        <v>300</v>
      </c>
      <c r="E21" s="72">
        <v>230</v>
      </c>
      <c r="F21" s="19">
        <f t="shared" si="4"/>
        <v>440</v>
      </c>
      <c r="G21" s="19">
        <f t="shared" si="4"/>
        <v>450</v>
      </c>
      <c r="H21" s="19">
        <f t="shared" si="4"/>
        <v>660</v>
      </c>
      <c r="I21" s="19">
        <f t="shared" si="4"/>
        <v>870</v>
      </c>
      <c r="J21" s="26">
        <f t="shared" si="4"/>
        <v>870</v>
      </c>
      <c r="K21" s="19">
        <f t="shared" si="4"/>
        <v>1070</v>
      </c>
      <c r="L21" s="19">
        <f t="shared" si="4"/>
        <v>1270</v>
      </c>
      <c r="M21" s="19">
        <f t="shared" si="4"/>
        <v>1470</v>
      </c>
      <c r="N21" s="19">
        <f t="shared" si="4"/>
        <v>1670</v>
      </c>
      <c r="O21" s="79">
        <f t="shared" si="4"/>
        <v>1670</v>
      </c>
      <c r="P21" s="78">
        <f t="shared" si="4"/>
        <v>2470</v>
      </c>
      <c r="Q21" s="78">
        <f t="shared" si="4"/>
        <v>3270</v>
      </c>
      <c r="R21" s="78">
        <f t="shared" si="4"/>
        <v>4070</v>
      </c>
      <c r="S21" s="78">
        <f t="shared" si="4"/>
        <v>4870</v>
      </c>
      <c r="T21" s="78">
        <f t="shared" si="4"/>
        <v>5670</v>
      </c>
    </row>
    <row r="22" spans="2:20" ht="15.75" thickTop="1" x14ac:dyDescent="0.25"/>
    <row r="45" spans="2:3" x14ac:dyDescent="0.25">
      <c r="B45" t="s">
        <v>58</v>
      </c>
    </row>
    <row r="46" spans="2:3" x14ac:dyDescent="0.25">
      <c r="B46" s="54" t="s">
        <v>49</v>
      </c>
      <c r="C46" s="54"/>
    </row>
    <row r="47" spans="2:3" x14ac:dyDescent="0.25">
      <c r="B47" t="s">
        <v>59</v>
      </c>
    </row>
    <row r="48" spans="2:3" x14ac:dyDescent="0.25">
      <c r="B48" t="s">
        <v>60</v>
      </c>
    </row>
    <row r="49" spans="2:3" x14ac:dyDescent="0.25">
      <c r="B49" s="54" t="s">
        <v>61</v>
      </c>
      <c r="C49" s="54">
        <f>SUM(C47:C48)</f>
        <v>0</v>
      </c>
    </row>
    <row r="50" spans="2:3" x14ac:dyDescent="0.25">
      <c r="B50" t="s">
        <v>53</v>
      </c>
    </row>
    <row r="51" spans="2:3" x14ac:dyDescent="0.25">
      <c r="B51" t="s">
        <v>62</v>
      </c>
    </row>
    <row r="52" spans="2:3" x14ac:dyDescent="0.25">
      <c r="B52" t="s">
        <v>63</v>
      </c>
    </row>
    <row r="53" spans="2:3" x14ac:dyDescent="0.25">
      <c r="B53" s="54" t="s">
        <v>64</v>
      </c>
      <c r="C53" s="54">
        <f>SUM(C50:C52)</f>
        <v>0</v>
      </c>
    </row>
    <row r="54" spans="2:3" x14ac:dyDescent="0.25">
      <c r="B54" t="s">
        <v>65</v>
      </c>
    </row>
    <row r="55" spans="2:3" x14ac:dyDescent="0.25">
      <c r="B55" t="s">
        <v>66</v>
      </c>
    </row>
    <row r="56" spans="2:3" x14ac:dyDescent="0.25">
      <c r="B56" t="s">
        <v>67</v>
      </c>
    </row>
    <row r="57" spans="2:3" x14ac:dyDescent="0.25">
      <c r="B57" s="54" t="s">
        <v>68</v>
      </c>
      <c r="C57" s="54">
        <f>SUM(C54:C56)</f>
        <v>0</v>
      </c>
    </row>
    <row r="58" spans="2:3" x14ac:dyDescent="0.25">
      <c r="B58" s="55" t="s">
        <v>55</v>
      </c>
      <c r="C58" s="55">
        <f>C49+C53+C57</f>
        <v>0</v>
      </c>
    </row>
    <row r="59" spans="2:3" x14ac:dyDescent="0.25">
      <c r="B59" s="54" t="s">
        <v>56</v>
      </c>
      <c r="C59" s="54"/>
    </row>
    <row r="60" spans="2:3" x14ac:dyDescent="0.25">
      <c r="B60" s="54" t="s">
        <v>57</v>
      </c>
      <c r="C60" s="54">
        <f>C59+C58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6BFB-8978-4B4F-8692-F8081134EE23}">
  <sheetPr>
    <tabColor theme="9" tint="0.79998168889431442"/>
  </sheetPr>
  <dimension ref="B1:AH57"/>
  <sheetViews>
    <sheetView showGridLines="0" zoomScaleNormal="100" workbookViewId="0">
      <selection activeCell="R25" sqref="R25"/>
    </sheetView>
  </sheetViews>
  <sheetFormatPr defaultRowHeight="15" outlineLevelRow="2" outlineLevelCol="1" x14ac:dyDescent="0.25"/>
  <cols>
    <col min="1" max="1" width="6.28515625" customWidth="1"/>
    <col min="2" max="2" width="29.28515625" bestFit="1" customWidth="1"/>
    <col min="3" max="3" width="10.42578125" customWidth="1"/>
    <col min="6" max="9" width="8.7109375" outlineLevel="1"/>
    <col min="10" max="10" width="10.5703125" bestFit="1" customWidth="1"/>
    <col min="11" max="14" width="8.7109375" outlineLevel="1"/>
  </cols>
  <sheetData>
    <row r="1" spans="2:34" outlineLevel="1" x14ac:dyDescent="0.25">
      <c r="C1" s="15">
        <v>2023</v>
      </c>
      <c r="D1" s="15">
        <v>2024</v>
      </c>
      <c r="E1" s="15">
        <v>2025</v>
      </c>
      <c r="F1" s="15" t="s">
        <v>1</v>
      </c>
      <c r="G1" s="15" t="s">
        <v>2</v>
      </c>
      <c r="H1" s="15" t="s">
        <v>3</v>
      </c>
      <c r="I1" s="15" t="s">
        <v>4</v>
      </c>
      <c r="K1" s="15" t="s">
        <v>1</v>
      </c>
      <c r="L1" s="15" t="s">
        <v>2</v>
      </c>
      <c r="M1" s="15" t="s">
        <v>3</v>
      </c>
      <c r="N1" s="15" t="s">
        <v>4</v>
      </c>
      <c r="P1" s="15">
        <v>2028</v>
      </c>
      <c r="Q1" s="15">
        <v>2029</v>
      </c>
      <c r="R1" s="15">
        <v>2030</v>
      </c>
      <c r="S1" s="15">
        <v>2031</v>
      </c>
      <c r="T1" s="15">
        <v>2032</v>
      </c>
      <c r="W1" s="8"/>
      <c r="X1" s="15">
        <v>2023</v>
      </c>
      <c r="Y1" s="15">
        <v>2024</v>
      </c>
      <c r="Z1" s="15">
        <v>2025</v>
      </c>
      <c r="AA1" s="15" t="s">
        <v>1</v>
      </c>
      <c r="AB1" s="15" t="s">
        <v>2</v>
      </c>
      <c r="AC1" s="15" t="s">
        <v>3</v>
      </c>
      <c r="AD1" s="15" t="s">
        <v>4</v>
      </c>
      <c r="AE1" s="15" t="s">
        <v>1</v>
      </c>
      <c r="AF1" s="15" t="s">
        <v>2</v>
      </c>
      <c r="AG1" s="15" t="s">
        <v>3</v>
      </c>
      <c r="AH1" s="15" t="s">
        <v>4</v>
      </c>
    </row>
    <row r="2" spans="2:34" outlineLevel="1" x14ac:dyDescent="0.25"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W2" s="9" t="s">
        <v>43</v>
      </c>
      <c r="X2" s="10">
        <v>100</v>
      </c>
      <c r="Y2" s="10">
        <v>-100</v>
      </c>
      <c r="Z2" s="10">
        <v>300</v>
      </c>
      <c r="AA2" s="10"/>
      <c r="AB2" s="10"/>
      <c r="AC2" s="10"/>
      <c r="AD2" s="10"/>
      <c r="AE2" s="10">
        <v>-10</v>
      </c>
      <c r="AF2" s="10">
        <v>-10</v>
      </c>
      <c r="AG2" s="10">
        <v>-10</v>
      </c>
      <c r="AH2" s="10">
        <v>-10</v>
      </c>
    </row>
    <row r="3" spans="2:34" outlineLevel="1" x14ac:dyDescent="0.25">
      <c r="B3" s="48" t="s">
        <v>69</v>
      </c>
      <c r="C3" s="8"/>
      <c r="D3" s="8"/>
      <c r="E3" s="8"/>
      <c r="F3" s="12" t="s">
        <v>70</v>
      </c>
      <c r="G3" s="12" t="s">
        <v>70</v>
      </c>
      <c r="H3" s="12" t="s">
        <v>70</v>
      </c>
      <c r="I3" s="12" t="s">
        <v>70</v>
      </c>
      <c r="J3" s="8"/>
      <c r="K3" s="12" t="s">
        <v>70</v>
      </c>
      <c r="L3" s="12" t="s">
        <v>70</v>
      </c>
      <c r="M3" s="12" t="s">
        <v>70</v>
      </c>
      <c r="N3" s="12" t="s">
        <v>70</v>
      </c>
      <c r="O3" s="8"/>
      <c r="P3" s="12" t="s">
        <v>70</v>
      </c>
      <c r="Q3" s="12" t="s">
        <v>70</v>
      </c>
      <c r="R3" s="12" t="s">
        <v>70</v>
      </c>
      <c r="S3" s="12" t="s">
        <v>70</v>
      </c>
      <c r="T3" s="12" t="s">
        <v>70</v>
      </c>
      <c r="W3" s="9" t="s">
        <v>23</v>
      </c>
      <c r="X3" s="10">
        <v>0</v>
      </c>
      <c r="Y3" s="10">
        <v>0</v>
      </c>
      <c r="Z3" s="10">
        <v>0</v>
      </c>
      <c r="AA3" s="10"/>
      <c r="AB3" s="10"/>
      <c r="AC3" s="10"/>
      <c r="AD3" s="10"/>
      <c r="AE3" s="10">
        <v>0</v>
      </c>
      <c r="AF3" s="10">
        <v>200</v>
      </c>
      <c r="AG3" s="10">
        <v>0</v>
      </c>
      <c r="AH3" s="10">
        <v>0</v>
      </c>
    </row>
    <row r="4" spans="2:34" outlineLevel="1" x14ac:dyDescent="0.25">
      <c r="C4" s="8"/>
      <c r="D4" s="8"/>
      <c r="E4" s="8"/>
      <c r="F4" s="49"/>
      <c r="G4" s="49"/>
      <c r="H4" s="49"/>
      <c r="I4" s="49"/>
      <c r="J4" s="50"/>
      <c r="K4" s="49"/>
      <c r="L4" s="49"/>
      <c r="M4" s="49"/>
      <c r="N4" s="49"/>
      <c r="O4" s="50"/>
      <c r="P4" s="49"/>
      <c r="Q4" s="49"/>
      <c r="R4" s="49"/>
      <c r="S4" s="49"/>
      <c r="T4" s="49"/>
      <c r="W4" s="9" t="s">
        <v>71</v>
      </c>
      <c r="X4" s="10"/>
      <c r="Y4" s="10"/>
      <c r="Z4" s="10">
        <v>4000</v>
      </c>
      <c r="AA4" s="10">
        <v>4000</v>
      </c>
      <c r="AB4" s="10">
        <v>4000</v>
      </c>
      <c r="AC4" s="10">
        <v>4000</v>
      </c>
      <c r="AD4" s="10">
        <v>4000</v>
      </c>
      <c r="AE4" s="10">
        <v>4000</v>
      </c>
      <c r="AF4" s="10">
        <v>4000</v>
      </c>
      <c r="AG4" s="10">
        <v>4000</v>
      </c>
      <c r="AH4" s="10">
        <v>4000</v>
      </c>
    </row>
    <row r="5" spans="2:34" outlineLevel="1" x14ac:dyDescent="0.25">
      <c r="C5" s="8"/>
      <c r="D5" s="8"/>
      <c r="E5" s="8"/>
      <c r="F5" s="49"/>
      <c r="G5" s="49"/>
      <c r="H5" s="49"/>
      <c r="I5" s="49"/>
      <c r="J5" s="50"/>
      <c r="K5" s="49"/>
      <c r="L5" s="49"/>
      <c r="M5" s="49"/>
      <c r="N5" s="49"/>
      <c r="O5" s="50"/>
      <c r="P5" s="49"/>
      <c r="Q5" s="49"/>
      <c r="R5" s="49"/>
      <c r="S5" s="49"/>
      <c r="T5" s="49"/>
      <c r="W5" s="9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2:34" outlineLevel="1" x14ac:dyDescent="0.25">
      <c r="C6" s="8"/>
      <c r="D6" s="8"/>
      <c r="E6" s="8"/>
      <c r="F6" s="49"/>
      <c r="G6" s="49"/>
      <c r="H6" s="49"/>
      <c r="I6" s="49"/>
      <c r="J6" s="50"/>
      <c r="K6" s="49"/>
      <c r="L6" s="49"/>
      <c r="M6" s="49"/>
      <c r="N6" s="49"/>
      <c r="O6" s="50"/>
      <c r="P6" s="49"/>
      <c r="Q6" s="49"/>
      <c r="R6" s="49"/>
      <c r="S6" s="49"/>
      <c r="T6" s="49"/>
      <c r="W6" s="9" t="s">
        <v>72</v>
      </c>
      <c r="X6" s="10"/>
      <c r="Y6" s="10"/>
      <c r="Z6" s="10"/>
      <c r="AA6" s="10"/>
      <c r="AB6" s="10"/>
      <c r="AC6" s="10"/>
      <c r="AD6" s="10"/>
      <c r="AE6" s="10">
        <v>0</v>
      </c>
      <c r="AF6" s="10">
        <v>0</v>
      </c>
      <c r="AG6" s="10">
        <v>0</v>
      </c>
      <c r="AH6" s="10">
        <v>0</v>
      </c>
    </row>
    <row r="7" spans="2:34" outlineLevel="1" x14ac:dyDescent="0.25">
      <c r="C7" s="8"/>
      <c r="D7" s="8"/>
      <c r="E7" s="8"/>
      <c r="F7" s="49"/>
      <c r="G7" s="49"/>
      <c r="H7" s="49"/>
      <c r="I7" s="49"/>
      <c r="J7" s="50"/>
      <c r="K7" s="49"/>
      <c r="L7" s="49"/>
      <c r="M7" s="49"/>
      <c r="N7" s="49"/>
      <c r="O7" s="50"/>
      <c r="P7" s="49"/>
      <c r="Q7" s="49"/>
      <c r="R7" s="49"/>
      <c r="S7" s="49"/>
      <c r="T7" s="49"/>
      <c r="W7" s="9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2:34" outlineLevel="1" x14ac:dyDescent="0.25">
      <c r="B8" s="48" t="s">
        <v>73</v>
      </c>
      <c r="C8" s="8"/>
      <c r="D8" s="8"/>
      <c r="E8" s="8"/>
      <c r="F8" s="10">
        <f>SUM(F4:F7)</f>
        <v>0</v>
      </c>
      <c r="G8" s="10">
        <f>SUM(G4:G7)</f>
        <v>0</v>
      </c>
      <c r="H8" s="10">
        <f>SUM(H4:H7)</f>
        <v>0</v>
      </c>
      <c r="I8" s="10">
        <f>SUM(I4:I7)</f>
        <v>0</v>
      </c>
      <c r="J8" s="50"/>
      <c r="K8" s="10">
        <f>SUM(K4:K7)</f>
        <v>0</v>
      </c>
      <c r="L8" s="10">
        <f>SUM(L4:L7)</f>
        <v>0</v>
      </c>
      <c r="M8" s="10">
        <f>SUM(M4:M7)</f>
        <v>0</v>
      </c>
      <c r="N8" s="10">
        <f>SUM(N4:N7)</f>
        <v>0</v>
      </c>
      <c r="O8" s="50"/>
      <c r="P8" s="10">
        <f>SUM(P4:P7)</f>
        <v>0</v>
      </c>
      <c r="Q8" s="10">
        <f>SUM(Q4:Q7)</f>
        <v>0</v>
      </c>
      <c r="R8" s="10">
        <f>SUM(R4:R7)</f>
        <v>0</v>
      </c>
      <c r="S8" s="10">
        <f>SUM(S4:S7)</f>
        <v>0</v>
      </c>
      <c r="T8" s="10">
        <f>SUM(T4:T7)</f>
        <v>0</v>
      </c>
      <c r="W8" s="9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spans="2:34" outlineLevel="1" x14ac:dyDescent="0.25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W9" s="9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2:34" outlineLevel="1" x14ac:dyDescent="0.25">
      <c r="C10" s="8"/>
      <c r="D10" s="8"/>
      <c r="E10" s="8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W10" s="9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2:34" outlineLevel="1" x14ac:dyDescent="0.25">
      <c r="C11" s="8"/>
      <c r="D11" s="8"/>
      <c r="E11" s="8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W11" s="9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2:34" outlineLevel="1" x14ac:dyDescent="0.25">
      <c r="B12" s="48" t="s">
        <v>23</v>
      </c>
      <c r="C12" s="8"/>
      <c r="D12" s="8"/>
      <c r="E12" s="8"/>
      <c r="F12" s="12" t="s">
        <v>70</v>
      </c>
      <c r="G12" s="12" t="s">
        <v>70</v>
      </c>
      <c r="H12" s="12" t="s">
        <v>70</v>
      </c>
      <c r="I12" s="12" t="s">
        <v>70</v>
      </c>
      <c r="J12" s="8"/>
      <c r="K12" s="12" t="s">
        <v>70</v>
      </c>
      <c r="L12" s="12" t="s">
        <v>70</v>
      </c>
      <c r="M12" s="12" t="s">
        <v>70</v>
      </c>
      <c r="N12" s="12" t="s">
        <v>70</v>
      </c>
      <c r="O12" s="8"/>
      <c r="P12" s="12" t="s">
        <v>70</v>
      </c>
      <c r="Q12" s="12" t="s">
        <v>70</v>
      </c>
      <c r="R12" s="12" t="s">
        <v>70</v>
      </c>
      <c r="S12" s="12" t="s">
        <v>70</v>
      </c>
      <c r="T12" s="12" t="s">
        <v>70</v>
      </c>
      <c r="W12" s="9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2:34" outlineLevel="1" x14ac:dyDescent="0.25">
      <c r="B13" s="9" t="s">
        <v>74</v>
      </c>
      <c r="C13" s="8"/>
      <c r="D13" s="8"/>
      <c r="E13" s="8"/>
      <c r="F13" s="49"/>
      <c r="G13" s="49"/>
      <c r="H13" s="49"/>
      <c r="I13" s="49"/>
      <c r="J13" s="50"/>
      <c r="K13" s="49"/>
      <c r="L13" s="49"/>
      <c r="M13" s="49"/>
      <c r="N13" s="49"/>
      <c r="O13" s="50"/>
      <c r="P13" s="49"/>
      <c r="Q13" s="49"/>
      <c r="R13" s="49"/>
      <c r="S13" s="49"/>
      <c r="T13" s="49"/>
      <c r="W13" s="9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2:34" outlineLevel="1" x14ac:dyDescent="0.25">
      <c r="B14" s="9" t="s">
        <v>75</v>
      </c>
      <c r="C14" s="8"/>
      <c r="D14" s="8"/>
      <c r="E14" s="8"/>
      <c r="F14" s="49"/>
      <c r="G14" s="49"/>
      <c r="H14" s="49"/>
      <c r="I14" s="49"/>
      <c r="J14" s="50"/>
      <c r="K14" s="49"/>
      <c r="L14" s="49"/>
      <c r="M14" s="49"/>
      <c r="N14" s="49"/>
      <c r="O14" s="50"/>
      <c r="P14" s="49"/>
      <c r="Q14" s="49"/>
      <c r="R14" s="49"/>
      <c r="S14" s="49"/>
      <c r="T14" s="49"/>
      <c r="W14" s="9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2:34" outlineLevel="1" x14ac:dyDescent="0.25">
      <c r="B15" s="9" t="s">
        <v>76</v>
      </c>
      <c r="C15" s="8"/>
      <c r="D15" s="8"/>
      <c r="E15" s="8"/>
      <c r="F15" s="49"/>
      <c r="G15" s="49"/>
      <c r="H15" s="49"/>
      <c r="I15" s="49"/>
      <c r="J15" s="50"/>
      <c r="K15" s="49"/>
      <c r="L15" s="49"/>
      <c r="M15" s="49"/>
      <c r="N15" s="49"/>
      <c r="O15" s="50"/>
      <c r="P15" s="49"/>
      <c r="Q15" s="49"/>
      <c r="R15" s="49"/>
      <c r="S15" s="49"/>
      <c r="T15" s="49"/>
      <c r="W15" s="9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2:34" outlineLevel="1" x14ac:dyDescent="0.25">
      <c r="B16" s="48" t="s">
        <v>77</v>
      </c>
      <c r="C16" s="8"/>
      <c r="D16" s="8"/>
      <c r="E16" s="8"/>
      <c r="F16" s="10">
        <f>SUM(F13:F15)</f>
        <v>0</v>
      </c>
      <c r="G16" s="10">
        <f>SUM(G13:G15)</f>
        <v>0</v>
      </c>
      <c r="H16" s="10">
        <f>SUM(H13:H15)</f>
        <v>0</v>
      </c>
      <c r="I16" s="10">
        <f>SUM(I13:I15)</f>
        <v>0</v>
      </c>
      <c r="J16" s="50"/>
      <c r="K16" s="10">
        <f>SUM(K13:K15)</f>
        <v>0</v>
      </c>
      <c r="L16" s="10">
        <f>SUM(L13:L15)</f>
        <v>0</v>
      </c>
      <c r="M16" s="10">
        <f>SUM(M13:M15)</f>
        <v>0</v>
      </c>
      <c r="N16" s="10">
        <f>SUM(N13:N15)</f>
        <v>0</v>
      </c>
      <c r="O16" s="50"/>
      <c r="P16" s="10">
        <f>SUM(P13:P15)</f>
        <v>0</v>
      </c>
      <c r="Q16" s="10">
        <f>SUM(Q13:Q15)</f>
        <v>0</v>
      </c>
      <c r="R16" s="10">
        <f>SUM(R13:R15)</f>
        <v>0</v>
      </c>
      <c r="S16" s="10">
        <f>SUM(S13:S15)</f>
        <v>0</v>
      </c>
      <c r="T16" s="10">
        <f>SUM(T13:T15)</f>
        <v>0</v>
      </c>
    </row>
    <row r="17" spans="2:20" outlineLevel="1" x14ac:dyDescent="0.25">
      <c r="B17" s="9"/>
      <c r="C17" s="8"/>
      <c r="D17" s="8"/>
      <c r="E17" s="8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</row>
    <row r="18" spans="2:20" outlineLevel="1" x14ac:dyDescent="0.25">
      <c r="B18" s="9"/>
      <c r="C18" s="8"/>
      <c r="D18" s="8"/>
      <c r="E18" s="8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</row>
    <row r="19" spans="2:20" outlineLevel="1" x14ac:dyDescent="0.25">
      <c r="B19" s="48" t="s">
        <v>78</v>
      </c>
      <c r="C19" s="8"/>
      <c r="D19" s="8"/>
      <c r="E19" s="8"/>
      <c r="F19" s="12" t="s">
        <v>70</v>
      </c>
      <c r="G19" s="12" t="s">
        <v>70</v>
      </c>
      <c r="H19" s="12" t="s">
        <v>70</v>
      </c>
      <c r="I19" s="12" t="s">
        <v>70</v>
      </c>
      <c r="J19" s="50"/>
      <c r="K19" s="12" t="s">
        <v>70</v>
      </c>
      <c r="L19" s="12" t="s">
        <v>70</v>
      </c>
      <c r="M19" s="12" t="s">
        <v>70</v>
      </c>
      <c r="N19" s="12" t="s">
        <v>70</v>
      </c>
      <c r="O19" s="50"/>
      <c r="P19" s="12" t="s">
        <v>70</v>
      </c>
      <c r="Q19" s="12" t="s">
        <v>70</v>
      </c>
      <c r="R19" s="12" t="s">
        <v>70</v>
      </c>
      <c r="S19" s="12" t="s">
        <v>70</v>
      </c>
      <c r="T19" s="12" t="s">
        <v>70</v>
      </c>
    </row>
    <row r="20" spans="2:20" outlineLevel="2" x14ac:dyDescent="0.25">
      <c r="B20" s="59" t="s">
        <v>93</v>
      </c>
      <c r="C20" s="8"/>
      <c r="D20" s="8"/>
      <c r="E20" s="8"/>
      <c r="F20" s="12"/>
      <c r="G20" s="12"/>
      <c r="H20" s="12"/>
      <c r="I20" s="12"/>
      <c r="J20" s="50"/>
      <c r="K20" s="12"/>
      <c r="L20" s="12"/>
      <c r="M20" s="12"/>
      <c r="N20" s="12"/>
      <c r="O20" s="50"/>
      <c r="P20" s="12"/>
      <c r="Q20" s="12"/>
      <c r="R20" s="12"/>
      <c r="S20" s="12"/>
      <c r="T20" s="12"/>
    </row>
    <row r="21" spans="2:20" outlineLevel="2" x14ac:dyDescent="0.25">
      <c r="B21" s="59" t="s">
        <v>94</v>
      </c>
      <c r="C21" s="8"/>
      <c r="D21" s="8"/>
      <c r="E21" s="8"/>
      <c r="F21" s="12"/>
      <c r="G21" s="12"/>
      <c r="H21" s="12"/>
      <c r="I21" s="12"/>
      <c r="J21" s="50"/>
      <c r="K21" s="12"/>
      <c r="L21" s="12"/>
      <c r="M21" s="12"/>
      <c r="N21" s="12"/>
      <c r="O21" s="50"/>
      <c r="P21" s="12"/>
      <c r="Q21" s="12"/>
      <c r="R21" s="12"/>
      <c r="S21" s="12"/>
      <c r="T21" s="12"/>
    </row>
    <row r="22" spans="2:20" outlineLevel="2" x14ac:dyDescent="0.25">
      <c r="B22" s="59" t="s">
        <v>95</v>
      </c>
      <c r="C22" s="8"/>
      <c r="D22" s="8"/>
      <c r="E22" s="8"/>
      <c r="F22" s="12"/>
      <c r="G22" s="12"/>
      <c r="H22" s="12"/>
      <c r="I22" s="12"/>
      <c r="J22" s="50"/>
      <c r="K22" s="12"/>
      <c r="L22" s="12"/>
      <c r="M22" s="12"/>
      <c r="N22" s="12"/>
      <c r="O22" s="50"/>
      <c r="P22" s="12"/>
      <c r="Q22" s="12"/>
      <c r="R22" s="12"/>
      <c r="S22" s="12"/>
      <c r="T22" s="12"/>
    </row>
    <row r="23" spans="2:20" outlineLevel="2" x14ac:dyDescent="0.25">
      <c r="B23" s="59" t="s">
        <v>96</v>
      </c>
      <c r="C23" s="8"/>
      <c r="D23" s="8"/>
      <c r="E23" s="8"/>
      <c r="F23" s="12"/>
      <c r="G23" s="12"/>
      <c r="H23" s="12"/>
      <c r="I23" s="12"/>
      <c r="J23" s="50"/>
      <c r="K23" s="12"/>
      <c r="L23" s="12"/>
      <c r="M23" s="12"/>
      <c r="N23" s="12"/>
      <c r="O23" s="50"/>
      <c r="P23" s="12"/>
      <c r="Q23" s="12"/>
      <c r="R23" s="12"/>
      <c r="S23" s="12"/>
      <c r="T23" s="12"/>
    </row>
    <row r="24" spans="2:20" outlineLevel="2" x14ac:dyDescent="0.25">
      <c r="B24" s="59" t="s">
        <v>97</v>
      </c>
      <c r="C24" s="8"/>
      <c r="D24" s="8"/>
      <c r="E24" s="8"/>
      <c r="F24" s="12"/>
      <c r="G24" s="12"/>
      <c r="H24" s="12"/>
      <c r="I24" s="12"/>
      <c r="J24" s="50"/>
      <c r="K24" s="12"/>
      <c r="L24" s="12"/>
      <c r="M24" s="12"/>
      <c r="N24" s="12"/>
      <c r="O24" s="50"/>
      <c r="P24" s="12"/>
      <c r="Q24" s="12"/>
      <c r="R24" s="12"/>
      <c r="S24" s="12"/>
      <c r="T24" s="12"/>
    </row>
    <row r="25" spans="2:20" outlineLevel="2" x14ac:dyDescent="0.25">
      <c r="B25" s="59" t="s">
        <v>98</v>
      </c>
      <c r="C25" s="8"/>
      <c r="D25" s="8"/>
      <c r="E25" s="8"/>
      <c r="F25" s="12"/>
      <c r="G25" s="12"/>
      <c r="H25" s="12"/>
      <c r="I25" s="12"/>
      <c r="J25" s="50"/>
      <c r="K25" s="12"/>
      <c r="L25" s="12"/>
      <c r="M25" s="12"/>
      <c r="N25" s="12"/>
      <c r="O25" s="50"/>
      <c r="P25" s="12"/>
      <c r="Q25" s="12"/>
      <c r="R25" s="12"/>
      <c r="S25" s="12"/>
      <c r="T25" s="12"/>
    </row>
    <row r="26" spans="2:20" outlineLevel="2" x14ac:dyDescent="0.25">
      <c r="B26" s="59" t="s">
        <v>99</v>
      </c>
      <c r="C26" s="8"/>
      <c r="D26" s="8"/>
      <c r="E26" s="8"/>
      <c r="F26" s="12"/>
      <c r="G26" s="12"/>
      <c r="H26" s="12"/>
      <c r="I26" s="12"/>
      <c r="J26" s="50"/>
      <c r="K26" s="12"/>
      <c r="L26" s="12"/>
      <c r="M26" s="12"/>
      <c r="N26" s="12"/>
      <c r="O26" s="50"/>
      <c r="P26" s="12"/>
      <c r="Q26" s="12"/>
      <c r="R26" s="12"/>
      <c r="S26" s="12"/>
      <c r="T26" s="12"/>
    </row>
    <row r="27" spans="2:20" outlineLevel="1" x14ac:dyDescent="0.25">
      <c r="B27" s="9" t="s">
        <v>72</v>
      </c>
      <c r="C27" s="8"/>
      <c r="D27" s="8"/>
      <c r="E27" s="8"/>
      <c r="F27" s="44">
        <f>SUM(F20:F26)</f>
        <v>0</v>
      </c>
      <c r="G27" s="44">
        <f t="shared" ref="G27:I27" si="0">SUM(G20:G26)</f>
        <v>0</v>
      </c>
      <c r="H27" s="44">
        <f t="shared" si="0"/>
        <v>0</v>
      </c>
      <c r="I27" s="44">
        <f t="shared" si="0"/>
        <v>0</v>
      </c>
      <c r="J27" s="50"/>
      <c r="K27" s="44">
        <f t="shared" ref="K27:N27" si="1">SUM(K20:K26)</f>
        <v>0</v>
      </c>
      <c r="L27" s="44">
        <f t="shared" si="1"/>
        <v>0</v>
      </c>
      <c r="M27" s="44">
        <f t="shared" si="1"/>
        <v>0</v>
      </c>
      <c r="N27" s="44">
        <f t="shared" si="1"/>
        <v>0</v>
      </c>
      <c r="O27" s="50"/>
      <c r="P27" s="44">
        <f t="shared" ref="P27:T27" si="2">SUM(P20:P26)</f>
        <v>0</v>
      </c>
      <c r="Q27" s="44">
        <f t="shared" si="2"/>
        <v>0</v>
      </c>
      <c r="R27" s="44">
        <f t="shared" si="2"/>
        <v>0</v>
      </c>
      <c r="S27" s="44">
        <f t="shared" si="2"/>
        <v>0</v>
      </c>
      <c r="T27" s="44">
        <f t="shared" si="2"/>
        <v>0</v>
      </c>
    </row>
    <row r="28" spans="2:20" outlineLevel="1" x14ac:dyDescent="0.25">
      <c r="B28" s="9" t="s">
        <v>79</v>
      </c>
      <c r="C28" s="8"/>
      <c r="D28" s="8"/>
      <c r="E28" s="8"/>
      <c r="F28" s="45"/>
      <c r="G28" s="45"/>
      <c r="H28" s="45"/>
      <c r="I28" s="45"/>
      <c r="J28" s="50"/>
      <c r="K28" s="49"/>
      <c r="L28" s="49"/>
      <c r="M28" s="49"/>
      <c r="N28" s="49"/>
      <c r="O28" s="50"/>
      <c r="P28" s="49"/>
      <c r="Q28" s="49"/>
      <c r="R28" s="49"/>
      <c r="S28" s="49"/>
      <c r="T28" s="49"/>
    </row>
    <row r="29" spans="2:20" outlineLevel="1" x14ac:dyDescent="0.25">
      <c r="B29" s="9" t="s">
        <v>80</v>
      </c>
      <c r="C29" s="8"/>
      <c r="D29" s="8"/>
      <c r="E29" s="8"/>
      <c r="F29" s="45"/>
      <c r="G29" s="45"/>
      <c r="H29" s="45"/>
      <c r="I29" s="45"/>
      <c r="J29" s="50"/>
      <c r="K29" s="49"/>
      <c r="L29" s="49"/>
      <c r="M29" s="49"/>
      <c r="N29" s="49"/>
      <c r="O29" s="50"/>
      <c r="P29" s="49"/>
      <c r="Q29" s="49"/>
      <c r="R29" s="49"/>
      <c r="S29" s="49"/>
      <c r="T29" s="49"/>
    </row>
    <row r="30" spans="2:20" outlineLevel="1" x14ac:dyDescent="0.25">
      <c r="B30" s="9" t="s">
        <v>81</v>
      </c>
      <c r="C30" s="8"/>
      <c r="D30" s="8"/>
      <c r="E30" s="8"/>
      <c r="F30" s="45"/>
      <c r="G30" s="45"/>
      <c r="H30" s="45"/>
      <c r="I30" s="45"/>
      <c r="J30" s="50"/>
      <c r="K30" s="49"/>
      <c r="L30" s="49"/>
      <c r="M30" s="49"/>
      <c r="N30" s="49"/>
      <c r="O30" s="50"/>
      <c r="P30" s="49"/>
      <c r="Q30" s="49"/>
      <c r="R30" s="49"/>
      <c r="S30" s="49"/>
      <c r="T30" s="49"/>
    </row>
    <row r="31" spans="2:20" outlineLevel="1" x14ac:dyDescent="0.25">
      <c r="B31" s="9" t="s">
        <v>82</v>
      </c>
      <c r="C31" s="8"/>
      <c r="D31" s="8"/>
      <c r="E31" s="8"/>
      <c r="F31" s="45"/>
      <c r="G31" s="45"/>
      <c r="H31" s="45"/>
      <c r="I31" s="45"/>
      <c r="J31" s="50"/>
      <c r="K31" s="49"/>
      <c r="L31" s="49"/>
      <c r="M31" s="49"/>
      <c r="N31" s="49"/>
      <c r="O31" s="50"/>
      <c r="P31" s="49"/>
      <c r="Q31" s="49"/>
      <c r="R31" s="49"/>
      <c r="S31" s="49"/>
      <c r="T31" s="49"/>
    </row>
    <row r="32" spans="2:20" outlineLevel="1" x14ac:dyDescent="0.25">
      <c r="B32" s="9" t="s">
        <v>83</v>
      </c>
      <c r="C32" s="8"/>
      <c r="D32" s="8"/>
      <c r="E32" s="8"/>
      <c r="F32" s="45"/>
      <c r="G32" s="45"/>
      <c r="H32" s="45"/>
      <c r="I32" s="45"/>
      <c r="J32" s="50"/>
      <c r="K32" s="49"/>
      <c r="L32" s="49"/>
      <c r="M32" s="49"/>
      <c r="N32" s="49"/>
      <c r="O32" s="50"/>
      <c r="P32" s="49"/>
      <c r="Q32" s="49"/>
      <c r="R32" s="49"/>
      <c r="S32" s="49"/>
      <c r="T32" s="49"/>
    </row>
    <row r="33" spans="2:20" outlineLevel="1" x14ac:dyDescent="0.25">
      <c r="B33" s="48" t="s">
        <v>84</v>
      </c>
      <c r="C33" s="8"/>
      <c r="D33" s="8"/>
      <c r="E33" s="8"/>
      <c r="F33" s="10">
        <f>SUM(F28:F32)</f>
        <v>0</v>
      </c>
      <c r="G33" s="10">
        <f>SUM(G28:G32)</f>
        <v>0</v>
      </c>
      <c r="H33" s="10">
        <f>SUM(H28:H32)</f>
        <v>0</v>
      </c>
      <c r="I33" s="10">
        <f>SUM(I28:I32)</f>
        <v>0</v>
      </c>
      <c r="J33" s="50"/>
      <c r="K33" s="10">
        <f>SUM(K28:K32)</f>
        <v>0</v>
      </c>
      <c r="L33" s="10">
        <f>SUM(L28:L32)</f>
        <v>0</v>
      </c>
      <c r="M33" s="10">
        <f>SUM(M28:M32)</f>
        <v>0</v>
      </c>
      <c r="N33" s="10">
        <f>SUM(N28:N32)</f>
        <v>0</v>
      </c>
      <c r="O33" s="50"/>
      <c r="P33" s="10">
        <f>SUM(P28:P32)</f>
        <v>0</v>
      </c>
      <c r="Q33" s="10">
        <f>SUM(Q28:Q32)</f>
        <v>0</v>
      </c>
      <c r="R33" s="10">
        <f>SUM(R28:R32)</f>
        <v>0</v>
      </c>
      <c r="S33" s="10">
        <f>SUM(S28:S32)</f>
        <v>0</v>
      </c>
      <c r="T33" s="10">
        <f>SUM(T28:T32)</f>
        <v>0</v>
      </c>
    </row>
    <row r="34" spans="2:20" outlineLevel="1" x14ac:dyDescent="0.25">
      <c r="C34" s="8"/>
      <c r="D34" s="8"/>
      <c r="E34" s="8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</row>
    <row r="35" spans="2:20" outlineLevel="1" x14ac:dyDescent="0.25">
      <c r="C35" s="8"/>
      <c r="D35" s="8"/>
      <c r="E35" s="8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</row>
    <row r="36" spans="2:20" outlineLevel="1" x14ac:dyDescent="0.25">
      <c r="B36" s="48" t="s">
        <v>53</v>
      </c>
      <c r="C36" s="8"/>
      <c r="D36" s="8"/>
      <c r="E36" s="8"/>
      <c r="F36" s="12" t="s">
        <v>70</v>
      </c>
      <c r="G36" s="12" t="s">
        <v>70</v>
      </c>
      <c r="H36" s="12" t="s">
        <v>70</v>
      </c>
      <c r="I36" s="12" t="s">
        <v>70</v>
      </c>
      <c r="J36" s="50"/>
      <c r="K36" s="12" t="s">
        <v>70</v>
      </c>
      <c r="L36" s="12" t="s">
        <v>70</v>
      </c>
      <c r="M36" s="12" t="s">
        <v>70</v>
      </c>
      <c r="N36" s="12" t="s">
        <v>70</v>
      </c>
      <c r="O36" s="50"/>
      <c r="P36" s="12" t="s">
        <v>70</v>
      </c>
      <c r="Q36" s="12" t="s">
        <v>70</v>
      </c>
      <c r="R36" s="12" t="s">
        <v>70</v>
      </c>
      <c r="S36" s="12" t="s">
        <v>70</v>
      </c>
      <c r="T36" s="12" t="s">
        <v>70</v>
      </c>
    </row>
    <row r="37" spans="2:20" outlineLevel="1" x14ac:dyDescent="0.25">
      <c r="B37" s="9" t="s">
        <v>100</v>
      </c>
      <c r="C37" s="8"/>
      <c r="D37" s="8"/>
      <c r="E37" s="8"/>
      <c r="F37" s="49"/>
      <c r="G37" s="49"/>
      <c r="H37" s="49"/>
      <c r="I37" s="49"/>
      <c r="J37" s="50"/>
      <c r="K37" s="49"/>
      <c r="L37" s="49"/>
      <c r="M37" s="49"/>
      <c r="N37" s="49"/>
      <c r="O37" s="50"/>
      <c r="P37" s="49"/>
      <c r="Q37" s="49"/>
      <c r="R37" s="49"/>
      <c r="S37" s="49"/>
      <c r="T37" s="49"/>
    </row>
    <row r="38" spans="2:20" outlineLevel="1" x14ac:dyDescent="0.25">
      <c r="B38" s="9"/>
      <c r="C38" s="8"/>
      <c r="D38" s="8"/>
      <c r="E38" s="8"/>
      <c r="F38" s="49"/>
      <c r="G38" s="49"/>
      <c r="H38" s="49"/>
      <c r="I38" s="49"/>
      <c r="J38" s="50"/>
      <c r="K38" s="49"/>
      <c r="L38" s="49"/>
      <c r="M38" s="49"/>
      <c r="N38" s="49"/>
      <c r="O38" s="50"/>
      <c r="P38" s="49"/>
      <c r="Q38" s="49"/>
      <c r="R38" s="49"/>
      <c r="S38" s="49"/>
      <c r="T38" s="49"/>
    </row>
    <row r="39" spans="2:20" outlineLevel="1" x14ac:dyDescent="0.25">
      <c r="B39" s="9"/>
      <c r="C39" s="8"/>
      <c r="D39" s="8"/>
      <c r="E39" s="8"/>
      <c r="F39" s="49"/>
      <c r="G39" s="49"/>
      <c r="H39" s="49"/>
      <c r="I39" s="49"/>
      <c r="J39" s="50"/>
      <c r="K39" s="49"/>
      <c r="L39" s="49"/>
      <c r="M39" s="49"/>
      <c r="N39" s="49"/>
      <c r="O39" s="50"/>
      <c r="P39" s="49"/>
      <c r="Q39" s="49"/>
      <c r="R39" s="49"/>
      <c r="S39" s="49"/>
      <c r="T39" s="49"/>
    </row>
    <row r="40" spans="2:20" outlineLevel="1" x14ac:dyDescent="0.25">
      <c r="B40" s="9"/>
      <c r="C40" s="8"/>
      <c r="D40" s="8"/>
      <c r="E40" s="8"/>
      <c r="F40" s="49"/>
      <c r="G40" s="49"/>
      <c r="H40" s="49"/>
      <c r="I40" s="49"/>
      <c r="J40" s="50"/>
      <c r="K40" s="49"/>
      <c r="L40" s="49"/>
      <c r="M40" s="49"/>
      <c r="N40" s="49"/>
      <c r="O40" s="50"/>
      <c r="P40" s="49"/>
      <c r="Q40" s="49"/>
      <c r="R40" s="49"/>
      <c r="S40" s="49"/>
      <c r="T40" s="49"/>
    </row>
    <row r="41" spans="2:20" outlineLevel="1" x14ac:dyDescent="0.25">
      <c r="B41" s="48" t="s">
        <v>85</v>
      </c>
      <c r="C41" s="1"/>
      <c r="D41" s="1"/>
      <c r="E41" s="1"/>
      <c r="F41" s="10">
        <f>SUM(F37:F40)</f>
        <v>0</v>
      </c>
      <c r="G41" s="10">
        <f>SUM(G37:G40)</f>
        <v>0</v>
      </c>
      <c r="H41" s="10">
        <f>SUM(H37:H40)</f>
        <v>0</v>
      </c>
      <c r="I41" s="10">
        <f>SUM(I37:I40)</f>
        <v>0</v>
      </c>
      <c r="J41" s="50"/>
      <c r="K41" s="10">
        <f>SUM(K37:K40)</f>
        <v>0</v>
      </c>
      <c r="L41" s="10">
        <f>SUM(L37:L40)</f>
        <v>0</v>
      </c>
      <c r="M41" s="10">
        <f>SUM(M37:M40)</f>
        <v>0</v>
      </c>
      <c r="N41" s="10">
        <f>SUM(N37:N40)</f>
        <v>0</v>
      </c>
      <c r="O41" s="50"/>
      <c r="P41" s="10">
        <f>SUM(P37:P40)</f>
        <v>0</v>
      </c>
      <c r="Q41" s="10">
        <f>SUM(Q37:Q40)</f>
        <v>0</v>
      </c>
      <c r="R41" s="10">
        <f>SUM(R37:R40)</f>
        <v>0</v>
      </c>
      <c r="S41" s="10">
        <f>SUM(S37:S40)</f>
        <v>0</v>
      </c>
      <c r="T41" s="10">
        <f>SUM(T37:T40)</f>
        <v>0</v>
      </c>
    </row>
    <row r="42" spans="2:20" outlineLevel="1" x14ac:dyDescent="0.25">
      <c r="B42" s="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2:20" outlineLevel="1" x14ac:dyDescent="0.25">
      <c r="B43" s="48" t="s">
        <v>86</v>
      </c>
      <c r="C43" s="1"/>
      <c r="D43" s="1"/>
      <c r="E43" s="1"/>
      <c r="F43" s="12" t="s">
        <v>70</v>
      </c>
      <c r="G43" s="12" t="s">
        <v>70</v>
      </c>
      <c r="H43" s="12" t="s">
        <v>70</v>
      </c>
      <c r="I43" s="12" t="s">
        <v>70</v>
      </c>
      <c r="J43" s="50"/>
      <c r="K43" s="12" t="s">
        <v>70</v>
      </c>
      <c r="L43" s="12" t="s">
        <v>70</v>
      </c>
      <c r="M43" s="12" t="s">
        <v>70</v>
      </c>
      <c r="N43" s="12" t="s">
        <v>70</v>
      </c>
      <c r="O43" s="50"/>
      <c r="P43" s="12" t="s">
        <v>70</v>
      </c>
      <c r="Q43" s="12" t="s">
        <v>70</v>
      </c>
      <c r="R43" s="12" t="s">
        <v>70</v>
      </c>
      <c r="S43" s="12" t="s">
        <v>70</v>
      </c>
      <c r="T43" s="12" t="s">
        <v>70</v>
      </c>
    </row>
    <row r="44" spans="2:20" outlineLevel="1" x14ac:dyDescent="0.25">
      <c r="B44" s="9" t="s">
        <v>87</v>
      </c>
      <c r="C44" s="1"/>
      <c r="D44" s="1"/>
      <c r="E44" s="1"/>
      <c r="F44" s="49"/>
      <c r="G44" s="49"/>
      <c r="H44" s="49"/>
      <c r="I44" s="49"/>
      <c r="J44" s="50"/>
      <c r="K44" s="49"/>
      <c r="L44" s="49"/>
      <c r="M44" s="49"/>
      <c r="N44" s="49"/>
      <c r="O44" s="50"/>
      <c r="P44" s="49"/>
      <c r="Q44" s="49"/>
      <c r="R44" s="49"/>
      <c r="S44" s="49"/>
      <c r="T44" s="49"/>
    </row>
    <row r="45" spans="2:20" outlineLevel="1" x14ac:dyDescent="0.25">
      <c r="B45" s="9" t="s">
        <v>88</v>
      </c>
      <c r="C45" s="1"/>
      <c r="D45" s="1"/>
      <c r="E45" s="1"/>
      <c r="F45" s="49"/>
      <c r="G45" s="49"/>
      <c r="H45" s="49"/>
      <c r="I45" s="49"/>
      <c r="J45" s="50"/>
      <c r="K45" s="49"/>
      <c r="L45" s="49"/>
      <c r="M45" s="49"/>
      <c r="N45" s="49"/>
      <c r="O45" s="50"/>
      <c r="P45" s="49"/>
      <c r="Q45" s="49"/>
      <c r="R45" s="49"/>
      <c r="S45" s="49"/>
      <c r="T45" s="49"/>
    </row>
    <row r="46" spans="2:20" outlineLevel="1" x14ac:dyDescent="0.25">
      <c r="B46" s="48" t="s">
        <v>89</v>
      </c>
      <c r="C46" s="1"/>
      <c r="D46" s="1"/>
      <c r="E46" s="1"/>
      <c r="F46" s="10">
        <f>SUM(F44:F45)</f>
        <v>0</v>
      </c>
      <c r="G46" s="10">
        <f t="shared" ref="G46:I46" si="3">SUM(G44:G45)</f>
        <v>0</v>
      </c>
      <c r="H46" s="10">
        <f t="shared" si="3"/>
        <v>0</v>
      </c>
      <c r="I46" s="10">
        <f t="shared" si="3"/>
        <v>0</v>
      </c>
      <c r="J46" s="50"/>
      <c r="K46" s="10">
        <f t="shared" ref="K46:N46" si="4">SUM(K44:K45)</f>
        <v>0</v>
      </c>
      <c r="L46" s="10">
        <f t="shared" si="4"/>
        <v>0</v>
      </c>
      <c r="M46" s="10">
        <f t="shared" si="4"/>
        <v>0</v>
      </c>
      <c r="N46" s="10">
        <f t="shared" si="4"/>
        <v>0</v>
      </c>
      <c r="O46" s="50"/>
      <c r="P46" s="10">
        <f t="shared" ref="P46:T46" si="5">SUM(P44:P45)</f>
        <v>0</v>
      </c>
      <c r="Q46" s="10">
        <f t="shared" si="5"/>
        <v>0</v>
      </c>
      <c r="R46" s="10">
        <f t="shared" si="5"/>
        <v>0</v>
      </c>
      <c r="S46" s="10">
        <f t="shared" si="5"/>
        <v>0</v>
      </c>
      <c r="T46" s="10">
        <f t="shared" si="5"/>
        <v>0</v>
      </c>
    </row>
    <row r="47" spans="2:20" outlineLevel="1" x14ac:dyDescent="0.25">
      <c r="B47" s="9"/>
      <c r="C47" s="1"/>
      <c r="D47" s="1"/>
      <c r="E47" s="1"/>
    </row>
    <row r="48" spans="2:20" x14ac:dyDescent="0.25">
      <c r="B48" s="9"/>
    </row>
    <row r="49" spans="2:20" x14ac:dyDescent="0.25">
      <c r="B49" s="4" t="s">
        <v>47</v>
      </c>
    </row>
    <row r="50" spans="2:20" x14ac:dyDescent="0.25">
      <c r="B50" t="s">
        <v>36</v>
      </c>
    </row>
    <row r="51" spans="2:20" x14ac:dyDescent="0.25">
      <c r="B51" s="9"/>
    </row>
    <row r="52" spans="2:20" x14ac:dyDescent="0.25">
      <c r="B52" s="9"/>
      <c r="C52" s="20">
        <v>2023</v>
      </c>
      <c r="D52" s="20">
        <v>2024</v>
      </c>
      <c r="E52" s="20">
        <v>2025</v>
      </c>
      <c r="F52" s="21" t="s">
        <v>1</v>
      </c>
      <c r="G52" s="21" t="s">
        <v>2</v>
      </c>
      <c r="H52" s="21" t="s">
        <v>3</v>
      </c>
      <c r="I52" s="21" t="s">
        <v>4</v>
      </c>
      <c r="J52" s="21">
        <v>2026</v>
      </c>
      <c r="K52" s="22" t="s">
        <v>1</v>
      </c>
      <c r="L52" s="22" t="s">
        <v>2</v>
      </c>
      <c r="M52" s="22" t="s">
        <v>3</v>
      </c>
      <c r="N52" s="22" t="s">
        <v>4</v>
      </c>
      <c r="O52" s="23">
        <v>2027</v>
      </c>
      <c r="P52" s="24">
        <v>2028</v>
      </c>
      <c r="Q52" s="24">
        <v>2029</v>
      </c>
      <c r="R52" s="24">
        <v>2030</v>
      </c>
      <c r="S52" s="24">
        <v>2031</v>
      </c>
      <c r="T52" s="24">
        <v>2032</v>
      </c>
    </row>
    <row r="53" spans="2:20" x14ac:dyDescent="0.25">
      <c r="B53" s="5" t="s">
        <v>43</v>
      </c>
      <c r="C53" s="29">
        <f t="shared" ref="C53:E54" si="6">X2</f>
        <v>100</v>
      </c>
      <c r="D53" s="29">
        <f t="shared" si="6"/>
        <v>-100</v>
      </c>
      <c r="E53" s="29">
        <f t="shared" si="6"/>
        <v>300</v>
      </c>
      <c r="F53" s="18">
        <f>AE2+F8</f>
        <v>-10</v>
      </c>
      <c r="G53" s="18">
        <f>AF2+G8</f>
        <v>-10</v>
      </c>
      <c r="H53" s="18">
        <f>AG2+H8</f>
        <v>-10</v>
      </c>
      <c r="I53" s="18">
        <f>AH2+I8</f>
        <v>-10</v>
      </c>
      <c r="J53" s="25">
        <f>SUM(F53:I53)</f>
        <v>-40</v>
      </c>
      <c r="K53" s="18">
        <f>K8</f>
        <v>0</v>
      </c>
      <c r="L53" s="18">
        <f>L8</f>
        <v>0</v>
      </c>
      <c r="M53" s="18">
        <f>M8</f>
        <v>0</v>
      </c>
      <c r="N53" s="18">
        <f>N8</f>
        <v>0</v>
      </c>
      <c r="O53" s="30">
        <f>SUM(K53:N53)</f>
        <v>0</v>
      </c>
      <c r="P53" s="31">
        <f>P8</f>
        <v>0</v>
      </c>
      <c r="Q53" s="31">
        <f>Q8</f>
        <v>0</v>
      </c>
      <c r="R53" s="31">
        <f>R8</f>
        <v>0</v>
      </c>
      <c r="S53" s="31">
        <f>S8</f>
        <v>0</v>
      </c>
      <c r="T53" s="31">
        <f>T8</f>
        <v>0</v>
      </c>
    </row>
    <row r="54" spans="2:20" x14ac:dyDescent="0.25">
      <c r="B54" s="5" t="s">
        <v>23</v>
      </c>
      <c r="C54" s="29">
        <f t="shared" si="6"/>
        <v>0</v>
      </c>
      <c r="D54" s="29">
        <f t="shared" si="6"/>
        <v>0</v>
      </c>
      <c r="E54" s="29">
        <f t="shared" si="6"/>
        <v>0</v>
      </c>
      <c r="F54" s="18">
        <f>AE3+F16</f>
        <v>0</v>
      </c>
      <c r="G54" s="18">
        <f>AF3+G16</f>
        <v>200</v>
      </c>
      <c r="H54" s="18">
        <f>AG3+H16</f>
        <v>0</v>
      </c>
      <c r="I54" s="18">
        <f>AH3+I16</f>
        <v>0</v>
      </c>
      <c r="J54" s="25">
        <f>SUM(F54:I54)</f>
        <v>200</v>
      </c>
      <c r="K54" s="18">
        <f>K16</f>
        <v>0</v>
      </c>
      <c r="L54" s="18">
        <f>L16</f>
        <v>0</v>
      </c>
      <c r="M54" s="18">
        <f>M16</f>
        <v>0</v>
      </c>
      <c r="N54" s="18">
        <f>N16</f>
        <v>0</v>
      </c>
      <c r="O54" s="30">
        <f>SUM(K54:N54)</f>
        <v>0</v>
      </c>
      <c r="P54" s="31">
        <f>P16</f>
        <v>0</v>
      </c>
      <c r="Q54" s="31">
        <f>Q16</f>
        <v>0</v>
      </c>
      <c r="R54" s="31">
        <f>R16</f>
        <v>0</v>
      </c>
      <c r="S54" s="31">
        <f>S16</f>
        <v>0</v>
      </c>
      <c r="T54" s="31">
        <f>T16</f>
        <v>0</v>
      </c>
    </row>
    <row r="55" spans="2:20" x14ac:dyDescent="0.25">
      <c r="B55" s="5" t="s">
        <v>90</v>
      </c>
      <c r="C55" s="29">
        <f>X4</f>
        <v>0</v>
      </c>
      <c r="D55" s="29">
        <f>Y4</f>
        <v>0</v>
      </c>
      <c r="E55" s="29">
        <v>0</v>
      </c>
      <c r="F55" s="18">
        <f>F33</f>
        <v>0</v>
      </c>
      <c r="G55" s="18">
        <f t="shared" ref="G55:N55" si="7">G33</f>
        <v>0</v>
      </c>
      <c r="H55" s="18">
        <f t="shared" si="7"/>
        <v>0</v>
      </c>
      <c r="I55" s="18">
        <f t="shared" si="7"/>
        <v>0</v>
      </c>
      <c r="J55" s="25">
        <f>SUM(F55:I55)</f>
        <v>0</v>
      </c>
      <c r="K55" s="18">
        <f t="shared" si="7"/>
        <v>0</v>
      </c>
      <c r="L55" s="18">
        <f t="shared" si="7"/>
        <v>0</v>
      </c>
      <c r="M55" s="18">
        <f t="shared" si="7"/>
        <v>0</v>
      </c>
      <c r="N55" s="18">
        <f t="shared" si="7"/>
        <v>0</v>
      </c>
      <c r="O55" s="30">
        <f>SUM(K55:N55)</f>
        <v>0</v>
      </c>
      <c r="P55" s="31">
        <f>P33</f>
        <v>0</v>
      </c>
      <c r="Q55" s="31">
        <f t="shared" ref="Q55:T55" si="8">Q33</f>
        <v>0</v>
      </c>
      <c r="R55" s="31">
        <f t="shared" si="8"/>
        <v>0</v>
      </c>
      <c r="S55" s="31">
        <f t="shared" si="8"/>
        <v>0</v>
      </c>
      <c r="T55" s="31">
        <f t="shared" si="8"/>
        <v>0</v>
      </c>
    </row>
    <row r="56" spans="2:20" x14ac:dyDescent="0.25">
      <c r="B56" s="5" t="s">
        <v>53</v>
      </c>
      <c r="C56" s="29"/>
      <c r="D56" s="29"/>
      <c r="E56" s="29"/>
      <c r="F56" s="18">
        <f>F41</f>
        <v>0</v>
      </c>
      <c r="G56" s="18">
        <f>G41</f>
        <v>0</v>
      </c>
      <c r="H56" s="18">
        <f>H41</f>
        <v>0</v>
      </c>
      <c r="I56" s="18">
        <f>I41</f>
        <v>0</v>
      </c>
      <c r="J56" s="25">
        <f>SUM(F56:I56)</f>
        <v>0</v>
      </c>
      <c r="K56" s="18">
        <f>K41</f>
        <v>0</v>
      </c>
      <c r="L56" s="18">
        <f>L41</f>
        <v>0</v>
      </c>
      <c r="M56" s="18">
        <f>M41</f>
        <v>0</v>
      </c>
      <c r="N56" s="18">
        <f>N41</f>
        <v>0</v>
      </c>
      <c r="O56" s="30">
        <f>SUM(K56:N56)</f>
        <v>0</v>
      </c>
      <c r="P56" s="31">
        <f>P41</f>
        <v>0</v>
      </c>
      <c r="Q56" s="31">
        <f>Q41</f>
        <v>0</v>
      </c>
      <c r="R56" s="31">
        <f>R41</f>
        <v>0</v>
      </c>
      <c r="S56" s="31">
        <f>S41</f>
        <v>0</v>
      </c>
      <c r="T56" s="31">
        <f>T41</f>
        <v>0</v>
      </c>
    </row>
    <row r="57" spans="2:20" x14ac:dyDescent="0.25">
      <c r="B57" s="5" t="s">
        <v>59</v>
      </c>
      <c r="C57" s="29"/>
      <c r="D57" s="29"/>
      <c r="E57" s="29"/>
      <c r="F57" s="18">
        <f>F46</f>
        <v>0</v>
      </c>
      <c r="G57" s="18">
        <f t="shared" ref="G57:I57" si="9">G46</f>
        <v>0</v>
      </c>
      <c r="H57" s="18">
        <f t="shared" si="9"/>
        <v>0</v>
      </c>
      <c r="I57" s="18">
        <f t="shared" si="9"/>
        <v>0</v>
      </c>
      <c r="J57" s="25">
        <f>SUM(F57:I57)</f>
        <v>0</v>
      </c>
      <c r="K57" s="18">
        <f>K46</f>
        <v>0</v>
      </c>
      <c r="L57" s="18">
        <f t="shared" ref="L57:N57" si="10">L46</f>
        <v>0</v>
      </c>
      <c r="M57" s="18">
        <f t="shared" si="10"/>
        <v>0</v>
      </c>
      <c r="N57" s="18">
        <f t="shared" si="10"/>
        <v>0</v>
      </c>
      <c r="O57" s="30">
        <f>SUM(K57:N57)</f>
        <v>0</v>
      </c>
      <c r="P57" s="31">
        <f>P46</f>
        <v>0</v>
      </c>
      <c r="Q57" s="31">
        <f t="shared" ref="Q57:T57" si="11">Q46</f>
        <v>0</v>
      </c>
      <c r="R57" s="31">
        <f t="shared" si="11"/>
        <v>0</v>
      </c>
      <c r="S57" s="31">
        <f t="shared" si="11"/>
        <v>0</v>
      </c>
      <c r="T57" s="31">
        <f t="shared" si="11"/>
        <v>0</v>
      </c>
    </row>
  </sheetData>
  <phoneticPr fontId="2" type="noConversion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454e0f0d-32fc-4382-ae2d-62fc9cef12cb}" enabled="1" method="Standard" siteId="{8df22a8d-9153-489d-950c-a20cccb656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P&amp;L</vt:lpstr>
      <vt:lpstr>Volume Impact</vt:lpstr>
      <vt:lpstr>OHCOGS</vt:lpstr>
      <vt:lpstr>Opex HC</vt:lpstr>
      <vt:lpstr>Cash</vt:lpstr>
      <vt:lpstr>Impact to Cash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Rodgers, Dave</dc:creator>
  <cp:keywords/>
  <dc:description/>
  <cp:lastModifiedBy>Blount, Natalia</cp:lastModifiedBy>
  <cp:revision/>
  <dcterms:created xsi:type="dcterms:W3CDTF">2026-02-12T10:17:06Z</dcterms:created>
  <dcterms:modified xsi:type="dcterms:W3CDTF">2026-04-10T18:51:27Z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